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fileSharing userName="IT" algorithmName="SHA-512" hashValue="I7AdyUTPWQPGmzwWzxpnf2cyAAi0axs743F4H91hCnMieZlGUIOE0r1QGjztd7W7MH5MwFj6t4JbmSpw03uJuQ==" saltValue="xgEykoTNen7gDfvLbpIKbw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uliZHANG\Pictures\"/>
    </mc:Choice>
  </mc:AlternateContent>
  <xr:revisionPtr revIDLastSave="0" documentId="8_{87610803-2ED9-48E7-83CA-D331D9D660EB}" xr6:coauthVersionLast="47" xr6:coauthVersionMax="47" xr10:uidLastSave="{00000000-0000-0000-0000-000000000000}"/>
  <bookViews>
    <workbookView xWindow="-110" yWindow="-110" windowWidth="19420" windowHeight="11500" tabRatio="629" xr2:uid="{00000000-000D-0000-FFFF-FFFF00000000}"/>
  </bookViews>
  <sheets>
    <sheet name="Common line" sheetId="1" r:id="rId1"/>
    <sheet name="High-end line" sheetId="4" r:id="rId2"/>
    <sheet name="FPY" sheetId="3" r:id="rId3"/>
    <sheet name="Index-Data" sheetId="2" r:id="rId4"/>
  </sheets>
  <definedNames>
    <definedName name="_xlnm._FilterDatabase" localSheetId="0" hidden="1">'Common line'!$A$3:$W$659</definedName>
    <definedName name="_xlnm._FilterDatabase" localSheetId="1" hidden="1">'High-end line'!$A$3:$AK$345</definedName>
    <definedName name="_xlnm._FilterDatabase" localSheetId="3" hidden="1">'Index-Data'!$G$3:$K$204</definedName>
    <definedName name="BB">'Index-Data'!$B$2:$B$16</definedName>
    <definedName name="CC">'Index-Data'!$C$2:$C$11</definedName>
    <definedName name="DD">'Index-Data'!$D$2:$D$6</definedName>
    <definedName name="EE">'Index-Data'!$E$2:$E$4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S4" i="3" l="1"/>
  <c r="R4" i="3"/>
  <c r="Q4" i="3"/>
  <c r="P4" i="3"/>
  <c r="O4" i="3"/>
  <c r="N4" i="3"/>
  <c r="M4" i="3"/>
  <c r="L4" i="3"/>
  <c r="K4" i="3"/>
  <c r="J4" i="3"/>
  <c r="I4" i="3"/>
  <c r="H4" i="3"/>
  <c r="S3" i="3"/>
  <c r="R3" i="3"/>
  <c r="Q3" i="3"/>
  <c r="P3" i="3"/>
  <c r="O3" i="3"/>
  <c r="N3" i="3"/>
  <c r="M3" i="3"/>
  <c r="L3" i="3"/>
  <c r="K3" i="3"/>
  <c r="J3" i="3"/>
  <c r="I3" i="3"/>
  <c r="H3" i="3"/>
  <c r="J5" i="3" l="1"/>
  <c r="K5" i="3"/>
  <c r="O5" i="3"/>
  <c r="P5" i="3"/>
  <c r="H5" i="3"/>
  <c r="I5" i="3"/>
  <c r="N5" i="3"/>
  <c r="M5" i="3"/>
  <c r="Q5" i="3"/>
  <c r="L5" i="3"/>
  <c r="R5" i="3"/>
  <c r="S5" i="3"/>
  <c r="S6" i="3"/>
  <c r="R6" i="3"/>
  <c r="Q6" i="3"/>
  <c r="P6" i="3"/>
  <c r="O6" i="3"/>
  <c r="N6" i="3"/>
  <c r="M6" i="3"/>
  <c r="L6" i="3"/>
  <c r="K6" i="3"/>
  <c r="J6" i="3"/>
  <c r="I6" i="3"/>
  <c r="H6" i="3"/>
  <c r="A1" i="1" l="1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2" i="3"/>
  <c r="C365" i="3" a="1"/>
  <c r="C365" i="3" s="1"/>
  <c r="E365" i="3" s="1"/>
  <c r="C364" i="3" a="1"/>
  <c r="C364" i="3" s="1"/>
  <c r="E364" i="3" s="1"/>
  <c r="C363" i="3" a="1"/>
  <c r="C363" i="3" s="1"/>
  <c r="E363" i="3" s="1"/>
  <c r="C362" i="3" a="1"/>
  <c r="C362" i="3" s="1"/>
  <c r="E362" i="3" s="1"/>
  <c r="C361" i="3" a="1"/>
  <c r="C361" i="3" s="1"/>
  <c r="E361" i="3" s="1"/>
  <c r="C360" i="3" a="1"/>
  <c r="C360" i="3" s="1"/>
  <c r="E360" i="3" s="1"/>
  <c r="C359" i="3" a="1"/>
  <c r="C359" i="3" s="1"/>
  <c r="E359" i="3" s="1"/>
  <c r="C358" i="3" a="1"/>
  <c r="C358" i="3" s="1"/>
  <c r="E358" i="3" s="1"/>
  <c r="C357" i="3" a="1"/>
  <c r="C357" i="3" s="1"/>
  <c r="E357" i="3" s="1"/>
  <c r="C356" i="3" a="1"/>
  <c r="C356" i="3" s="1"/>
  <c r="E356" i="3" s="1"/>
  <c r="C355" i="3" a="1"/>
  <c r="C355" i="3" s="1"/>
  <c r="E355" i="3" s="1"/>
  <c r="C354" i="3" a="1"/>
  <c r="C354" i="3" s="1"/>
  <c r="E354" i="3" s="1"/>
  <c r="C353" i="3" a="1"/>
  <c r="C353" i="3" s="1"/>
  <c r="E353" i="3" s="1"/>
  <c r="C352" i="3" a="1"/>
  <c r="C352" i="3" s="1"/>
  <c r="E352" i="3" s="1"/>
  <c r="C351" i="3" a="1"/>
  <c r="C351" i="3" s="1"/>
  <c r="E351" i="3" s="1"/>
  <c r="C350" i="3" a="1"/>
  <c r="C350" i="3" s="1"/>
  <c r="E350" i="3" s="1"/>
  <c r="C349" i="3" a="1"/>
  <c r="C349" i="3" s="1"/>
  <c r="E349" i="3" s="1"/>
  <c r="C348" i="3" a="1"/>
  <c r="C348" i="3" s="1"/>
  <c r="E348" i="3" s="1"/>
  <c r="C347" i="3" a="1"/>
  <c r="C347" i="3" s="1"/>
  <c r="E347" i="3" s="1"/>
  <c r="C346" i="3" a="1"/>
  <c r="C346" i="3" s="1"/>
  <c r="E346" i="3" s="1"/>
  <c r="C345" i="3" a="1"/>
  <c r="C345" i="3" s="1"/>
  <c r="E345" i="3" s="1"/>
  <c r="C344" i="3" a="1"/>
  <c r="C344" i="3" s="1"/>
  <c r="E344" i="3" s="1"/>
  <c r="C343" i="3" a="1"/>
  <c r="C343" i="3" s="1"/>
  <c r="E343" i="3" s="1"/>
  <c r="C342" i="3" a="1"/>
  <c r="C342" i="3" s="1"/>
  <c r="E342" i="3" s="1"/>
  <c r="C341" i="3" a="1"/>
  <c r="C341" i="3" s="1"/>
  <c r="E341" i="3" s="1"/>
  <c r="C340" i="3" a="1"/>
  <c r="C340" i="3" s="1"/>
  <c r="E340" i="3" s="1"/>
  <c r="C339" i="3" a="1"/>
  <c r="C339" i="3" s="1"/>
  <c r="E339" i="3" s="1"/>
  <c r="C338" i="3" a="1"/>
  <c r="C338" i="3" s="1"/>
  <c r="E338" i="3" s="1"/>
  <c r="C337" i="3" a="1"/>
  <c r="C337" i="3" s="1"/>
  <c r="E337" i="3" s="1"/>
  <c r="C336" i="3" a="1"/>
  <c r="C336" i="3" s="1"/>
  <c r="E336" i="3" s="1"/>
  <c r="C335" i="3" a="1"/>
  <c r="C335" i="3" s="1"/>
  <c r="E335" i="3" s="1"/>
  <c r="C334" i="3" a="1"/>
  <c r="C334" i="3" s="1"/>
  <c r="E334" i="3" s="1"/>
  <c r="C333" i="3" a="1"/>
  <c r="C333" i="3" s="1"/>
  <c r="E333" i="3" s="1"/>
  <c r="C332" i="3" a="1"/>
  <c r="C332" i="3" s="1"/>
  <c r="E332" i="3" s="1"/>
  <c r="C331" i="3" a="1"/>
  <c r="C331" i="3" s="1"/>
  <c r="E331" i="3" s="1"/>
  <c r="C330" i="3" a="1"/>
  <c r="C330" i="3" s="1"/>
  <c r="E330" i="3" s="1"/>
  <c r="C329" i="3" a="1"/>
  <c r="C329" i="3" s="1"/>
  <c r="E329" i="3" s="1"/>
  <c r="C328" i="3" a="1"/>
  <c r="C328" i="3" s="1"/>
  <c r="E328" i="3" s="1"/>
  <c r="C327" i="3" a="1"/>
  <c r="C327" i="3" s="1"/>
  <c r="E327" i="3" s="1"/>
  <c r="C326" i="3" a="1"/>
  <c r="C326" i="3" s="1"/>
  <c r="E326" i="3" s="1"/>
  <c r="C325" i="3" a="1"/>
  <c r="C325" i="3" s="1"/>
  <c r="E325" i="3" s="1"/>
  <c r="C324" i="3" a="1"/>
  <c r="C324" i="3" s="1"/>
  <c r="E324" i="3" s="1"/>
  <c r="C323" i="3" a="1"/>
  <c r="C323" i="3" s="1"/>
  <c r="E323" i="3" s="1"/>
  <c r="C322" i="3" a="1"/>
  <c r="C322" i="3" s="1"/>
  <c r="E322" i="3" s="1"/>
  <c r="C321" i="3" a="1"/>
  <c r="C321" i="3" s="1"/>
  <c r="E321" i="3" s="1"/>
  <c r="C320" i="3" a="1"/>
  <c r="C320" i="3" s="1"/>
  <c r="E320" i="3" s="1"/>
  <c r="C319" i="3" a="1"/>
  <c r="C319" i="3" s="1"/>
  <c r="E319" i="3" s="1"/>
  <c r="C318" i="3" a="1"/>
  <c r="C318" i="3" s="1"/>
  <c r="E318" i="3" s="1"/>
  <c r="C317" i="3" a="1"/>
  <c r="C317" i="3" s="1"/>
  <c r="E317" i="3" s="1"/>
  <c r="C316" i="3" a="1"/>
  <c r="C316" i="3" s="1"/>
  <c r="E316" i="3" s="1"/>
  <c r="C315" i="3" a="1"/>
  <c r="C315" i="3" s="1"/>
  <c r="E315" i="3" s="1"/>
  <c r="C314" i="3" a="1"/>
  <c r="C314" i="3" s="1"/>
  <c r="E314" i="3" s="1"/>
  <c r="C313" i="3" a="1"/>
  <c r="C313" i="3" s="1"/>
  <c r="E313" i="3" s="1"/>
  <c r="C312" i="3" a="1"/>
  <c r="C312" i="3" s="1"/>
  <c r="E312" i="3" s="1"/>
  <c r="C311" i="3" a="1"/>
  <c r="C311" i="3" s="1"/>
  <c r="E311" i="3" s="1"/>
  <c r="C310" i="3" a="1"/>
  <c r="C310" i="3" s="1"/>
  <c r="E310" i="3" s="1"/>
  <c r="C309" i="3" a="1"/>
  <c r="C309" i="3" s="1"/>
  <c r="E309" i="3" s="1"/>
  <c r="C308" i="3" a="1"/>
  <c r="C308" i="3" s="1"/>
  <c r="E308" i="3" s="1"/>
  <c r="C307" i="3" a="1"/>
  <c r="C307" i="3" s="1"/>
  <c r="E307" i="3" s="1"/>
  <c r="C306" i="3" a="1"/>
  <c r="C306" i="3" s="1"/>
  <c r="E306" i="3" s="1"/>
  <c r="C305" i="3" a="1"/>
  <c r="C305" i="3" s="1"/>
  <c r="E305" i="3" s="1"/>
  <c r="C304" i="3" a="1"/>
  <c r="C304" i="3" s="1"/>
  <c r="E304" i="3" s="1"/>
  <c r="C303" i="3" a="1"/>
  <c r="C303" i="3" s="1"/>
  <c r="E303" i="3" s="1"/>
  <c r="C302" i="3" a="1"/>
  <c r="C302" i="3" s="1"/>
  <c r="E302" i="3" s="1"/>
  <c r="C301" i="3" a="1"/>
  <c r="C301" i="3" s="1"/>
  <c r="E301" i="3" s="1"/>
  <c r="C300" i="3" a="1"/>
  <c r="C300" i="3" s="1"/>
  <c r="E300" i="3" s="1"/>
  <c r="C299" i="3" a="1"/>
  <c r="C299" i="3" s="1"/>
  <c r="E299" i="3" s="1"/>
  <c r="C298" i="3" a="1"/>
  <c r="C298" i="3" s="1"/>
  <c r="E298" i="3" s="1"/>
  <c r="C297" i="3" a="1"/>
  <c r="C297" i="3" s="1"/>
  <c r="E297" i="3" s="1"/>
  <c r="C296" i="3" a="1"/>
  <c r="C296" i="3" s="1"/>
  <c r="E296" i="3" s="1"/>
  <c r="C295" i="3" a="1"/>
  <c r="C295" i="3" s="1"/>
  <c r="E295" i="3" s="1"/>
  <c r="C294" i="3" a="1"/>
  <c r="C294" i="3" s="1"/>
  <c r="E294" i="3" s="1"/>
  <c r="C293" i="3" a="1"/>
  <c r="C293" i="3" s="1"/>
  <c r="E293" i="3" s="1"/>
  <c r="C292" i="3" a="1"/>
  <c r="C292" i="3" s="1"/>
  <c r="E292" i="3" s="1"/>
  <c r="C291" i="3" a="1"/>
  <c r="C291" i="3" s="1"/>
  <c r="E291" i="3" s="1"/>
  <c r="C290" i="3" a="1"/>
  <c r="C290" i="3" s="1"/>
  <c r="E290" i="3" s="1"/>
  <c r="C289" i="3" a="1"/>
  <c r="C289" i="3" s="1"/>
  <c r="E289" i="3" s="1"/>
  <c r="C288" i="3" a="1"/>
  <c r="C288" i="3" s="1"/>
  <c r="E288" i="3" s="1"/>
  <c r="C287" i="3" a="1"/>
  <c r="C287" i="3" s="1"/>
  <c r="E287" i="3" s="1"/>
  <c r="C286" i="3" a="1"/>
  <c r="C286" i="3" s="1"/>
  <c r="E286" i="3" s="1"/>
  <c r="C285" i="3" a="1"/>
  <c r="C285" i="3" s="1"/>
  <c r="E285" i="3" s="1"/>
  <c r="C284" i="3" a="1"/>
  <c r="C284" i="3" s="1"/>
  <c r="E284" i="3" s="1"/>
  <c r="C283" i="3" a="1"/>
  <c r="C283" i="3" s="1"/>
  <c r="E283" i="3" s="1"/>
  <c r="C282" i="3" a="1"/>
  <c r="C282" i="3" s="1"/>
  <c r="E282" i="3" s="1"/>
  <c r="C281" i="3" a="1"/>
  <c r="C281" i="3" s="1"/>
  <c r="E281" i="3" s="1"/>
  <c r="C280" i="3" a="1"/>
  <c r="C280" i="3" s="1"/>
  <c r="E280" i="3" s="1"/>
  <c r="C279" i="3" a="1"/>
  <c r="C279" i="3" s="1"/>
  <c r="E279" i="3" s="1"/>
  <c r="C278" i="3" a="1"/>
  <c r="C278" i="3" s="1"/>
  <c r="E278" i="3" s="1"/>
  <c r="C277" i="3" a="1"/>
  <c r="C277" i="3" s="1"/>
  <c r="E277" i="3" s="1"/>
  <c r="C276" i="3" a="1"/>
  <c r="C276" i="3" s="1"/>
  <c r="E276" i="3" s="1"/>
  <c r="C275" i="3" a="1"/>
  <c r="C275" i="3" s="1"/>
  <c r="E275" i="3" s="1"/>
  <c r="C274" i="3" a="1"/>
  <c r="C274" i="3" s="1"/>
  <c r="E274" i="3" s="1"/>
  <c r="C273" i="3" a="1"/>
  <c r="C273" i="3" s="1"/>
  <c r="E273" i="3" s="1"/>
  <c r="C272" i="3" a="1"/>
  <c r="C272" i="3" s="1"/>
  <c r="E272" i="3" s="1"/>
  <c r="C271" i="3" a="1"/>
  <c r="C271" i="3" s="1"/>
  <c r="E271" i="3" s="1"/>
  <c r="C270" i="3" a="1"/>
  <c r="C270" i="3" s="1"/>
  <c r="E270" i="3" s="1"/>
  <c r="C269" i="3" a="1"/>
  <c r="C269" i="3" s="1"/>
  <c r="E269" i="3" s="1"/>
  <c r="C268" i="3" a="1"/>
  <c r="C268" i="3" s="1"/>
  <c r="E268" i="3" s="1"/>
  <c r="C267" i="3" a="1"/>
  <c r="C267" i="3" s="1"/>
  <c r="E267" i="3" s="1"/>
  <c r="C266" i="3" a="1"/>
  <c r="C266" i="3" s="1"/>
  <c r="E266" i="3" s="1"/>
  <c r="C265" i="3" a="1"/>
  <c r="C265" i="3" s="1"/>
  <c r="E265" i="3" s="1"/>
  <c r="C264" i="3" a="1"/>
  <c r="C264" i="3" s="1"/>
  <c r="E264" i="3" s="1"/>
  <c r="C263" i="3" a="1"/>
  <c r="C263" i="3" s="1"/>
  <c r="E263" i="3" s="1"/>
  <c r="C262" i="3" a="1"/>
  <c r="C262" i="3" s="1"/>
  <c r="E262" i="3" s="1"/>
  <c r="C261" i="3" a="1"/>
  <c r="C261" i="3" s="1"/>
  <c r="E261" i="3" s="1"/>
  <c r="C260" i="3" a="1"/>
  <c r="C260" i="3" s="1"/>
  <c r="E260" i="3" s="1"/>
  <c r="C259" i="3" a="1"/>
  <c r="C259" i="3" s="1"/>
  <c r="E259" i="3" s="1"/>
  <c r="C258" i="3" a="1"/>
  <c r="C258" i="3" s="1"/>
  <c r="E258" i="3" s="1"/>
  <c r="C257" i="3" a="1"/>
  <c r="C257" i="3" s="1"/>
  <c r="E257" i="3" s="1"/>
  <c r="C256" i="3" a="1"/>
  <c r="C256" i="3" s="1"/>
  <c r="E256" i="3" s="1"/>
  <c r="C255" i="3" a="1"/>
  <c r="C255" i="3" s="1"/>
  <c r="E255" i="3" s="1"/>
  <c r="C254" i="3" a="1"/>
  <c r="C254" i="3" s="1"/>
  <c r="E254" i="3" s="1"/>
  <c r="C253" i="3" a="1"/>
  <c r="C253" i="3" s="1"/>
  <c r="E253" i="3" s="1"/>
  <c r="C252" i="3" a="1"/>
  <c r="C252" i="3" s="1"/>
  <c r="E252" i="3" s="1"/>
  <c r="C251" i="3" a="1"/>
  <c r="C251" i="3" s="1"/>
  <c r="E251" i="3" s="1"/>
  <c r="C250" i="3" a="1"/>
  <c r="C250" i="3" s="1"/>
  <c r="E250" i="3" s="1"/>
  <c r="C249" i="3" a="1"/>
  <c r="C249" i="3" s="1"/>
  <c r="E249" i="3" s="1"/>
  <c r="C248" i="3" a="1"/>
  <c r="C248" i="3" s="1"/>
  <c r="E248" i="3" s="1"/>
  <c r="C247" i="3" a="1"/>
  <c r="C247" i="3" s="1"/>
  <c r="E247" i="3" s="1"/>
  <c r="C246" i="3" a="1"/>
  <c r="C246" i="3" s="1"/>
  <c r="E246" i="3" s="1"/>
  <c r="C245" i="3" a="1"/>
  <c r="C245" i="3" s="1"/>
  <c r="E245" i="3" s="1"/>
  <c r="C244" i="3" a="1"/>
  <c r="C244" i="3" s="1"/>
  <c r="E244" i="3" s="1"/>
  <c r="C243" i="3" a="1"/>
  <c r="C243" i="3" s="1"/>
  <c r="E243" i="3" s="1"/>
  <c r="C242" i="3" a="1"/>
  <c r="C242" i="3" s="1"/>
  <c r="E242" i="3" s="1"/>
  <c r="C241" i="3" a="1"/>
  <c r="C241" i="3" s="1"/>
  <c r="E241" i="3" s="1"/>
  <c r="C240" i="3" a="1"/>
  <c r="C240" i="3" s="1"/>
  <c r="E240" i="3" s="1"/>
  <c r="C239" i="3" a="1"/>
  <c r="C239" i="3" s="1"/>
  <c r="E239" i="3" s="1"/>
  <c r="C238" i="3" a="1"/>
  <c r="C238" i="3" s="1"/>
  <c r="E238" i="3" s="1"/>
  <c r="C237" i="3" a="1"/>
  <c r="C237" i="3" s="1"/>
  <c r="E237" i="3" s="1"/>
  <c r="C236" i="3" a="1"/>
  <c r="C236" i="3" s="1"/>
  <c r="E236" i="3" s="1"/>
  <c r="C235" i="3" a="1"/>
  <c r="C235" i="3" s="1"/>
  <c r="E235" i="3" s="1"/>
  <c r="C234" i="3" a="1"/>
  <c r="C234" i="3" s="1"/>
  <c r="E234" i="3" s="1"/>
  <c r="C233" i="3" a="1"/>
  <c r="C233" i="3" s="1"/>
  <c r="E233" i="3" s="1"/>
  <c r="C232" i="3" a="1"/>
  <c r="C232" i="3" s="1"/>
  <c r="E232" i="3" s="1"/>
  <c r="C231" i="3" a="1"/>
  <c r="C231" i="3" s="1"/>
  <c r="E231" i="3" s="1"/>
  <c r="C230" i="3" a="1"/>
  <c r="C230" i="3" s="1"/>
  <c r="E230" i="3" s="1"/>
  <c r="C229" i="3" a="1"/>
  <c r="C229" i="3" s="1"/>
  <c r="E229" i="3" s="1"/>
  <c r="C228" i="3" a="1"/>
  <c r="C228" i="3" s="1"/>
  <c r="E228" i="3" s="1"/>
  <c r="C227" i="3" a="1"/>
  <c r="C227" i="3" s="1"/>
  <c r="E227" i="3" s="1"/>
  <c r="C226" i="3" a="1"/>
  <c r="C226" i="3" s="1"/>
  <c r="E226" i="3" s="1"/>
  <c r="C225" i="3" a="1"/>
  <c r="C225" i="3" s="1"/>
  <c r="E225" i="3" s="1"/>
  <c r="C224" i="3" a="1"/>
  <c r="C224" i="3" s="1"/>
  <c r="E224" i="3" s="1"/>
  <c r="C223" i="3" a="1"/>
  <c r="C223" i="3" s="1"/>
  <c r="E223" i="3" s="1"/>
  <c r="C222" i="3" a="1"/>
  <c r="C222" i="3" s="1"/>
  <c r="E222" i="3" s="1"/>
  <c r="C221" i="3" a="1"/>
  <c r="C221" i="3" s="1"/>
  <c r="E221" i="3" s="1"/>
  <c r="C220" i="3" a="1"/>
  <c r="C220" i="3" s="1"/>
  <c r="E220" i="3" s="1"/>
  <c r="C219" i="3" a="1"/>
  <c r="C219" i="3" s="1"/>
  <c r="E219" i="3" s="1"/>
  <c r="C218" i="3" a="1"/>
  <c r="C218" i="3" s="1"/>
  <c r="E218" i="3" s="1"/>
  <c r="C217" i="3" a="1"/>
  <c r="C217" i="3" s="1"/>
  <c r="E217" i="3" s="1"/>
  <c r="C216" i="3" a="1"/>
  <c r="C216" i="3" s="1"/>
  <c r="E216" i="3" s="1"/>
  <c r="C215" i="3" a="1"/>
  <c r="C215" i="3" s="1"/>
  <c r="E215" i="3" s="1"/>
  <c r="C214" i="3" a="1"/>
  <c r="C214" i="3" s="1"/>
  <c r="E214" i="3" s="1"/>
  <c r="C213" i="3" a="1"/>
  <c r="C213" i="3" s="1"/>
  <c r="E213" i="3" s="1"/>
  <c r="C212" i="3" a="1"/>
  <c r="C212" i="3" s="1"/>
  <c r="E212" i="3" s="1"/>
  <c r="C211" i="3" a="1"/>
  <c r="C211" i="3" s="1"/>
  <c r="E211" i="3" s="1"/>
  <c r="C210" i="3" a="1"/>
  <c r="C210" i="3" s="1"/>
  <c r="E210" i="3" s="1"/>
  <c r="C209" i="3" a="1"/>
  <c r="C209" i="3" s="1"/>
  <c r="E209" i="3" s="1"/>
  <c r="C208" i="3" a="1"/>
  <c r="C208" i="3" s="1"/>
  <c r="E208" i="3" s="1"/>
  <c r="C207" i="3" a="1"/>
  <c r="C207" i="3" s="1"/>
  <c r="E207" i="3" s="1"/>
  <c r="C206" i="3" a="1"/>
  <c r="C206" i="3" s="1"/>
  <c r="E206" i="3" s="1"/>
  <c r="C205" i="3" a="1"/>
  <c r="C205" i="3" s="1"/>
  <c r="E205" i="3" s="1"/>
  <c r="C204" i="3" a="1"/>
  <c r="C204" i="3" s="1"/>
  <c r="E204" i="3" s="1"/>
  <c r="C203" i="3" a="1"/>
  <c r="C203" i="3" s="1"/>
  <c r="E203" i="3" s="1"/>
  <c r="C202" i="3" a="1"/>
  <c r="C202" i="3" s="1"/>
  <c r="E202" i="3" s="1"/>
  <c r="C201" i="3" a="1"/>
  <c r="C201" i="3" s="1"/>
  <c r="E201" i="3" s="1"/>
  <c r="C200" i="3" a="1"/>
  <c r="C200" i="3" s="1"/>
  <c r="E200" i="3" s="1"/>
  <c r="C199" i="3" a="1"/>
  <c r="C199" i="3" s="1"/>
  <c r="E199" i="3" s="1"/>
  <c r="C198" i="3" a="1"/>
  <c r="C198" i="3" s="1"/>
  <c r="E198" i="3" s="1"/>
  <c r="C197" i="3" a="1"/>
  <c r="C197" i="3" s="1"/>
  <c r="E197" i="3" s="1"/>
  <c r="C196" i="3" a="1"/>
  <c r="C196" i="3" s="1"/>
  <c r="E196" i="3" s="1"/>
  <c r="C195" i="3" a="1"/>
  <c r="C195" i="3" s="1"/>
  <c r="E195" i="3" s="1"/>
  <c r="C194" i="3" a="1"/>
  <c r="C194" i="3" s="1"/>
  <c r="C193" i="3" a="1"/>
  <c r="C193" i="3" s="1"/>
  <c r="C192" i="3" a="1"/>
  <c r="C192" i="3" s="1"/>
  <c r="C191" i="3" a="1"/>
  <c r="C191" i="3" s="1"/>
  <c r="E191" i="3" s="1"/>
  <c r="C190" i="3" a="1"/>
  <c r="C190" i="3" s="1"/>
  <c r="C189" i="3" a="1"/>
  <c r="C189" i="3" s="1"/>
  <c r="E189" i="3" s="1"/>
  <c r="C188" i="3" a="1"/>
  <c r="C188" i="3" s="1"/>
  <c r="E188" i="3" s="1"/>
  <c r="C187" i="3" a="1"/>
  <c r="C187" i="3" s="1"/>
  <c r="C186" i="3" a="1"/>
  <c r="C186" i="3" s="1"/>
  <c r="E186" i="3" s="1"/>
  <c r="C185" i="3" a="1"/>
  <c r="C185" i="3" s="1"/>
  <c r="C184" i="3" a="1"/>
  <c r="C184" i="3" s="1"/>
  <c r="E184" i="3" s="1"/>
  <c r="C183" i="3" a="1"/>
  <c r="C183" i="3" s="1"/>
  <c r="C182" i="3" a="1"/>
  <c r="C182" i="3" s="1"/>
  <c r="C181" i="3" a="1"/>
  <c r="C181" i="3" s="1"/>
  <c r="C180" i="3" a="1"/>
  <c r="C180" i="3" s="1"/>
  <c r="E180" i="3" s="1"/>
  <c r="C179" i="3" a="1"/>
  <c r="C179" i="3" s="1"/>
  <c r="E179" i="3" s="1"/>
  <c r="C178" i="3" a="1"/>
  <c r="C178" i="3" s="1"/>
  <c r="E178" i="3" s="1"/>
  <c r="C177" i="3" a="1"/>
  <c r="C177" i="3" s="1"/>
  <c r="E177" i="3" s="1"/>
  <c r="C176" i="3" a="1"/>
  <c r="C176" i="3" s="1"/>
  <c r="C175" i="3" a="1"/>
  <c r="C175" i="3" s="1"/>
  <c r="C174" i="3" a="1"/>
  <c r="C174" i="3" s="1"/>
  <c r="C173" i="3" a="1"/>
  <c r="C173" i="3" s="1"/>
  <c r="C172" i="3" a="1"/>
  <c r="C172" i="3" s="1"/>
  <c r="E172" i="3" s="1"/>
  <c r="C171" i="3" a="1"/>
  <c r="C171" i="3" s="1"/>
  <c r="C170" i="3" a="1"/>
  <c r="C170" i="3" s="1"/>
  <c r="E170" i="3" s="1"/>
  <c r="C169" i="3" a="1"/>
  <c r="C169" i="3" s="1"/>
  <c r="C168" i="3" a="1"/>
  <c r="C168" i="3" s="1"/>
  <c r="C167" i="3" a="1"/>
  <c r="C167" i="3" s="1"/>
  <c r="C166" i="3" a="1"/>
  <c r="C166" i="3" s="1"/>
  <c r="C165" i="3" a="1"/>
  <c r="C165" i="3" s="1"/>
  <c r="E165" i="3" s="1"/>
  <c r="C164" i="3" a="1"/>
  <c r="C164" i="3" s="1"/>
  <c r="C163" i="3" a="1"/>
  <c r="C163" i="3" s="1"/>
  <c r="E163" i="3" s="1"/>
  <c r="C162" i="3" a="1"/>
  <c r="C162" i="3" s="1"/>
  <c r="C161" i="3" a="1"/>
  <c r="C161" i="3" s="1"/>
  <c r="C160" i="3" a="1"/>
  <c r="C160" i="3" s="1"/>
  <c r="C159" i="3" a="1"/>
  <c r="C159" i="3" s="1"/>
  <c r="C158" i="3" a="1"/>
  <c r="C158" i="3" s="1"/>
  <c r="C157" i="3" a="1"/>
  <c r="C157" i="3" s="1"/>
  <c r="C156" i="3" a="1"/>
  <c r="C156" i="3" s="1"/>
  <c r="E156" i="3" s="1"/>
  <c r="C155" i="3" a="1"/>
  <c r="C155" i="3" s="1"/>
  <c r="C154" i="3" a="1"/>
  <c r="C154" i="3" s="1"/>
  <c r="C153" i="3" a="1"/>
  <c r="C153" i="3" s="1"/>
  <c r="C152" i="3" a="1"/>
  <c r="C152" i="3" s="1"/>
  <c r="C151" i="3" a="1"/>
  <c r="C151" i="3" s="1"/>
  <c r="E151" i="3" s="1"/>
  <c r="C150" i="3" a="1"/>
  <c r="C150" i="3" s="1"/>
  <c r="C149" i="3" a="1"/>
  <c r="C149" i="3" s="1"/>
  <c r="E149" i="3" s="1"/>
  <c r="C148" i="3" a="1"/>
  <c r="C148" i="3" s="1"/>
  <c r="C147" i="3" a="1"/>
  <c r="C147" i="3" s="1"/>
  <c r="C146" i="3" a="1"/>
  <c r="C146" i="3" s="1"/>
  <c r="C145" i="3" a="1"/>
  <c r="C145" i="3" s="1"/>
  <c r="C144" i="3" a="1"/>
  <c r="C144" i="3" s="1"/>
  <c r="E144" i="3" s="1"/>
  <c r="C143" i="3" a="1"/>
  <c r="C143" i="3" s="1"/>
  <c r="C142" i="3" a="1"/>
  <c r="C142" i="3" s="1"/>
  <c r="E142" i="3" s="1"/>
  <c r="C141" i="3" a="1"/>
  <c r="C141" i="3" s="1"/>
  <c r="C140" i="3" a="1"/>
  <c r="C140" i="3" s="1"/>
  <c r="C139" i="3" a="1"/>
  <c r="C139" i="3" s="1"/>
  <c r="C138" i="3" a="1"/>
  <c r="C138" i="3" s="1"/>
  <c r="C137" i="3" a="1"/>
  <c r="C137" i="3" s="1"/>
  <c r="E137" i="3" s="1"/>
  <c r="C136" i="3" a="1"/>
  <c r="C136" i="3" s="1"/>
  <c r="C135" i="3" a="1"/>
  <c r="C135" i="3" s="1"/>
  <c r="E135" i="3" s="1"/>
  <c r="C134" i="3" a="1"/>
  <c r="C134" i="3" s="1"/>
  <c r="C133" i="3" a="1"/>
  <c r="C133" i="3" s="1"/>
  <c r="C132" i="3" a="1"/>
  <c r="C132" i="3" s="1"/>
  <c r="C131" i="3" a="1"/>
  <c r="C131" i="3" s="1"/>
  <c r="C130" i="3" a="1"/>
  <c r="C130" i="3" s="1"/>
  <c r="E130" i="3" s="1"/>
  <c r="C129" i="3" a="1"/>
  <c r="C129" i="3" s="1"/>
  <c r="C128" i="3" a="1"/>
  <c r="C128" i="3" s="1"/>
  <c r="E128" i="3" s="1"/>
  <c r="C127" i="3" a="1"/>
  <c r="C127" i="3" s="1"/>
  <c r="C126" i="3" a="1"/>
  <c r="C126" i="3" s="1"/>
  <c r="C125" i="3" a="1"/>
  <c r="C125" i="3" s="1"/>
  <c r="C124" i="3" a="1"/>
  <c r="C124" i="3" s="1"/>
  <c r="C123" i="3" a="1"/>
  <c r="C123" i="3" s="1"/>
  <c r="E123" i="3" s="1"/>
  <c r="C122" i="3" a="1"/>
  <c r="C122" i="3" s="1"/>
  <c r="E122" i="3" s="1"/>
  <c r="C121" i="3" a="1"/>
  <c r="C121" i="3" s="1"/>
  <c r="E121" i="3" s="1"/>
  <c r="C120" i="3" a="1"/>
  <c r="C120" i="3" s="1"/>
  <c r="C119" i="3" a="1"/>
  <c r="C119" i="3" s="1"/>
  <c r="C118" i="3" a="1"/>
  <c r="C118" i="3" s="1"/>
  <c r="C117" i="3" a="1"/>
  <c r="C117" i="3" s="1"/>
  <c r="C116" i="3" a="1"/>
  <c r="C116" i="3" s="1"/>
  <c r="E116" i="3" s="1"/>
  <c r="C115" i="3" a="1"/>
  <c r="C115" i="3" s="1"/>
  <c r="C114" i="3" a="1"/>
  <c r="C114" i="3" s="1"/>
  <c r="E114" i="3" s="1"/>
  <c r="C113" i="3" a="1"/>
  <c r="C113" i="3" s="1"/>
  <c r="C112" i="3" a="1"/>
  <c r="C112" i="3" s="1"/>
  <c r="C111" i="3" a="1"/>
  <c r="C111" i="3" s="1"/>
  <c r="C110" i="3" a="1"/>
  <c r="C110" i="3" s="1"/>
  <c r="C109" i="3" a="1"/>
  <c r="C109" i="3" s="1"/>
  <c r="E109" i="3" s="1"/>
  <c r="C108" i="3" a="1"/>
  <c r="C108" i="3" s="1"/>
  <c r="C107" i="3" a="1"/>
  <c r="C107" i="3" s="1"/>
  <c r="E107" i="3" s="1"/>
  <c r="C106" i="3" a="1"/>
  <c r="C106" i="3" s="1"/>
  <c r="C105" i="3" a="1"/>
  <c r="C105" i="3" s="1"/>
  <c r="C104" i="3" a="1"/>
  <c r="C104" i="3" s="1"/>
  <c r="C103" i="3" a="1"/>
  <c r="C103" i="3" s="1"/>
  <c r="C102" i="3" a="1"/>
  <c r="C102" i="3" s="1"/>
  <c r="E102" i="3" s="1"/>
  <c r="C101" i="3" a="1"/>
  <c r="C101" i="3" s="1"/>
  <c r="C100" i="3" a="1"/>
  <c r="C100" i="3" s="1"/>
  <c r="C99" i="3" a="1"/>
  <c r="C99" i="3" s="1"/>
  <c r="C98" i="3" a="1"/>
  <c r="C98" i="3" s="1"/>
  <c r="C97" i="3" a="1"/>
  <c r="C97" i="3" s="1"/>
  <c r="C96" i="3" a="1"/>
  <c r="C96" i="3" s="1"/>
  <c r="E96" i="3" s="1"/>
  <c r="C95" i="3" a="1"/>
  <c r="C95" i="3" s="1"/>
  <c r="E95" i="3" s="1"/>
  <c r="C94" i="3" a="1"/>
  <c r="C94" i="3" s="1"/>
  <c r="C93" i="3" a="1"/>
  <c r="C93" i="3" s="1"/>
  <c r="E93" i="3" s="1"/>
  <c r="C92" i="3" a="1"/>
  <c r="C92" i="3" s="1"/>
  <c r="C91" i="3" a="1"/>
  <c r="C91" i="3" s="1"/>
  <c r="C90" i="3" a="1"/>
  <c r="C90" i="3" s="1"/>
  <c r="C89" i="3" a="1"/>
  <c r="C89" i="3" s="1"/>
  <c r="C88" i="3" a="1"/>
  <c r="C88" i="3" s="1"/>
  <c r="E88" i="3" s="1"/>
  <c r="C87" i="3" a="1"/>
  <c r="C87" i="3" s="1"/>
  <c r="C86" i="3" a="1"/>
  <c r="C86" i="3" s="1"/>
  <c r="E86" i="3" s="1"/>
  <c r="C85" i="3" a="1"/>
  <c r="C85" i="3" s="1"/>
  <c r="C84" i="3" a="1"/>
  <c r="C84" i="3" s="1"/>
  <c r="C83" i="3" a="1"/>
  <c r="C83" i="3" s="1"/>
  <c r="C82" i="3" a="1"/>
  <c r="C82" i="3" s="1"/>
  <c r="C81" i="3" a="1"/>
  <c r="C81" i="3" s="1"/>
  <c r="E81" i="3" s="1"/>
  <c r="C80" i="3" a="1"/>
  <c r="C80" i="3" s="1"/>
  <c r="C79" i="3" a="1"/>
  <c r="C79" i="3" s="1"/>
  <c r="E79" i="3" s="1"/>
  <c r="C78" i="3" a="1"/>
  <c r="C78" i="3" s="1"/>
  <c r="C77" i="3" a="1"/>
  <c r="C77" i="3" s="1"/>
  <c r="C76" i="3" a="1"/>
  <c r="C76" i="3" s="1"/>
  <c r="C75" i="3" a="1"/>
  <c r="C75" i="3" s="1"/>
  <c r="C74" i="3" a="1"/>
  <c r="C74" i="3" s="1"/>
  <c r="E74" i="3" s="1"/>
  <c r="C73" i="3" a="1"/>
  <c r="C73" i="3" s="1"/>
  <c r="C72" i="3" a="1"/>
  <c r="C72" i="3" s="1"/>
  <c r="E72" i="3" s="1"/>
  <c r="C71" i="3" a="1"/>
  <c r="C71" i="3" s="1"/>
  <c r="C70" i="3" a="1"/>
  <c r="C70" i="3" s="1"/>
  <c r="C69" i="3" a="1"/>
  <c r="C69" i="3" s="1"/>
  <c r="C68" i="3" a="1"/>
  <c r="C68" i="3" s="1"/>
  <c r="C67" i="3" a="1"/>
  <c r="C67" i="3" s="1"/>
  <c r="E67" i="3" s="1"/>
  <c r="C66" i="3" a="1"/>
  <c r="C66" i="3" s="1"/>
  <c r="C65" i="3" a="1"/>
  <c r="C65" i="3" s="1"/>
  <c r="E65" i="3" s="1"/>
  <c r="C64" i="3" a="1"/>
  <c r="C64" i="3" s="1"/>
  <c r="C63" i="3" a="1"/>
  <c r="C63" i="3" s="1"/>
  <c r="C62" i="3" a="1"/>
  <c r="C62" i="3" s="1"/>
  <c r="C61" i="3" a="1"/>
  <c r="C61" i="3" s="1"/>
  <c r="C60" i="3" a="1"/>
  <c r="C60" i="3" s="1"/>
  <c r="E60" i="3" s="1"/>
  <c r="C59" i="3" a="1"/>
  <c r="C59" i="3" s="1"/>
  <c r="C58" i="3" a="1"/>
  <c r="C58" i="3" s="1"/>
  <c r="E58" i="3" s="1"/>
  <c r="C57" i="3" a="1"/>
  <c r="C57" i="3" s="1"/>
  <c r="C56" i="3" a="1"/>
  <c r="C56" i="3" s="1"/>
  <c r="C55" i="3" a="1"/>
  <c r="C55" i="3" s="1"/>
  <c r="C54" i="3" a="1"/>
  <c r="C54" i="3" s="1"/>
  <c r="C53" i="3" a="1"/>
  <c r="C53" i="3" s="1"/>
  <c r="E53" i="3" s="1"/>
  <c r="C52" i="3" a="1"/>
  <c r="C52" i="3" s="1"/>
  <c r="E52" i="3" s="1"/>
  <c r="C51" i="3" a="1"/>
  <c r="C51" i="3" s="1"/>
  <c r="E51" i="3" s="1"/>
  <c r="C50" i="3" a="1"/>
  <c r="C50" i="3" s="1"/>
  <c r="E50" i="3" s="1"/>
  <c r="C49" i="3" a="1"/>
  <c r="C49" i="3" s="1"/>
  <c r="E49" i="3" s="1"/>
  <c r="C48" i="3" a="1"/>
  <c r="C48" i="3" s="1"/>
  <c r="E48" i="3" s="1"/>
  <c r="C47" i="3" a="1"/>
  <c r="C47" i="3" s="1"/>
  <c r="E47" i="3" s="1"/>
  <c r="C46" i="3" a="1"/>
  <c r="C46" i="3" s="1"/>
  <c r="E46" i="3" s="1"/>
  <c r="C45" i="3" a="1"/>
  <c r="C45" i="3" s="1"/>
  <c r="E45" i="3" s="1"/>
  <c r="C44" i="3" a="1"/>
  <c r="C44" i="3" s="1"/>
  <c r="E44" i="3" s="1"/>
  <c r="C43" i="3" a="1"/>
  <c r="C43" i="3" s="1"/>
  <c r="E43" i="3" s="1"/>
  <c r="C42" i="3" a="1"/>
  <c r="C42" i="3" s="1"/>
  <c r="E42" i="3" s="1"/>
  <c r="C41" i="3" a="1"/>
  <c r="C41" i="3" s="1"/>
  <c r="E41" i="3" s="1"/>
  <c r="C40" i="3" a="1"/>
  <c r="C40" i="3" s="1"/>
  <c r="C39" i="3" a="1"/>
  <c r="C39" i="3" s="1"/>
  <c r="E39" i="3" s="1"/>
  <c r="C38" i="3" a="1"/>
  <c r="C38" i="3" s="1"/>
  <c r="C37" i="3" a="1"/>
  <c r="C37" i="3" s="1"/>
  <c r="E37" i="3" s="1"/>
  <c r="C36" i="3" a="1"/>
  <c r="C36" i="3" s="1"/>
  <c r="C35" i="3" a="1"/>
  <c r="C35" i="3" s="1"/>
  <c r="C34" i="3" a="1"/>
  <c r="C34" i="3" s="1"/>
  <c r="C33" i="3" a="1"/>
  <c r="C33" i="3" s="1"/>
  <c r="C32" i="3" a="1"/>
  <c r="C32" i="3" s="1"/>
  <c r="E32" i="3" s="1"/>
  <c r="C31" i="3" a="1"/>
  <c r="C31" i="3" s="1"/>
  <c r="C30" i="3" a="1"/>
  <c r="C30" i="3" s="1"/>
  <c r="E30" i="3" s="1"/>
  <c r="C29" i="3" a="1"/>
  <c r="C29" i="3" s="1"/>
  <c r="C28" i="3" a="1"/>
  <c r="C28" i="3" s="1"/>
  <c r="C27" i="3" a="1"/>
  <c r="C27" i="3" s="1"/>
  <c r="C26" i="3" a="1"/>
  <c r="C26" i="3" s="1"/>
  <c r="C25" i="3" a="1"/>
  <c r="C25" i="3" s="1"/>
  <c r="E25" i="3" s="1"/>
  <c r="C24" i="3" a="1"/>
  <c r="C24" i="3" s="1"/>
  <c r="C23" i="3" a="1"/>
  <c r="C23" i="3" s="1"/>
  <c r="E23" i="3" s="1"/>
  <c r="C22" i="3" a="1"/>
  <c r="C22" i="3" s="1"/>
  <c r="C21" i="3" a="1"/>
  <c r="C21" i="3" s="1"/>
  <c r="C20" i="3" a="1"/>
  <c r="C20" i="3" s="1"/>
  <c r="C19" i="3" a="1"/>
  <c r="C19" i="3" s="1"/>
  <c r="C18" i="3" a="1"/>
  <c r="C18" i="3" s="1"/>
  <c r="E18" i="3" s="1"/>
  <c r="C17" i="3" a="1"/>
  <c r="C17" i="3" s="1"/>
  <c r="C16" i="3" a="1"/>
  <c r="C16" i="3" s="1"/>
  <c r="C15" i="3" a="1"/>
  <c r="C15" i="3" s="1"/>
  <c r="C14" i="3" a="1"/>
  <c r="C14" i="3" s="1"/>
  <c r="C13" i="3" a="1"/>
  <c r="C13" i="3" s="1"/>
  <c r="C12" i="3" a="1"/>
  <c r="C12" i="3" s="1"/>
  <c r="C11" i="3" a="1"/>
  <c r="C11" i="3" s="1"/>
  <c r="E11" i="3" s="1"/>
  <c r="C10" i="3" a="1"/>
  <c r="C10" i="3" s="1"/>
  <c r="C9" i="3" a="1"/>
  <c r="C9" i="3" s="1"/>
  <c r="C8" i="3" a="1"/>
  <c r="C8" i="3" s="1"/>
  <c r="C7" i="3" a="1"/>
  <c r="C7" i="3" s="1"/>
  <c r="C6" i="3" a="1"/>
  <c r="C6" i="3" s="1"/>
  <c r="C5" i="3" a="1"/>
  <c r="C5" i="3" s="1"/>
  <c r="C4" i="3" a="1"/>
  <c r="C4" i="3" s="1"/>
  <c r="E4" i="3" s="1"/>
  <c r="C3" i="3" a="1"/>
  <c r="C3" i="3" s="1"/>
  <c r="C2" i="3" a="1"/>
  <c r="C2" i="3" s="1"/>
  <c r="E190" i="3" l="1"/>
  <c r="E194" i="3"/>
  <c r="E185" i="3"/>
  <c r="E192" i="3"/>
  <c r="E193" i="3"/>
  <c r="E187" i="3"/>
  <c r="E183" i="3"/>
  <c r="E182" i="3"/>
  <c r="E174" i="3"/>
  <c r="E175" i="3"/>
  <c r="E181" i="3"/>
  <c r="E176" i="3"/>
  <c r="E171" i="3"/>
  <c r="E173" i="3"/>
  <c r="E160" i="3"/>
  <c r="E162" i="3"/>
  <c r="E169" i="3"/>
  <c r="E168" i="3"/>
  <c r="E167" i="3"/>
  <c r="E164" i="3"/>
  <c r="E166" i="3"/>
  <c r="E159" i="3"/>
  <c r="E161" i="3"/>
  <c r="E157" i="3"/>
  <c r="E158" i="3"/>
  <c r="E146" i="3"/>
  <c r="E155" i="3"/>
  <c r="E154" i="3"/>
  <c r="E143" i="3"/>
  <c r="E153" i="3"/>
  <c r="E152" i="3"/>
  <c r="E147" i="3"/>
  <c r="E148" i="3"/>
  <c r="E100" i="3"/>
  <c r="E150" i="3"/>
  <c r="E145" i="3"/>
  <c r="E141" i="3"/>
  <c r="E140" i="3"/>
  <c r="E132" i="3"/>
  <c r="E139" i="3"/>
  <c r="E138" i="3"/>
  <c r="E136" i="3"/>
  <c r="E129" i="3"/>
  <c r="E131" i="3"/>
  <c r="E133" i="3"/>
  <c r="E134" i="3"/>
  <c r="E118" i="3"/>
  <c r="E127" i="3"/>
  <c r="E126" i="3"/>
  <c r="E125" i="3"/>
  <c r="E119" i="3"/>
  <c r="E117" i="3"/>
  <c r="E124" i="3"/>
  <c r="E120" i="3"/>
  <c r="E115" i="3"/>
  <c r="E101" i="3"/>
  <c r="E103" i="3"/>
  <c r="E113" i="3"/>
  <c r="E112" i="3"/>
  <c r="E111" i="3"/>
  <c r="E110" i="3"/>
  <c r="E104" i="3"/>
  <c r="E108" i="3"/>
  <c r="E105" i="3"/>
  <c r="E106" i="3"/>
  <c r="E99" i="3"/>
  <c r="E98" i="3"/>
  <c r="E97" i="3"/>
  <c r="E91" i="3"/>
  <c r="E94" i="3"/>
  <c r="E87" i="3"/>
  <c r="E92" i="3"/>
  <c r="E90" i="3"/>
  <c r="E89" i="3"/>
  <c r="E85" i="3"/>
  <c r="E84" i="3"/>
  <c r="E83" i="3"/>
  <c r="E82" i="3"/>
  <c r="E78" i="3"/>
  <c r="E80" i="3"/>
  <c r="E63" i="3"/>
  <c r="E77" i="3"/>
  <c r="E75" i="3"/>
  <c r="E73" i="3"/>
  <c r="E76" i="3"/>
  <c r="E71" i="3"/>
  <c r="E70" i="3"/>
  <c r="E69" i="3"/>
  <c r="E68" i="3"/>
  <c r="E66" i="3"/>
  <c r="E64" i="3"/>
  <c r="E62" i="3"/>
  <c r="E61" i="3"/>
  <c r="E59" i="3"/>
  <c r="E57" i="3"/>
  <c r="E56" i="3"/>
  <c r="E55" i="3"/>
  <c r="E54" i="3"/>
  <c r="E40" i="3"/>
  <c r="E38" i="3"/>
  <c r="E36" i="3"/>
  <c r="E34" i="3"/>
  <c r="E35" i="3"/>
  <c r="E33" i="3"/>
  <c r="E31" i="3"/>
  <c r="E16" i="3"/>
  <c r="E29" i="3"/>
  <c r="E20" i="3"/>
  <c r="E28" i="3"/>
  <c r="E27" i="3"/>
  <c r="E17" i="3"/>
  <c r="E26" i="3"/>
  <c r="E24" i="3"/>
  <c r="E22" i="3"/>
  <c r="E21" i="3"/>
  <c r="E19" i="3"/>
  <c r="E15" i="3"/>
  <c r="E14" i="3"/>
  <c r="E13" i="3"/>
  <c r="E9" i="3"/>
  <c r="E10" i="3"/>
  <c r="E12" i="3"/>
  <c r="E7" i="3"/>
  <c r="E5" i="3"/>
  <c r="E8" i="3"/>
  <c r="E6" i="3"/>
  <c r="E2" i="3"/>
  <c r="E3" i="3"/>
  <c r="J7" i="3"/>
  <c r="L7" i="3"/>
  <c r="M7" i="3"/>
  <c r="N7" i="3"/>
  <c r="O7" i="3"/>
  <c r="P7" i="3"/>
  <c r="Q7" i="3"/>
  <c r="R7" i="3"/>
  <c r="S7" i="3"/>
  <c r="N8" i="3" l="1"/>
  <c r="S8" i="3"/>
  <c r="R8" i="3"/>
  <c r="M8" i="3"/>
  <c r="L8" i="3"/>
  <c r="K8" i="3"/>
  <c r="J8" i="3"/>
  <c r="Q8" i="3"/>
  <c r="P8" i="3"/>
  <c r="O8" i="3"/>
  <c r="I7" i="3" l="1"/>
  <c r="H7" i="3"/>
  <c r="I8" i="3" l="1"/>
  <c r="H8" i="3"/>
  <c r="U8" i="3" l="1"/>
  <c r="T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W2" authorId="0" shapeId="0" xr:uid="{00000000-0006-0000-0000-000001000000}">
      <text>
        <r>
          <rPr>
            <b/>
            <sz val="8"/>
            <rFont val="Tahoma"/>
            <family val="2"/>
          </rPr>
          <t xml:space="preserve">byao19:
</t>
        </r>
        <r>
          <rPr>
            <sz val="8"/>
            <rFont val="Tahoma"/>
            <family val="2"/>
          </rPr>
          <t xml:space="preserve">FQC </t>
        </r>
        <r>
          <rPr>
            <sz val="8"/>
            <rFont val="微软雅黑"/>
            <family val="2"/>
            <charset val="134"/>
          </rPr>
          <t>发现的</t>
        </r>
        <r>
          <rPr>
            <sz val="8"/>
            <rFont val="Tahoma"/>
            <family val="2"/>
          </rPr>
          <t xml:space="preserve">+ </t>
        </r>
        <r>
          <rPr>
            <sz val="8"/>
            <rFont val="微软雅黑"/>
            <family val="2"/>
            <charset val="134"/>
          </rPr>
          <t>返工发现的不良数量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W2" authorId="0" shapeId="0" xr:uid="{00000000-0006-0000-0100-000001000000}">
      <text>
        <r>
          <rPr>
            <b/>
            <sz val="8"/>
            <rFont val="Tahoma"/>
            <family val="2"/>
          </rPr>
          <t xml:space="preserve">byao19:
</t>
        </r>
        <r>
          <rPr>
            <sz val="8"/>
            <rFont val="Tahoma"/>
            <family val="2"/>
          </rPr>
          <t xml:space="preserve">FQC </t>
        </r>
        <r>
          <rPr>
            <sz val="8"/>
            <rFont val="微软雅黑"/>
            <family val="2"/>
            <charset val="134"/>
          </rPr>
          <t>发现的</t>
        </r>
        <r>
          <rPr>
            <sz val="8"/>
            <rFont val="Tahoma"/>
            <family val="2"/>
          </rPr>
          <t xml:space="preserve">+ </t>
        </r>
        <r>
          <rPr>
            <sz val="8"/>
            <rFont val="微软雅黑"/>
            <family val="2"/>
            <charset val="134"/>
          </rPr>
          <t>返工发现的不良数量</t>
        </r>
      </text>
    </comment>
  </commentList>
</comments>
</file>

<file path=xl/sharedStrings.xml><?xml version="1.0" encoding="utf-8"?>
<sst xmlns="http://schemas.openxmlformats.org/spreadsheetml/2006/main" count="9177" uniqueCount="1006">
  <si>
    <t>FQC DAILY REPORT</t>
  </si>
  <si>
    <t>月</t>
  </si>
  <si>
    <t>周</t>
  </si>
  <si>
    <t>日期</t>
  </si>
  <si>
    <t>整车家族</t>
  </si>
  <si>
    <t>整车分类</t>
  </si>
  <si>
    <t>整车描述</t>
  </si>
  <si>
    <t>尺寸</t>
  </si>
  <si>
    <t>整车料号</t>
  </si>
  <si>
    <t>工单</t>
  </si>
  <si>
    <t>检验批量</t>
  </si>
  <si>
    <t>抽样
数量</t>
  </si>
  <si>
    <t>加抽数量</t>
  </si>
  <si>
    <t>拒收数量</t>
  </si>
  <si>
    <t>检验结果</t>
  </si>
  <si>
    <t>不良的部位</t>
  </si>
  <si>
    <t>不良描述</t>
  </si>
  <si>
    <t>不良
等级</t>
  </si>
  <si>
    <t>不良原因</t>
  </si>
  <si>
    <t>不良处
理措施</t>
  </si>
  <si>
    <t>NCMR编号</t>
  </si>
  <si>
    <t>不良重新检验结果</t>
  </si>
  <si>
    <t>总不良
数量</t>
  </si>
  <si>
    <t>工位</t>
  </si>
  <si>
    <t>按功能</t>
  </si>
  <si>
    <t>Sport MTB-1</t>
  </si>
  <si>
    <t>ST 120</t>
  </si>
  <si>
    <t>ST 120 RR CN ORANGE</t>
  </si>
  <si>
    <t>M</t>
  </si>
  <si>
    <t>刹车调节</t>
  </si>
  <si>
    <t>刹车系统</t>
  </si>
  <si>
    <t>Major</t>
  </si>
  <si>
    <t>S</t>
  </si>
  <si>
    <t>Hybrid Bike</t>
  </si>
  <si>
    <t>RIVERSIDE 900</t>
  </si>
  <si>
    <t>HYBRID TREKKING 900 Grey/Orange</t>
  </si>
  <si>
    <t>L</t>
  </si>
  <si>
    <t>26"</t>
  </si>
  <si>
    <t>Kids Bike-2</t>
  </si>
  <si>
    <t>车把组装</t>
  </si>
  <si>
    <t>位置系统</t>
  </si>
  <si>
    <t>下车打包</t>
  </si>
  <si>
    <t>EDR CF</t>
  </si>
  <si>
    <t>Kids Bike-1</t>
  </si>
  <si>
    <t>ST 530</t>
  </si>
  <si>
    <t>MTB ST 530 CN 27,5" RED</t>
  </si>
  <si>
    <t>车轮组装</t>
  </si>
  <si>
    <t>后轮</t>
  </si>
  <si>
    <t>后轮安装</t>
  </si>
  <si>
    <t>Critical</t>
  </si>
  <si>
    <t>EDR AF</t>
  </si>
  <si>
    <t>EDR AF 105 CN</t>
  </si>
  <si>
    <t>XL</t>
  </si>
  <si>
    <t>TOURING 520</t>
  </si>
  <si>
    <t>TOURING BIKE 520 CN</t>
  </si>
  <si>
    <t>RC 520</t>
  </si>
  <si>
    <t>压头碗</t>
  </si>
  <si>
    <t>标贴</t>
  </si>
  <si>
    <t>Minor</t>
  </si>
  <si>
    <t>ST 530 RR CN Chrome</t>
  </si>
  <si>
    <t>RC 120</t>
  </si>
  <si>
    <t>变速调节</t>
  </si>
  <si>
    <t>传动系统</t>
  </si>
  <si>
    <t>XS</t>
  </si>
  <si>
    <t>车架</t>
  </si>
  <si>
    <t>三合一</t>
  </si>
  <si>
    <t>EDR CF DB RIVAL AXS CN</t>
  </si>
  <si>
    <t>剪线</t>
  </si>
  <si>
    <t>ST 540</t>
  </si>
  <si>
    <t>Competent MTB</t>
  </si>
  <si>
    <t>GRAVEL 520</t>
  </si>
  <si>
    <t>GRVL 520 1X11 CN</t>
  </si>
  <si>
    <t>XC 120</t>
  </si>
  <si>
    <t>XC 120 RR NORM CN</t>
  </si>
  <si>
    <t>前轮</t>
  </si>
  <si>
    <t>XC 920S</t>
  </si>
  <si>
    <t>MTB XC 920S LTD CN</t>
  </si>
  <si>
    <t>AM 100S</t>
  </si>
  <si>
    <t>XC 900</t>
  </si>
  <si>
    <t>XC 900 29" RR CN C2</t>
  </si>
  <si>
    <t>AM 100 S 29" V2 RR CN</t>
  </si>
  <si>
    <t>保护</t>
  </si>
  <si>
    <t>前叉</t>
  </si>
  <si>
    <t>XXS</t>
  </si>
  <si>
    <t>ST 520</t>
  </si>
  <si>
    <t>RACE 740</t>
  </si>
  <si>
    <t>MTB ROCKRIDER RACE 740 CN</t>
  </si>
  <si>
    <t>TOURING 900</t>
  </si>
  <si>
    <t>TOURING BIKE 900 CN</t>
  </si>
  <si>
    <t>NEO CARBON</t>
  </si>
  <si>
    <t>NEO CARBON CN</t>
  </si>
  <si>
    <t>NEO CF DISC WM CN</t>
  </si>
  <si>
    <t>泥板安装</t>
  </si>
  <si>
    <t>附件</t>
  </si>
  <si>
    <t>RACE 900</t>
  </si>
  <si>
    <t>MTB ROCKRIDER RACE 900 CN</t>
  </si>
  <si>
    <t>座垫组装</t>
  </si>
  <si>
    <t>贴标扫描</t>
  </si>
  <si>
    <t>Triban easy</t>
  </si>
  <si>
    <t>TRIBAN EASY WOMAN CN</t>
  </si>
  <si>
    <t>GCR</t>
  </si>
  <si>
    <t>*USA GCR SRAM RIVAL CN</t>
  </si>
  <si>
    <t>GCR SRAM RIVAL CN</t>
  </si>
  <si>
    <t>刹皮调节</t>
  </si>
  <si>
    <t>轮组</t>
  </si>
  <si>
    <t>NCR</t>
  </si>
  <si>
    <t>DATE</t>
  </si>
  <si>
    <t>FPY</t>
  </si>
  <si>
    <r>
      <rPr>
        <sz val="10"/>
        <rFont val="Arial"/>
        <family val="2"/>
      </rPr>
      <t>1.</t>
    </r>
    <r>
      <rPr>
        <sz val="10"/>
        <rFont val="Microsoft YaHei"/>
        <family val="2"/>
      </rPr>
      <t>人</t>
    </r>
  </si>
  <si>
    <r>
      <rPr>
        <sz val="10"/>
        <rFont val="Arial"/>
        <family val="2"/>
      </rPr>
      <t>BB</t>
    </r>
    <r>
      <rPr>
        <sz val="10"/>
        <rFont val="Microsoft YaHei"/>
        <family val="2"/>
      </rPr>
      <t>安装</t>
    </r>
  </si>
  <si>
    <r>
      <rPr>
        <sz val="10"/>
        <rFont val="Arial"/>
        <family val="2"/>
      </rPr>
      <t>2.</t>
    </r>
    <r>
      <rPr>
        <sz val="10"/>
        <rFont val="Microsoft YaHei"/>
        <family val="2"/>
      </rPr>
      <t>机</t>
    </r>
  </si>
  <si>
    <t>No.</t>
  </si>
  <si>
    <t>95% Item Code</t>
  </si>
  <si>
    <t>Family Name</t>
  </si>
  <si>
    <t>Model</t>
  </si>
  <si>
    <t>Model Description</t>
  </si>
  <si>
    <t>Frame Size</t>
  </si>
  <si>
    <t>w/o Mud guard</t>
  </si>
  <si>
    <r>
      <rPr>
        <sz val="10"/>
        <rFont val="Arial"/>
        <family val="2"/>
      </rPr>
      <t>3.</t>
    </r>
    <r>
      <rPr>
        <sz val="10"/>
        <rFont val="Microsoft YaHei"/>
        <family val="2"/>
      </rPr>
      <t>料</t>
    </r>
  </si>
  <si>
    <r>
      <rPr>
        <sz val="10"/>
        <rFont val="Arial"/>
        <family val="2"/>
      </rPr>
      <t>4.</t>
    </r>
    <r>
      <rPr>
        <sz val="10"/>
        <rFont val="Microsoft YaHei"/>
        <family val="2"/>
      </rPr>
      <t>法</t>
    </r>
  </si>
  <si>
    <t>w/ Mud guard or Chain cover</t>
  </si>
  <si>
    <r>
      <rPr>
        <sz val="10"/>
        <rFont val="Arial"/>
        <family val="2"/>
      </rPr>
      <t>5.</t>
    </r>
    <r>
      <rPr>
        <sz val="10"/>
        <rFont val="Microsoft YaHei"/>
        <family val="2"/>
      </rPr>
      <t>环</t>
    </r>
  </si>
  <si>
    <t>Leisure MTB</t>
  </si>
  <si>
    <t>MTB w/v brake</t>
  </si>
  <si>
    <t>MTB w/mechanic disk brake</t>
  </si>
  <si>
    <t>Sport MTB-2</t>
  </si>
  <si>
    <t>MTB w/hydraulic disk brake</t>
  </si>
  <si>
    <t>City Bike</t>
  </si>
  <si>
    <t>city bike with Mud guard etc,</t>
  </si>
  <si>
    <t>Fold Bike</t>
  </si>
  <si>
    <t>Fold</t>
  </si>
  <si>
    <t>Road Bike</t>
  </si>
  <si>
    <t>road bike</t>
  </si>
  <si>
    <t>Hybride</t>
  </si>
  <si>
    <t>XC 500</t>
  </si>
  <si>
    <t>Triban woman</t>
  </si>
  <si>
    <t>RCR</t>
  </si>
  <si>
    <t>RCR CF FORCE PWR CN</t>
  </si>
  <si>
    <t>EDR CF RIVAL AXS V2</t>
  </si>
  <si>
    <t xml:space="preserve">Simplfied Family Name For Complete Bikes </t>
  </si>
  <si>
    <t>NCR CF APEX AXS CN</t>
  </si>
  <si>
    <t>Jan</t>
  </si>
  <si>
    <t>山地 ST</t>
  </si>
  <si>
    <t>山地 XC/Race/Am</t>
  </si>
  <si>
    <t>公路RC</t>
  </si>
  <si>
    <t>公路EDR</t>
  </si>
  <si>
    <t>RCR CF</t>
  </si>
  <si>
    <t>公路Grvl</t>
  </si>
  <si>
    <t>Touring</t>
  </si>
  <si>
    <t>OK</t>
  </si>
  <si>
    <t>INSPECTIN QTY</t>
  </si>
  <si>
    <t>DEFECT PCS</t>
  </si>
  <si>
    <t>NCR CF TIAGRA CN</t>
  </si>
  <si>
    <t>Feb</t>
  </si>
  <si>
    <t>*USA RCR FORCE POWER</t>
  </si>
  <si>
    <t>Mar</t>
  </si>
  <si>
    <t>Apr</t>
  </si>
  <si>
    <t>EXPL 540</t>
  </si>
  <si>
    <t>MTB EXPLORE 540 29" CN</t>
  </si>
  <si>
    <t>RC 520 C2 CN</t>
  </si>
  <si>
    <t>May</t>
  </si>
  <si>
    <t>Common line</t>
  </si>
  <si>
    <t>High-end line</t>
  </si>
  <si>
    <t>Line</t>
  </si>
  <si>
    <t>INSPECTION NONCONFORMITY RATE</t>
  </si>
  <si>
    <t>Jun</t>
  </si>
  <si>
    <t>Jul</t>
  </si>
  <si>
    <t>Aug</t>
  </si>
  <si>
    <t>Sep</t>
  </si>
  <si>
    <t>Oct</t>
  </si>
  <si>
    <t>Nov</t>
  </si>
  <si>
    <t>Dec</t>
  </si>
  <si>
    <t>RCR PRO REPLICA CN</t>
  </si>
  <si>
    <t>RCR PRO</t>
  </si>
  <si>
    <t>*USA RCR PRO DURA ACE REPLICA CN</t>
  </si>
  <si>
    <t>RCR 105 Di2 CN BLK</t>
  </si>
  <si>
    <t>24"</t>
  </si>
  <si>
    <t>ST 520 RR CN GREY</t>
  </si>
  <si>
    <t>RCR 105</t>
  </si>
  <si>
    <t>RCR PRO UT Di2 CN GREEN</t>
  </si>
  <si>
    <t>RCR PRO UT Di2 CN</t>
  </si>
  <si>
    <t>MTB FEEL 700 LT CN</t>
  </si>
  <si>
    <t>FEEL 700</t>
  </si>
  <si>
    <t>GRAVEL AF</t>
  </si>
  <si>
    <t>1.人</t>
  </si>
  <si>
    <t>Rework</t>
  </si>
  <si>
    <t>RCR FRAME</t>
  </si>
  <si>
    <t>NOK</t>
  </si>
  <si>
    <t>*USA GRVL AF GRX BLACK CN FR</t>
  </si>
  <si>
    <t>ST 520 RR CN FR GREY_S</t>
  </si>
  <si>
    <t>ST 520 RR CN FR GREY_M</t>
  </si>
  <si>
    <t>ST 520 RR CN FR GREY_L</t>
  </si>
  <si>
    <t>ST 520 RR CN FR GREY_XL</t>
  </si>
  <si>
    <t>*USA RC 120 DISC FB CN FR</t>
  </si>
  <si>
    <t>*USA AM 100 S 29" V2 RR CN FR</t>
  </si>
  <si>
    <t>*USA XC 500 29" RR CN FR</t>
  </si>
  <si>
    <t>*USA ST 540 RR BLUE YELLOW CN FR</t>
  </si>
  <si>
    <t>*USA TRIBAN EASY WOMAN CN FR</t>
  </si>
  <si>
    <t>*USA XC 900 29" RR CN FR</t>
  </si>
  <si>
    <t>RIVERSIDE 900 Grey Orange CN FR</t>
  </si>
  <si>
    <t>MTB ST 120 ORANGE CN FR 27,5"</t>
  </si>
  <si>
    <t>*USA MTB ST 530 CHROME CN FR</t>
  </si>
  <si>
    <t>MTB ST 530 RED CN FR 27,5"</t>
  </si>
  <si>
    <t>EDR CF DISC 105 CN FR</t>
  </si>
  <si>
    <t>*USA EDR CF DISC 105 BLACK CN FR</t>
  </si>
  <si>
    <t>EDR CF 105 CN FR</t>
  </si>
  <si>
    <t>GRVL 520 1X11 CN FR</t>
  </si>
  <si>
    <t>EDR CF ULTEGRA BLACK CN FR</t>
  </si>
  <si>
    <t>*USA RCR RIVAL POWER CN FR</t>
  </si>
  <si>
    <t>*USA GRVL AF APEX BEIGE CN FR</t>
  </si>
  <si>
    <t>*USA GRVL AF SWORD PINK CN FR</t>
  </si>
  <si>
    <t>*USA GRVL AF SWORD BROWN CN FR</t>
  </si>
  <si>
    <t>*USA RCR PRO FRAME KIT CN FR</t>
  </si>
  <si>
    <t>*USA RCR-R PRO FRAME KIT TEAM CN FR</t>
  </si>
  <si>
    <t>ST 530 RR CN BLUE</t>
  </si>
  <si>
    <t>*USA RCR PRO ULTEGRA DI2 GREEN C</t>
  </si>
  <si>
    <t>RCR-F2</t>
  </si>
  <si>
    <t>RCR-F2 105</t>
  </si>
  <si>
    <t>RCR - F2 PRO ULTEGRA DI2 PWR CN</t>
  </si>
  <si>
    <t>*USA RCR PRO DURA ACE TEAM CN FR</t>
  </si>
  <si>
    <t>*USA RCR-F2 PRO DURA ACE DI2 TEA</t>
  </si>
  <si>
    <t>RCR-F2 PRO</t>
  </si>
  <si>
    <t>RCR - F2 PRO 105 DI2 PWR CN</t>
  </si>
  <si>
    <t>RCR - F2 PRO TEAM CN</t>
  </si>
  <si>
    <t>*USA RCR-F2 PRO ULTEGRA DI2 PURP</t>
  </si>
  <si>
    <t>*USA RCR PRO ULTEGRA DI2 RAW CN</t>
  </si>
  <si>
    <t>RCR PRO TEAM 25 CN</t>
  </si>
  <si>
    <t>ST 120 RR C3 CN</t>
  </si>
  <si>
    <t>RCR PRO RED AXS PWR CN RAW</t>
  </si>
  <si>
    <t>*USA RCR 105 DI2 BLACK CN FR</t>
  </si>
  <si>
    <t>26" EXPL 900 BLACK CN</t>
  </si>
  <si>
    <t>26" EXPL 900 ORANGE CN</t>
  </si>
  <si>
    <t>EXPL 900</t>
  </si>
  <si>
    <t>EDR AF CUES CN Green</t>
  </si>
  <si>
    <t>EDR AF CUES CN Pink</t>
  </si>
  <si>
    <t>NCM/DER编号</t>
  </si>
  <si>
    <t>MTB ST 120 RR WOMEN CN 27"5 BLUE</t>
  </si>
  <si>
    <t>RCR 105 Di2 CN C2</t>
  </si>
  <si>
    <t>USA RCR PRO RED AXS CNFR</t>
  </si>
  <si>
    <t>RCR PRO FORCE AXS CN Blue</t>
  </si>
  <si>
    <t>RCR RIVAL AXS PWR CN WHITE</t>
  </si>
  <si>
    <t>2XS</t>
  </si>
  <si>
    <t>RCR RIVAL</t>
  </si>
  <si>
    <t>*USA RCR PRO FORCE PWR BLUE CN F</t>
  </si>
  <si>
    <t>XCR</t>
  </si>
  <si>
    <t>XCR UT</t>
  </si>
  <si>
    <t>XCR ULTEGRA DI2 CN</t>
  </si>
  <si>
    <t>Total</t>
  </si>
  <si>
    <t>YTD</t>
  </si>
  <si>
    <t>*USA RCR-R RIVAL AXS WHITE CN FR</t>
  </si>
  <si>
    <t>LRQ-大线</t>
  </si>
  <si>
    <t>LRQ-小线</t>
  </si>
  <si>
    <t>漏装后刹线管皮套</t>
  </si>
  <si>
    <t>WHEEL</t>
  </si>
  <si>
    <t>VR50</t>
  </si>
  <si>
    <t>WL_WL_RACE READY VR50_B,Rear - H(DKT-N07A BLK)</t>
  </si>
  <si>
    <t>WL_WL_RACE READY VR50_B,Front(DKT-N07A BLK)</t>
  </si>
  <si>
    <t>MTS202509</t>
  </si>
  <si>
    <t>EDR AF CUES 2X10 CNFR</t>
  </si>
  <si>
    <t>VR35</t>
  </si>
  <si>
    <t>WL_WL_RACE READY VR35_BTW_CN / 8981053 - Rear - Xdr</t>
  </si>
  <si>
    <t>WL_WL_RACE READY VR35_BTW_CN / 8981055 - Front</t>
  </si>
  <si>
    <t>TOURING BIKE 920 CN</t>
  </si>
  <si>
    <t>TOURING 920</t>
  </si>
  <si>
    <t>备注：全检第一辆车的检验记录</t>
  </si>
  <si>
    <t>EXPL 500</t>
  </si>
  <si>
    <t>26"EXPL 900 HD CN BLUE</t>
  </si>
  <si>
    <t>26"EXPL 900 HD CN RED</t>
  </si>
  <si>
    <t>24"EXPL 900 HD CN BLUE</t>
  </si>
  <si>
    <t>24"EXPL 900 HD CN RED</t>
  </si>
  <si>
    <t>26"EXPL 500 CN YELLOW</t>
  </si>
  <si>
    <t>26"EXPL 500 CN PURPLE</t>
  </si>
  <si>
    <t>26" EXPL 900 CNFR BLUE</t>
  </si>
  <si>
    <t>EXPL 100 MULTI BEIGE CN</t>
  </si>
  <si>
    <t>EXPL 100 multi GREY CN</t>
  </si>
  <si>
    <t>26" EXPL 900 CNFR RED</t>
  </si>
  <si>
    <t>MTS251229001</t>
  </si>
  <si>
    <t>Stock251105001</t>
  </si>
  <si>
    <t>MTS251229002</t>
  </si>
  <si>
    <t xml:space="preserve">刹车剪线长度60mm,低于标准80±5mm </t>
  </si>
  <si>
    <t>NCMR00096</t>
  </si>
  <si>
    <t>后刹皮蹭轮胎</t>
  </si>
  <si>
    <t>MTB EXPL140 GREY CN</t>
  </si>
  <si>
    <t>MTB EXPL140 BLUE CN</t>
  </si>
  <si>
    <t>MTB EXPL140 GREY CNFR</t>
  </si>
  <si>
    <t>WO2512310013</t>
  </si>
  <si>
    <t>WO2512310014</t>
  </si>
  <si>
    <t>Heb251117037</t>
  </si>
  <si>
    <t>Heb251117038</t>
  </si>
  <si>
    <t>Heb251117039</t>
  </si>
  <si>
    <t>Heb251117040</t>
  </si>
  <si>
    <t>Heb251117041</t>
  </si>
  <si>
    <t>Heb251117042</t>
  </si>
  <si>
    <t>MTB FEEL 700 S CNFR</t>
  </si>
  <si>
    <t>MTSF250912110</t>
  </si>
  <si>
    <t>后变上不去</t>
  </si>
  <si>
    <t>WO2601050002</t>
  </si>
  <si>
    <t>WO2601050003</t>
  </si>
  <si>
    <t>车架头碗划伤</t>
  </si>
  <si>
    <t>BB安装</t>
  </si>
  <si>
    <t>前刹蹭碟刹片</t>
  </si>
  <si>
    <t>3.料</t>
  </si>
  <si>
    <t>MTS251211007</t>
  </si>
  <si>
    <t>MTS251211008</t>
  </si>
  <si>
    <t>座垫角度3.5°，大于标准+2/-3°</t>
  </si>
  <si>
    <t>Heb251117407</t>
  </si>
  <si>
    <t>Heb251117027</t>
  </si>
  <si>
    <t>Heb251117028</t>
  </si>
  <si>
    <t>Heb251117029</t>
  </si>
  <si>
    <t>Heb251117030</t>
  </si>
  <si>
    <t>Heb251117031</t>
  </si>
  <si>
    <t>MTSF251118010</t>
  </si>
  <si>
    <t>MTSF250912104</t>
  </si>
  <si>
    <t>MTSF260113010</t>
  </si>
  <si>
    <t>尺寸标断裂</t>
  </si>
  <si>
    <t>漏装后刹线管卡扣</t>
  </si>
  <si>
    <t>握把未完全插入</t>
  </si>
  <si>
    <t>MTSF260113011</t>
  </si>
  <si>
    <t>MTSF251105206</t>
  </si>
  <si>
    <t>前轮安全线未完全浮出</t>
  </si>
  <si>
    <t>MTSF251105205</t>
  </si>
  <si>
    <t>漏装脚踏</t>
  </si>
  <si>
    <t>MTSF260109001</t>
  </si>
  <si>
    <t>后刹调节过松</t>
  </si>
  <si>
    <t>MTSF260116001</t>
  </si>
  <si>
    <t>WO2601140004</t>
  </si>
  <si>
    <t>WO2601140005</t>
  </si>
  <si>
    <t>WO2601140006</t>
  </si>
  <si>
    <t>WO2601140007</t>
  </si>
  <si>
    <t>前刹皮蹭轮胎</t>
  </si>
  <si>
    <t>MTSF251105374</t>
  </si>
  <si>
    <t>stock250429113</t>
  </si>
  <si>
    <t>MTSF251105418</t>
  </si>
  <si>
    <t>座垫角度2.9°，大于标准+2/-3°</t>
  </si>
  <si>
    <t>前叉贴花翘边</t>
  </si>
  <si>
    <t>MTSF251204003</t>
  </si>
  <si>
    <t>MTSF251105334</t>
  </si>
  <si>
    <t>MTSF251105800</t>
  </si>
  <si>
    <t>MTSF251105805</t>
  </si>
  <si>
    <t>MTSF251204013</t>
  </si>
  <si>
    <t>前刹皮蹭车圈</t>
  </si>
  <si>
    <t>曲柄晃动</t>
  </si>
  <si>
    <t>MTSF251204014</t>
  </si>
  <si>
    <t>前变大对二大蹭链</t>
  </si>
  <si>
    <t>MTSF251105831</t>
  </si>
  <si>
    <t>MTSF251105877</t>
  </si>
  <si>
    <t>MTSF251204015</t>
  </si>
  <si>
    <t>MTSF251204005</t>
  </si>
  <si>
    <t>MTSF251105376</t>
  </si>
  <si>
    <t>MTSF251105417</t>
  </si>
  <si>
    <t>MTSF251204007</t>
  </si>
  <si>
    <t>后变线管走错方向</t>
  </si>
  <si>
    <t>MTSF251204002</t>
  </si>
  <si>
    <t>追溯标不能扫描</t>
  </si>
  <si>
    <t>MTS260129001</t>
  </si>
  <si>
    <t>Heb251117023</t>
  </si>
  <si>
    <t>Heb251117048</t>
  </si>
  <si>
    <t>Heb251117049</t>
  </si>
  <si>
    <t>Heb251117050</t>
  </si>
  <si>
    <t>Heb251117051</t>
  </si>
  <si>
    <t>Heb251117052</t>
  </si>
  <si>
    <t>MTSF251204008</t>
  </si>
  <si>
    <t>MTSF251204001</t>
  </si>
  <si>
    <t>MTSF251204010</t>
  </si>
  <si>
    <t>MTSF260109002</t>
  </si>
  <si>
    <t>MTSF251204009</t>
  </si>
  <si>
    <t>MTSF251204011</t>
  </si>
  <si>
    <t>WO2602060001</t>
  </si>
  <si>
    <t>WO2602060002</t>
  </si>
  <si>
    <t>MTSF251204006</t>
  </si>
  <si>
    <t>MTSF251105460</t>
  </si>
  <si>
    <t>MTSF251105496</t>
  </si>
  <si>
    <t>Heb251117053</t>
  </si>
  <si>
    <t>Heb251117054</t>
  </si>
  <si>
    <t>Heb251117055</t>
  </si>
  <si>
    <t>Heb251117056</t>
  </si>
  <si>
    <t>Heb251117057</t>
  </si>
  <si>
    <t>MTSF251105537</t>
  </si>
  <si>
    <t>后变异响</t>
  </si>
  <si>
    <t>漏装后变保护盖</t>
  </si>
  <si>
    <t>MTSF251216500</t>
  </si>
  <si>
    <t>MTSF260109003</t>
  </si>
  <si>
    <t>MTS260112004</t>
  </si>
  <si>
    <t>G-size深度0.6mm,小于标准3±2mm</t>
  </si>
  <si>
    <t>MTSF251216522</t>
  </si>
  <si>
    <t>MTSF260115003</t>
  </si>
  <si>
    <t>EXPL 100</t>
  </si>
  <si>
    <t>EXPL 140</t>
  </si>
  <si>
    <t>MTSF251216523</t>
  </si>
  <si>
    <t>MTSF251105247</t>
  </si>
  <si>
    <t>MTSF251216425</t>
  </si>
  <si>
    <t>MTSF251216376</t>
  </si>
  <si>
    <t>MTSF251229016</t>
  </si>
  <si>
    <t>MTSF251229031</t>
  </si>
  <si>
    <t>EXPL 100 MULTI BEIGE CNFR</t>
  </si>
  <si>
    <t>后刹蹭碟刹片</t>
  </si>
  <si>
    <t>MTSF251229006</t>
  </si>
  <si>
    <t>MTSF260115001</t>
  </si>
  <si>
    <t>MTSF251229004</t>
  </si>
  <si>
    <t>竖管磕伤</t>
  </si>
  <si>
    <t>MTSF251216081</t>
  </si>
  <si>
    <t>MTSF251229014</t>
  </si>
  <si>
    <t>MTSF251229029</t>
  </si>
  <si>
    <t>MTSF251229015</t>
  </si>
  <si>
    <t>MTSF251229030</t>
  </si>
  <si>
    <t>MTSF251105703</t>
  </si>
  <si>
    <t>MTSF251105726</t>
  </si>
  <si>
    <t>MTSF251105760</t>
  </si>
  <si>
    <t>MTSF251229012</t>
  </si>
  <si>
    <t>MTSF251229013</t>
  </si>
  <si>
    <t>Heb251117078</t>
  </si>
  <si>
    <t>Heb251117079</t>
  </si>
  <si>
    <t>MTSF251104001</t>
  </si>
  <si>
    <t>MTSF251028950</t>
  </si>
  <si>
    <t>MTSF251118001</t>
  </si>
  <si>
    <t>MTSF251105203</t>
  </si>
  <si>
    <t>MTSF260126001</t>
  </si>
  <si>
    <t>MTSF251216625</t>
  </si>
  <si>
    <t>MTSF251229018</t>
  </si>
  <si>
    <t>MTSF260115002</t>
  </si>
  <si>
    <t>前变小对大蹭链</t>
  </si>
  <si>
    <t>MTSF260115004</t>
  </si>
  <si>
    <t>MTSF251229020</t>
  </si>
  <si>
    <t>MTSF251229005</t>
  </si>
  <si>
    <t>MTSF251229009</t>
  </si>
  <si>
    <t>MTSF251229010</t>
  </si>
  <si>
    <t>MTSF251229011</t>
  </si>
  <si>
    <t>MTSF251204012</t>
  </si>
  <si>
    <t>MTSF251216540</t>
  </si>
  <si>
    <t>MTSF251229008</t>
  </si>
  <si>
    <t>MTSF251229007</t>
  </si>
  <si>
    <t>MTSF251216542</t>
  </si>
  <si>
    <t>Heb251117086</t>
  </si>
  <si>
    <t>Heb251117087</t>
  </si>
  <si>
    <t>Heb251117088</t>
  </si>
  <si>
    <t>Heb251117089</t>
  </si>
  <si>
    <t>Heb251117090</t>
  </si>
  <si>
    <t>Heb251117091</t>
  </si>
  <si>
    <t>Heb251117092</t>
  </si>
  <si>
    <t>Heb251117094</t>
  </si>
  <si>
    <t>Heb251117093</t>
  </si>
  <si>
    <t>MTSF260310005</t>
  </si>
  <si>
    <t>MTSF260310006</t>
  </si>
  <si>
    <t>MTSF260116510</t>
  </si>
  <si>
    <t>MTSF260116529</t>
  </si>
  <si>
    <t>MTSF260206014</t>
  </si>
  <si>
    <t>MTSF260116568</t>
  </si>
  <si>
    <t>MTSF251229026</t>
  </si>
  <si>
    <t>MTSF251229027</t>
  </si>
  <si>
    <t>MTSF260116440</t>
  </si>
  <si>
    <t>MTSF251229028</t>
  </si>
  <si>
    <t>MTSF260116470</t>
  </si>
  <si>
    <t>后变跳链</t>
  </si>
  <si>
    <t>26" EXPL 500 CNFR PURPLE</t>
  </si>
  <si>
    <t>MTSF260205001</t>
  </si>
  <si>
    <t>MTSF260116118</t>
  </si>
  <si>
    <t>MTSF260311001</t>
  </si>
  <si>
    <t>Heb260309002</t>
  </si>
  <si>
    <t>MTSF260313010</t>
  </si>
  <si>
    <t>MTSF251229017</t>
  </si>
  <si>
    <t>座管夹手柄未锁到底</t>
  </si>
  <si>
    <t>NCMR00104</t>
  </si>
  <si>
    <t>MTSF260310001</t>
  </si>
  <si>
    <t>MTSF251229023</t>
  </si>
  <si>
    <t>MTSF260116224</t>
  </si>
  <si>
    <t>漏包刹车塞块</t>
  </si>
  <si>
    <t>MTSF251229024</t>
  </si>
  <si>
    <t>MTSF260116258</t>
  </si>
  <si>
    <t>MTSF251229025</t>
  </si>
  <si>
    <t>MTSF260116294</t>
  </si>
  <si>
    <t>MTSF260116259</t>
  </si>
  <si>
    <t>前变多档</t>
  </si>
  <si>
    <t>MTS26030501</t>
  </si>
  <si>
    <t>Heb251117119</t>
  </si>
  <si>
    <t>Heb260223007</t>
  </si>
  <si>
    <t>Heb251117118</t>
  </si>
  <si>
    <t>Heb260223006</t>
  </si>
  <si>
    <t>Heb260223004</t>
  </si>
  <si>
    <t>Heb251117105</t>
  </si>
  <si>
    <t>Heb251117104</t>
  </si>
  <si>
    <t>Heb251117103</t>
  </si>
  <si>
    <t>Heb251117102</t>
  </si>
  <si>
    <t>Heb251117101</t>
  </si>
  <si>
    <t>后变磕伤</t>
  </si>
  <si>
    <t>MTSF260116511</t>
  </si>
  <si>
    <t>MTSF260206013</t>
  </si>
  <si>
    <t>MTSF260206041</t>
  </si>
  <si>
    <t>MTSF260116569</t>
  </si>
  <si>
    <t>MTSF260116441</t>
  </si>
  <si>
    <t>MTSF260116471</t>
  </si>
  <si>
    <t>MTSF251229003</t>
  </si>
  <si>
    <t>MTSF260116014</t>
  </si>
  <si>
    <t>MTSF260116013</t>
  </si>
  <si>
    <t>MTSF260116049</t>
  </si>
  <si>
    <t>前轮不居中</t>
  </si>
  <si>
    <t>座管磕伤</t>
  </si>
  <si>
    <t>MTSF260116082</t>
  </si>
  <si>
    <t>MTSF251229019</t>
  </si>
  <si>
    <t>MTSF260206003</t>
  </si>
  <si>
    <t>MTSF260116083</t>
  </si>
  <si>
    <t>MTSF260116119</t>
  </si>
  <si>
    <t>MTSF260206015</t>
  </si>
  <si>
    <t>MTSF260206054</t>
  </si>
  <si>
    <t>MTSF260206042</t>
  </si>
  <si>
    <t>MTSF251229021</t>
  </si>
  <si>
    <t>MTSF260116153</t>
  </si>
  <si>
    <t>MTSF260116154</t>
  </si>
  <si>
    <t>MTSF260206005</t>
  </si>
  <si>
    <t>RCR 105 Di2 CN BLACK</t>
  </si>
  <si>
    <t>Heb251117058</t>
  </si>
  <si>
    <t>Heb251117059</t>
  </si>
  <si>
    <t>Heb251117060</t>
  </si>
  <si>
    <t>刹把磕伤掉漆</t>
  </si>
  <si>
    <t>MTSF260116191</t>
  </si>
  <si>
    <t>MTSF251229022</t>
  </si>
  <si>
    <t>MTSF260116190</t>
  </si>
  <si>
    <t>MTSF260206006</t>
  </si>
  <si>
    <t>MTSF260226019</t>
  </si>
  <si>
    <t>MTSF260206001</t>
  </si>
  <si>
    <t>@Qzhangyouli123</t>
  </si>
  <si>
    <t>前叉贴花气泡</t>
  </si>
  <si>
    <t>1.座垫角度4.3°，大于标准+2/-3°
2.座垫夹未居中于座弓</t>
  </si>
  <si>
    <t>NCMR00106</t>
  </si>
  <si>
    <t>MTSF260206016</t>
  </si>
  <si>
    <t>MTSF260206002</t>
  </si>
  <si>
    <t>MTSF260206027</t>
  </si>
  <si>
    <t>Heb251117122</t>
  </si>
  <si>
    <t>Heb251117123</t>
  </si>
  <si>
    <t>Heb251117124</t>
  </si>
  <si>
    <t>Heb251117100</t>
  </si>
  <si>
    <t>MTSF260206021</t>
  </si>
  <si>
    <t>MTSF260206022</t>
  </si>
  <si>
    <t>MTSF260226012</t>
  </si>
  <si>
    <t>MTSF260401006</t>
  </si>
  <si>
    <t>MTSF260226018</t>
  </si>
  <si>
    <t>MTSF260312007</t>
  </si>
  <si>
    <t>MTSF260206019</t>
  </si>
  <si>
    <t>MTSF260206031</t>
  </si>
  <si>
    <t>后变大对大跳链</t>
  </si>
  <si>
    <t>BB转动紧</t>
  </si>
  <si>
    <t>MTSF260206020</t>
  </si>
  <si>
    <t>MTSF260206043</t>
  </si>
  <si>
    <t>Heb251117084</t>
  </si>
  <si>
    <t>Heb251117083</t>
  </si>
  <si>
    <t>Heb251117082</t>
  </si>
  <si>
    <t>Heb251117139</t>
  </si>
  <si>
    <t>Heb251117095</t>
  </si>
  <si>
    <t>Heb251117115</t>
  </si>
  <si>
    <t>Heb251117147</t>
  </si>
  <si>
    <t>Heb251117146</t>
  </si>
  <si>
    <t>Heb251117114</t>
  </si>
  <si>
    <t>Heb251117113</t>
  </si>
  <si>
    <t>Heb251117143</t>
  </si>
  <si>
    <t>Heb251117111</t>
  </si>
  <si>
    <t>MTSF260116050</t>
  </si>
  <si>
    <t>MTSF260312003</t>
  </si>
  <si>
    <t>MTSF260312006</t>
  </si>
  <si>
    <t>MTSF260206053</t>
  </si>
  <si>
    <t>MTSF260206018</t>
  </si>
  <si>
    <t>MTSF260206004</t>
  </si>
  <si>
    <t>MO2604020061</t>
  </si>
  <si>
    <t>MO2604020062</t>
  </si>
  <si>
    <t>后碟刹座爆漆</t>
  </si>
  <si>
    <t>WO2603260004</t>
  </si>
  <si>
    <t>WO2603260005</t>
  </si>
  <si>
    <t>MTSF260206034</t>
  </si>
  <si>
    <t>MTSF260206008</t>
  </si>
  <si>
    <t>MTSF260116331</t>
  </si>
  <si>
    <t>MTSF260116335</t>
  </si>
  <si>
    <t>MTSF260206036</t>
  </si>
  <si>
    <t>MTSF260116391</t>
  </si>
  <si>
    <t>MTSF260206028</t>
  </si>
  <si>
    <t>MTSF260319001</t>
  </si>
  <si>
    <t>前变大对小蹭链</t>
  </si>
  <si>
    <t>后轮快拆手柄未保护</t>
  </si>
  <si>
    <t>MTSF260403002</t>
  </si>
  <si>
    <t>MTSF260206032</t>
  </si>
  <si>
    <t>MTSF260206030</t>
  </si>
  <si>
    <t>stock260409002</t>
  </si>
  <si>
    <t>后变最大盘上不去</t>
  </si>
  <si>
    <t>MTSF260206029</t>
  </si>
  <si>
    <t>MTSF260206009</t>
  </si>
  <si>
    <t>产地标错误</t>
  </si>
  <si>
    <t>MTSF260206010</t>
  </si>
  <si>
    <t>MTSF260116360</t>
  </si>
  <si>
    <t>车把不居中</t>
  </si>
  <si>
    <t>头碗紧点</t>
  </si>
  <si>
    <t>Heb251117277</t>
  </si>
  <si>
    <t>Heb251117276</t>
  </si>
  <si>
    <t>MTSF260206037</t>
  </si>
  <si>
    <t>MTSF260206011</t>
  </si>
  <si>
    <t>MTSF260206049</t>
  </si>
  <si>
    <t>MTSF260319006</t>
  </si>
  <si>
    <t>MTSF260226020</t>
  </si>
  <si>
    <t>MTSF260319007</t>
  </si>
  <si>
    <t>MTSF260226005</t>
  </si>
  <si>
    <t>MTSF260206047</t>
  </si>
  <si>
    <t>MTSF260206048</t>
  </si>
  <si>
    <t>MTSF260206044</t>
  </si>
  <si>
    <t>MTSF260401007</t>
  </si>
  <si>
    <t>Heb251117142</t>
  </si>
  <si>
    <t>Heb251117141</t>
  </si>
  <si>
    <t>Heb251117175</t>
  </si>
  <si>
    <t>Heb251117173</t>
  </si>
  <si>
    <t>Heb251117174</t>
  </si>
  <si>
    <t>前叉贴花翻折</t>
  </si>
  <si>
    <t>MTSF260206017</t>
  </si>
  <si>
    <t>MTSF260403005</t>
  </si>
  <si>
    <t>MTSF260409001</t>
  </si>
  <si>
    <t>MTSF260226006</t>
  </si>
  <si>
    <t>MTSF260326010</t>
  </si>
  <si>
    <t>MTSF260305001</t>
  </si>
  <si>
    <t>Heb251117152</t>
  </si>
  <si>
    <t>Heb251117150</t>
  </si>
  <si>
    <t>Heb251117151</t>
  </si>
  <si>
    <t>Heb251117149</t>
  </si>
  <si>
    <t>*USA RCR PRO DURA ACE REPLICA25</t>
  </si>
  <si>
    <t>刹车蹭碟刹片</t>
  </si>
  <si>
    <t>NCMR00107</t>
  </si>
  <si>
    <t>MTSF260226024</t>
  </si>
  <si>
    <t>MTSF260226009</t>
  </si>
  <si>
    <t>MTSF260319004</t>
  </si>
  <si>
    <t>MTSF260312004</t>
  </si>
  <si>
    <t>MTSF260326007</t>
  </si>
  <si>
    <t>MTSF260226032</t>
  </si>
  <si>
    <t>MTSF260326008</t>
  </si>
  <si>
    <t>MTSF260226033</t>
  </si>
  <si>
    <t>MTSF260206045</t>
  </si>
  <si>
    <t>MTSF260206046</t>
  </si>
  <si>
    <t>MTSF260226023</t>
  </si>
  <si>
    <t>座管夹手柄未放到底</t>
  </si>
  <si>
    <t>车把转错方向</t>
  </si>
  <si>
    <t>MTSF260226021</t>
  </si>
  <si>
    <t>MTSF260312013</t>
  </si>
  <si>
    <t>MTSF260312116</t>
  </si>
  <si>
    <t>MTSF260326004</t>
  </si>
  <si>
    <t>MTSF260226025</t>
  </si>
  <si>
    <t>Heb251117157</t>
  </si>
  <si>
    <t>Heb251117156</t>
  </si>
  <si>
    <t>Heb251117155</t>
  </si>
  <si>
    <t>Heb251117154</t>
  </si>
  <si>
    <t>Heb251117153</t>
  </si>
  <si>
    <t>Heb251117162</t>
  </si>
  <si>
    <t>Heb251117167</t>
  </si>
  <si>
    <t>Heb251117166</t>
  </si>
  <si>
    <t>Heb251117161</t>
  </si>
  <si>
    <t>Heb251117160</t>
  </si>
  <si>
    <t>Heb251117165</t>
  </si>
  <si>
    <t>Heb251117164</t>
  </si>
  <si>
    <t>Heb251117159</t>
  </si>
  <si>
    <t>Heb251117158</t>
  </si>
  <si>
    <t>Heb251117163</t>
  </si>
  <si>
    <t>MTSF260312144</t>
  </si>
  <si>
    <t>MTSF260226026</t>
  </si>
  <si>
    <t>MTSF260226027</t>
  </si>
  <si>
    <t>MTSF260401002</t>
  </si>
  <si>
    <t>MTSF260226011</t>
  </si>
  <si>
    <t>MTSF260312002</t>
  </si>
  <si>
    <t>MTSF260506001</t>
  </si>
  <si>
    <t>MTSF260226007</t>
  </si>
  <si>
    <t>MTSF260312094</t>
  </si>
  <si>
    <t>MTSF260226022</t>
  </si>
  <si>
    <t>MTSF260312014</t>
  </si>
  <si>
    <t>WO2604300001</t>
  </si>
  <si>
    <t>WO2604300002</t>
  </si>
  <si>
    <t>后变最大盘跳链</t>
  </si>
  <si>
    <t>MTSF260402002</t>
  </si>
  <si>
    <t>座垫角度3.3°，大于标准+2/-3°</t>
  </si>
  <si>
    <t>MTSF260312117</t>
  </si>
  <si>
    <t>MTSF260313005</t>
  </si>
  <si>
    <t>MTSF260313007</t>
  </si>
  <si>
    <t>MTSF260313006</t>
  </si>
  <si>
    <t>MTSF260313008</t>
  </si>
  <si>
    <t>刹把掉漆</t>
  </si>
  <si>
    <t>头碗与车架间隙大于0.3mm</t>
  </si>
  <si>
    <t>后变最小盘掉链</t>
  </si>
  <si>
    <t>4.法</t>
  </si>
  <si>
    <t>MTSF260226013</t>
  </si>
  <si>
    <t>MTSF260312268</t>
  </si>
  <si>
    <t>Heb251117144</t>
  </si>
  <si>
    <t>Heb251117145</t>
  </si>
  <si>
    <t>Heb251202006</t>
  </si>
  <si>
    <t>Heb251202001</t>
  </si>
  <si>
    <t>Heb251202002</t>
  </si>
  <si>
    <t>Heb251202003</t>
  </si>
  <si>
    <t>后轮轮胎安全线未完全浮出</t>
  </si>
  <si>
    <t>MTSF260226014</t>
  </si>
  <si>
    <t>MTSF260312043</t>
  </si>
  <si>
    <t>MTSF260409400</t>
  </si>
  <si>
    <t>NCMR00108</t>
  </si>
  <si>
    <t>NCMR00109</t>
  </si>
  <si>
    <t>NCMR00111</t>
  </si>
  <si>
    <t>Heb251117132</t>
  </si>
  <si>
    <t>Heb251117131</t>
  </si>
  <si>
    <t>Heb251117130</t>
  </si>
  <si>
    <t>Heb251117085</t>
  </si>
  <si>
    <t>Heb251117209</t>
  </si>
  <si>
    <t>Heb251117805</t>
  </si>
  <si>
    <t>MTSF260319002</t>
  </si>
  <si>
    <t>MTSF260402001</t>
  </si>
  <si>
    <t>MTSF260409402</t>
  </si>
  <si>
    <t>MTSF260312145</t>
  </si>
  <si>
    <t>MTSF260326005</t>
  </si>
  <si>
    <t>MTSF260312386</t>
  </si>
  <si>
    <t>MTSF260326110</t>
  </si>
  <si>
    <t>后轮跑胎</t>
  </si>
  <si>
    <t>Heb251117253</t>
  </si>
  <si>
    <t>Heb251117190</t>
  </si>
  <si>
    <t>Heb251117189</t>
  </si>
  <si>
    <t>Heb251117188</t>
  </si>
  <si>
    <t>Heb251117187</t>
  </si>
  <si>
    <t>Heb251117186</t>
  </si>
  <si>
    <t>Heb251117140</t>
  </si>
  <si>
    <t>Heb251117138</t>
  </si>
  <si>
    <t>Heb251117176</t>
  </si>
  <si>
    <t>Heb251117177</t>
  </si>
  <si>
    <t>Heb251117203</t>
  </si>
  <si>
    <t>Heb251117178</t>
  </si>
  <si>
    <t>Heb251117179</t>
  </si>
  <si>
    <t>Heb251117181</t>
  </si>
  <si>
    <t>Heb251117215</t>
  </si>
  <si>
    <t>Heb251117180</t>
  </si>
  <si>
    <t>Heb251117217</t>
  </si>
  <si>
    <t>Heb251117218</t>
  </si>
  <si>
    <t>Heb251117216</t>
  </si>
  <si>
    <t>WO2604300003</t>
  </si>
  <si>
    <t>WO2604300004</t>
  </si>
  <si>
    <t>MTSF260409406</t>
  </si>
  <si>
    <t>MTSF260326103</t>
  </si>
  <si>
    <t>MTSF260506003</t>
  </si>
  <si>
    <t>MTSF260409403</t>
  </si>
  <si>
    <t>前叉底碗未压到底间隙大于0.3mm</t>
  </si>
  <si>
    <t>NCMR00112</t>
  </si>
  <si>
    <t>MTSF260409401</t>
  </si>
  <si>
    <t>后轮不居中</t>
  </si>
  <si>
    <t>WO2605220003</t>
  </si>
  <si>
    <t>WO2605220004</t>
  </si>
  <si>
    <t>WO2605220005</t>
  </si>
  <si>
    <t>WL_RACE READY VR35 LITE_BTW_CN / 9008614 - Front</t>
  </si>
  <si>
    <t>WL_RACE READY VR35 LITE_BTW_CN / 9008612 - Rear - HG</t>
  </si>
  <si>
    <t>WL_RACE READY VR35 LITE_BTW_CN / 9008613 - Rear - Xdr</t>
  </si>
  <si>
    <t>MTSF260326100</t>
  </si>
  <si>
    <t>MTSF260513001</t>
  </si>
  <si>
    <t>MTSF260326101</t>
  </si>
  <si>
    <t>MTSF260312001</t>
  </si>
  <si>
    <t>MTSF260326115</t>
  </si>
  <si>
    <t>MTSF260312095</t>
  </si>
  <si>
    <t>Heb251117061</t>
  </si>
  <si>
    <t>Heb251117208</t>
  </si>
  <si>
    <t>Heb251117233</t>
  </si>
  <si>
    <t>Heb251117207</t>
  </si>
  <si>
    <t>Heb251117232</t>
  </si>
  <si>
    <t>Heb251117196</t>
  </si>
  <si>
    <t>Heb251117195</t>
  </si>
  <si>
    <t>Heb251117194</t>
  </si>
  <si>
    <t>Heb251117193</t>
  </si>
  <si>
    <t>Heb251117234</t>
  </si>
  <si>
    <t>Heb251117201</t>
  </si>
  <si>
    <t>Heb251117200</t>
  </si>
  <si>
    <t>Heb251117199</t>
  </si>
  <si>
    <t>Heb251117198</t>
  </si>
  <si>
    <t>Heb251117197</t>
  </si>
  <si>
    <t>Heb251117206</t>
  </si>
  <si>
    <t>Heb251117205</t>
  </si>
  <si>
    <t>Heb251117204</t>
  </si>
  <si>
    <t>Heb251117272</t>
  </si>
  <si>
    <t>Heb251117202</t>
  </si>
  <si>
    <t>车把磕伤掉漆</t>
  </si>
  <si>
    <t>MTSF260326102</t>
  </si>
  <si>
    <t>MTSF260326116</t>
  </si>
  <si>
    <t>后刹皮蹭轮圈</t>
  </si>
  <si>
    <t>后变最小盘跳链</t>
  </si>
  <si>
    <t>MTSF260417002</t>
  </si>
  <si>
    <t>MTSF260326113</t>
  </si>
  <si>
    <t>MTSF260409011</t>
  </si>
  <si>
    <t>MTSF260607005</t>
  </si>
  <si>
    <t>MTSF260409010</t>
  </si>
  <si>
    <t>座垫角度3.2°，大于标准+2/-3°</t>
  </si>
  <si>
    <t>EDR CF 2 RIVAL AXS CN BLACK</t>
  </si>
  <si>
    <t>EDR CF 2 105 CN GREEN</t>
  </si>
  <si>
    <t>MTSF260409014</t>
  </si>
  <si>
    <t>MTSF260602001</t>
  </si>
  <si>
    <t>MTSF260409015</t>
  </si>
  <si>
    <t>MTSF260417003</t>
  </si>
  <si>
    <t>MTSF260326117</t>
  </si>
  <si>
    <t>MTSF260326121</t>
  </si>
  <si>
    <t>MTSF260326122</t>
  </si>
  <si>
    <t>MTSF260409018</t>
  </si>
  <si>
    <t>MTSF260409032</t>
  </si>
  <si>
    <t>MTSF260409019</t>
  </si>
  <si>
    <t>MTSF260326123</t>
  </si>
  <si>
    <t>MTSF260409020</t>
  </si>
  <si>
    <t>MTSF260427001</t>
  </si>
  <si>
    <t>MTSF260424226</t>
  </si>
  <si>
    <t>WO2606080006</t>
  </si>
  <si>
    <t>WO2606080007</t>
  </si>
  <si>
    <t>Heb251117191</t>
  </si>
  <si>
    <t>Heb251202005</t>
  </si>
  <si>
    <t>Heb251117801</t>
  </si>
  <si>
    <t>Heb251117251</t>
  </si>
  <si>
    <t>座管不能插入</t>
  </si>
  <si>
    <t>漏装后反光片</t>
  </si>
  <si>
    <t>MTSF260428001</t>
  </si>
  <si>
    <t>MTSF260616001</t>
  </si>
  <si>
    <t>座管划伤</t>
  </si>
  <si>
    <t>前叉桥磕伤</t>
  </si>
  <si>
    <t>MTSF260409037</t>
  </si>
  <si>
    <t>MTSF260326126</t>
  </si>
  <si>
    <t>Heb251117295</t>
  </si>
  <si>
    <t>Heb251117311</t>
  </si>
  <si>
    <t>Heb251117310</t>
  </si>
  <si>
    <t>Heb251117228</t>
  </si>
  <si>
    <t>Heb251117227</t>
  </si>
  <si>
    <t>Heb251117238</t>
  </si>
  <si>
    <t>Heb251117237</t>
  </si>
  <si>
    <t>Heb251117236</t>
  </si>
  <si>
    <t>Heb251117235</t>
  </si>
  <si>
    <t>Heb251117192</t>
  </si>
  <si>
    <t>Heb251117248</t>
  </si>
  <si>
    <t>Heb251117247</t>
  </si>
  <si>
    <t>Heb251117328</t>
  </si>
  <si>
    <t>Heb251117315</t>
  </si>
  <si>
    <t>Heb251117246</t>
  </si>
  <si>
    <t>Heb251117327</t>
  </si>
  <si>
    <t>Heb251117314</t>
  </si>
  <si>
    <t>Heb251117245</t>
  </si>
  <si>
    <t>Heb251117313</t>
  </si>
  <si>
    <t>Heb251117326</t>
  </si>
  <si>
    <t>Heb251117244</t>
  </si>
  <si>
    <t>Heb251117261</t>
  </si>
  <si>
    <t>Heb251117288</t>
  </si>
  <si>
    <t>Heb251117905</t>
  </si>
  <si>
    <t>Heb260123003</t>
  </si>
  <si>
    <t>Heb251117290</t>
  </si>
  <si>
    <t>Heb251117903</t>
  </si>
  <si>
    <t>Heb251117098</t>
  </si>
  <si>
    <t>Heb251117804</t>
  </si>
  <si>
    <t>Heb251117287</t>
  </si>
  <si>
    <t>Heb251117260</t>
  </si>
  <si>
    <t>Heb251117904</t>
  </si>
  <si>
    <t>Heb251117220</t>
  </si>
  <si>
    <t>Heb251117259</t>
  </si>
  <si>
    <t>Heb251117286</t>
  </si>
  <si>
    <t>Heb251117289</t>
  </si>
  <si>
    <t>竖管与前叉锁不紧</t>
  </si>
  <si>
    <t>MTSF260417005</t>
  </si>
  <si>
    <t>MTSF260424248</t>
  </si>
  <si>
    <t>MTSF260424157</t>
  </si>
  <si>
    <t>MTSF260424158</t>
  </si>
  <si>
    <t>MTSF260424174</t>
  </si>
  <si>
    <t>MTSF260409033</t>
  </si>
  <si>
    <t>MTSF260424078</t>
  </si>
  <si>
    <t>MTSF260409028</t>
  </si>
  <si>
    <t>MTSF260507008</t>
  </si>
  <si>
    <t>MTSF260409026</t>
  </si>
  <si>
    <t>MTSF260409012</t>
  </si>
  <si>
    <t>MTSF260326114</t>
  </si>
  <si>
    <t>MTSF260326006</t>
  </si>
  <si>
    <t>MTSF260409021</t>
  </si>
  <si>
    <t>MTSF260409036</t>
  </si>
  <si>
    <t>MTSF260424004</t>
  </si>
  <si>
    <t>挡链器蹭链条</t>
  </si>
  <si>
    <t>NCMR00117</t>
  </si>
  <si>
    <t>MTSF2601161000</t>
  </si>
  <si>
    <t>MTSF2604210006</t>
  </si>
  <si>
    <t>MTSF2604210007</t>
  </si>
  <si>
    <t>MTSF260326112</t>
  </si>
  <si>
    <t>MTSF260312044</t>
  </si>
  <si>
    <t>MTSF260701001</t>
  </si>
  <si>
    <t>前叉贴标用错</t>
  </si>
  <si>
    <t>座垫角度-4.0°，大于标准+2/-2°</t>
  </si>
  <si>
    <t>MTSF260424159</t>
  </si>
  <si>
    <t>MTSF260702001</t>
  </si>
  <si>
    <t>MTSF260513183</t>
  </si>
  <si>
    <t>MTSF260703002</t>
  </si>
  <si>
    <t>MTSF260605005</t>
  </si>
  <si>
    <t>KPI</t>
  </si>
  <si>
    <t>MTSF260706001</t>
  </si>
  <si>
    <t>MTSF260612200</t>
  </si>
  <si>
    <t>MTSF260424227</t>
  </si>
  <si>
    <t>MTSF260409022</t>
  </si>
  <si>
    <t>MTSF260417004</t>
  </si>
  <si>
    <t>MTSF260424228</t>
  </si>
  <si>
    <t>MTSF260513202</t>
  </si>
  <si>
    <t>MTSF260702004</t>
  </si>
  <si>
    <t>MTSF260409038</t>
  </si>
  <si>
    <t>MTSF260424249</t>
  </si>
  <si>
    <t>MTSF260326127</t>
  </si>
  <si>
    <t>MTSF260409023</t>
  </si>
  <si>
    <t>MTSF260424250</t>
  </si>
  <si>
    <t>MTSF260424006</t>
  </si>
  <si>
    <t>G-size深度0mm,小于标准3±2mm</t>
  </si>
  <si>
    <t>Heb251117325</t>
  </si>
  <si>
    <t>Heb251117345</t>
  </si>
  <si>
    <t>Heb251117324</t>
  </si>
  <si>
    <t>Heb251117344</t>
  </si>
  <si>
    <t>Heb251117323</t>
  </si>
  <si>
    <t>Heb251117343</t>
  </si>
  <si>
    <t>Heb251117322</t>
  </si>
  <si>
    <t>Heb251117342</t>
  </si>
  <si>
    <t>Heb251117321</t>
  </si>
  <si>
    <t>Heb251117341</t>
  </si>
  <si>
    <t>Heb251117280</t>
  </si>
  <si>
    <t>Heb251117279</t>
  </si>
  <si>
    <t>Heb260226001</t>
  </si>
  <si>
    <t>Heb251117278</t>
  </si>
  <si>
    <t>MTSF260318002</t>
  </si>
  <si>
    <t>MTSF260313001</t>
  </si>
  <si>
    <t>MTSF260424005</t>
  </si>
  <si>
    <t>MTSF260513079</t>
  </si>
  <si>
    <t>MTSF260513095</t>
  </si>
  <si>
    <t>MTSF260326119</t>
  </si>
  <si>
    <t>MTSF260513151</t>
  </si>
  <si>
    <t>MTSF260424175</t>
  </si>
  <si>
    <t>MTSF260424176</t>
  </si>
  <si>
    <t>MTSF260513014</t>
  </si>
  <si>
    <t>前变小对二小蹭链</t>
  </si>
  <si>
    <t>RCR - F2 PRO ULTEGRA DI2 PWR CN WHITE</t>
  </si>
  <si>
    <t>前叉漏包一个泡棉</t>
  </si>
  <si>
    <t>MTSF260513013</t>
  </si>
  <si>
    <t>MTSF260513045</t>
  </si>
  <si>
    <t>MTSF260424043</t>
  </si>
  <si>
    <t>MTSF260424042</t>
  </si>
  <si>
    <t>MTSF260625108</t>
  </si>
  <si>
    <t>MTSF260527124</t>
  </si>
  <si>
    <t>MTSF260513152</t>
  </si>
  <si>
    <t>MTSF260527181</t>
  </si>
  <si>
    <t>MTSF260513203</t>
  </si>
  <si>
    <t>MTSF260424079</t>
  </si>
  <si>
    <t>MTSF260513096</t>
  </si>
  <si>
    <t>MTSF260527018</t>
  </si>
  <si>
    <t>MTSF260527004</t>
  </si>
  <si>
    <t>MTSF260605001</t>
  </si>
  <si>
    <t>MTSF260527005</t>
  </si>
  <si>
    <t>MTSF260703001</t>
  </si>
  <si>
    <t>MTSF260409035</t>
  </si>
  <si>
    <t>MTSF260527196</t>
  </si>
  <si>
    <t>MTSF260527123</t>
  </si>
  <si>
    <t>MTSF260527137</t>
  </si>
  <si>
    <t>MTSF260507006</t>
  </si>
  <si>
    <t>MTSF260612001</t>
  </si>
  <si>
    <t>Heb260723001</t>
  </si>
  <si>
    <t>RCR PRO UT DI2 CN PINK PEARL</t>
  </si>
  <si>
    <t>RCR PRO UT DI2 CN MID NIGHT BLUE</t>
  </si>
  <si>
    <t>RCR PRO UT DI2 CNFR PINK PEARL</t>
  </si>
  <si>
    <t>MTSF260625176</t>
  </si>
  <si>
    <t>MTSF260612008</t>
  </si>
  <si>
    <t>MTSF260527138</t>
  </si>
  <si>
    <t>MTSF260527031</t>
  </si>
  <si>
    <t>MTSF260605003</t>
  </si>
  <si>
    <t>MTSF260625106</t>
  </si>
  <si>
    <t>MTSF260625107</t>
  </si>
  <si>
    <t>MTSF260409029</t>
  </si>
  <si>
    <t>MTSF260527063</t>
  </si>
  <si>
    <t>MTSF260527062</t>
  </si>
  <si>
    <t>竖管漏锁</t>
  </si>
  <si>
    <t>MTSF260424100</t>
  </si>
  <si>
    <t>MTSF260612006</t>
  </si>
  <si>
    <t>MTSF260312194</t>
  </si>
  <si>
    <t>MTSF260625174</t>
  </si>
  <si>
    <t>MTSF260625175</t>
  </si>
  <si>
    <t>MTSF260605004</t>
  </si>
  <si>
    <t xml:space="preserve">变速剪线长度超出标准35/50±5mm </t>
  </si>
  <si>
    <t>MTSF260625208</t>
  </si>
  <si>
    <t>MTSF260625002</t>
  </si>
  <si>
    <t>MTSF260722001</t>
  </si>
  <si>
    <t>MTSF260625242</t>
  </si>
  <si>
    <t>车架头管掉漆</t>
  </si>
  <si>
    <t>MTSF260612009</t>
  </si>
  <si>
    <t>MTSF260612022</t>
  </si>
  <si>
    <t>MTSF260625346</t>
  </si>
  <si>
    <t>MTSF260625347</t>
  </si>
  <si>
    <t>MTSF260625348</t>
  </si>
  <si>
    <t>MTSF260612010</t>
  </si>
  <si>
    <t>MTSF260527197</t>
  </si>
  <si>
    <t>MTSF260612011</t>
  </si>
  <si>
    <t>MTSF260714001</t>
  </si>
  <si>
    <t>MTSF260612003</t>
  </si>
  <si>
    <t>MTSF260612014</t>
  </si>
  <si>
    <t>MTSF260527032</t>
  </si>
  <si>
    <t>MTSF260612021</t>
  </si>
  <si>
    <t>MTSF260625243</t>
  </si>
  <si>
    <t>MTSF260409034</t>
  </si>
  <si>
    <t>MTS260807001</t>
  </si>
  <si>
    <t>MTSF260813005</t>
  </si>
  <si>
    <t>MTSF260612023</t>
  </si>
  <si>
    <t>MTSF260612024</t>
  </si>
  <si>
    <t>MTSF260513219</t>
  </si>
  <si>
    <t>MTSF260625055</t>
  </si>
  <si>
    <t>MTSF260409025</t>
  </si>
  <si>
    <t>变把刮伤</t>
  </si>
  <si>
    <t>MTSF260612012</t>
  </si>
  <si>
    <t>MTSF260713268</t>
  </si>
  <si>
    <t>MTSF260625364</t>
  </si>
  <si>
    <t>MTSF260813006</t>
  </si>
  <si>
    <t>MTSF260625382</t>
  </si>
  <si>
    <t>MTSF260527214</t>
  </si>
  <si>
    <t>MTSF260424127</t>
  </si>
  <si>
    <t>MTSF260409016</t>
  </si>
  <si>
    <t>MTSF260625244</t>
  </si>
  <si>
    <t>MTSF260713900</t>
  </si>
  <si>
    <t>MTSF260424195</t>
  </si>
  <si>
    <t>后刹线管扎带头未转到内侧</t>
  </si>
  <si>
    <t>车架上管掉漆</t>
  </si>
  <si>
    <t>MTSF260513168</t>
  </si>
  <si>
    <t>MTSF260713005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</si>
</sst>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m"/>
    <numFmt numFmtId="165" formatCode="&quot;Wk&quot;00"/>
    <numFmt numFmtId="166" formatCode="mm/dd/yyyy"/>
    <numFmt numFmtId="167" formatCode="0.0000"/>
  </numFmts>
  <fonts count="23">
    <font>
      <sz val="10"/>
      <name val="Arial"/>
      <charset val="134"/>
    </font>
    <font>
      <sz val="10"/>
      <name val="Microsoft YaHei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Copperplate Gothic Bold"/>
      <family val="2"/>
    </font>
    <font>
      <b/>
      <sz val="12"/>
      <name val="Microsoft JhengHei UI"/>
      <family val="2"/>
    </font>
    <font>
      <b/>
      <sz val="24"/>
      <name val="Copperplate Gothic Bold"/>
      <family val="2"/>
    </font>
    <font>
      <sz val="10"/>
      <name val="MS Sans Serif"/>
      <family val="2"/>
    </font>
    <font>
      <sz val="10"/>
      <name val="Courier New"/>
      <family val="3"/>
    </font>
    <font>
      <sz val="10"/>
      <color indexed="8"/>
      <name val="Arial"/>
      <family val="2"/>
    </font>
    <font>
      <b/>
      <sz val="8"/>
      <name val="Tahoma"/>
      <family val="2"/>
    </font>
    <font>
      <sz val="8"/>
      <name val="Tahoma"/>
      <family val="2"/>
    </font>
    <font>
      <sz val="8"/>
      <name val="微软雅黑"/>
      <family val="2"/>
      <charset val="134"/>
    </font>
    <font>
      <sz val="8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sz val="10"/>
      <name val="Arial"/>
      <family val="2"/>
      <charset val="134"/>
    </font>
    <font>
      <sz val="11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i/>
      <u/>
      <sz val="12"/>
      <name val="Copperplate Gothic Bold"/>
      <family val="2"/>
    </font>
    <font>
      <i/>
      <u/>
      <sz val="12"/>
      <color theme="1"/>
      <name val="Copperplate Gothic Bold"/>
      <family val="2"/>
    </font>
    <font>
      <sz val="24"/>
      <name val="Copperplate Gothic Bold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indexed="9"/>
        <bgColor indexed="26"/>
      </patternFill>
    </fill>
    <fill>
      <patternFill patternType="solid">
        <fgColor indexed="27"/>
        <bgColor indexed="41"/>
      </patternFill>
    </fill>
  </fills>
  <borders count="368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0"/>
      </left>
      <right/>
      <top style="medium">
        <color indexed="8"/>
      </top>
      <bottom style="medium">
        <color auto="1"/>
      </bottom>
      <diagonal/>
    </border>
    <border>
      <left/>
      <right/>
      <top style="medium">
        <color indexed="8"/>
      </top>
      <bottom style="medium">
        <color auto="1"/>
      </bottom>
      <diagonal/>
    </border>
    <border>
      <left style="medium">
        <color auto="1"/>
      </left>
      <right style="thin">
        <color indexed="8"/>
      </right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/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medium">
        <color indexed="8"/>
      </bottom>
      <diagonal/>
    </border>
    <border>
      <left style="thin">
        <color indexed="8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medium">
        <color indexed="8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669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9" fillId="0" borderId="0"/>
    <xf numFmtId="0" fontId="3" fillId="0" borderId="0"/>
    <xf numFmtId="0" fontId="7" fillId="0" borderId="0"/>
    <xf numFmtId="0" fontId="3" fillId="0" borderId="0"/>
    <xf numFmtId="0" fontId="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1398">
    <xf numFmtId="0" fontId="0" fillId="0" borderId="0" xfId="0"/>
    <xf numFmtId="0" fontId="0" fillId="0" borderId="1" xfId="0" applyBorder="1"/>
    <xf numFmtId="0" fontId="0" fillId="3" borderId="0" xfId="64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0" fillId="0" borderId="2" xfId="0" applyBorder="1"/>
    <xf numFmtId="0" fontId="0" fillId="0" borderId="2" xfId="0" applyBorder="1" applyAlignment="1">
      <alignment horizontal="left"/>
    </xf>
    <xf numFmtId="0" fontId="1" fillId="3" borderId="3" xfId="640" applyFont="1" applyFill="1" applyBorder="1"/>
    <xf numFmtId="0" fontId="1" fillId="3" borderId="3" xfId="641" applyFont="1" applyFill="1" applyBorder="1" applyAlignment="1">
      <alignment horizontal="left" vertical="center"/>
    </xf>
    <xf numFmtId="0" fontId="0" fillId="3" borderId="3" xfId="639" applyFont="1" applyFill="1" applyBorder="1" applyAlignment="1">
      <alignment horizontal="left"/>
    </xf>
    <xf numFmtId="0" fontId="0" fillId="3" borderId="3" xfId="640" applyFont="1" applyFill="1" applyBorder="1" applyAlignment="1">
      <alignment horizontal="left" vertical="center"/>
    </xf>
    <xf numFmtId="0" fontId="0" fillId="0" borderId="3" xfId="640" applyFont="1" applyFill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1" fillId="0" borderId="3" xfId="640" applyFont="1" applyFill="1" applyBorder="1" applyAlignment="1">
      <alignment horizontal="left" vertical="center"/>
    </xf>
    <xf numFmtId="0" fontId="1" fillId="3" borderId="3" xfId="640" applyFont="1" applyFill="1" applyBorder="1" applyAlignment="1">
      <alignment horizontal="left" vertical="center"/>
    </xf>
    <xf numFmtId="0" fontId="0" fillId="0" borderId="3" xfId="0" applyBorder="1"/>
    <xf numFmtId="0" fontId="1" fillId="0" borderId="3" xfId="0" applyFont="1" applyFill="1" applyBorder="1"/>
    <xf numFmtId="0" fontId="1" fillId="3" borderId="3" xfId="641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0" fillId="3" borderId="3" xfId="0" applyFont="1" applyFill="1" applyBorder="1" applyAlignment="1">
      <alignment horizontal="left"/>
    </xf>
    <xf numFmtId="0" fontId="1" fillId="0" borderId="3" xfId="641" applyFont="1" applyFill="1" applyBorder="1" applyAlignment="1">
      <alignment horizontal="left"/>
    </xf>
    <xf numFmtId="0" fontId="1" fillId="0" borderId="0" xfId="640" applyFont="1" applyFill="1" applyBorder="1" applyAlignment="1">
      <alignment horizontal="left" vertical="center"/>
    </xf>
    <xf numFmtId="0" fontId="0" fillId="3" borderId="0" xfId="0" applyFont="1" applyFill="1" applyBorder="1" applyAlignment="1">
      <alignment horizontal="left"/>
    </xf>
    <xf numFmtId="0" fontId="1" fillId="3" borderId="0" xfId="640" applyFont="1" applyFill="1" applyBorder="1" applyAlignment="1">
      <alignment horizontal="left" vertical="center"/>
    </xf>
    <xf numFmtId="0" fontId="0" fillId="0" borderId="0" xfId="0" applyBorder="1"/>
    <xf numFmtId="0" fontId="0" fillId="0" borderId="0" xfId="640" applyFont="1" applyFill="1" applyBorder="1" applyAlignment="1">
      <alignment horizontal="left" vertical="center"/>
    </xf>
    <xf numFmtId="0" fontId="1" fillId="0" borderId="0" xfId="0" applyFont="1" applyFill="1" applyBorder="1"/>
    <xf numFmtId="0" fontId="0" fillId="0" borderId="0" xfId="640" applyFont="1" applyFill="1" applyBorder="1"/>
    <xf numFmtId="0" fontId="0" fillId="3" borderId="0" xfId="640" applyFont="1" applyFill="1" applyBorder="1"/>
    <xf numFmtId="0" fontId="0" fillId="3" borderId="0" xfId="0" applyFill="1" applyBorder="1"/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6" xfId="0" applyFont="1" applyFill="1" applyBorder="1"/>
    <xf numFmtId="0" fontId="0" fillId="0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0" fillId="0" borderId="0" xfId="0" applyFont="1" applyFill="1" applyBorder="1" applyAlignment="1">
      <alignment horizontal="left" wrapText="1"/>
    </xf>
    <xf numFmtId="0" fontId="0" fillId="0" borderId="0" xfId="0" applyFill="1" applyBorder="1" applyAlignment="1">
      <alignment horizontal="left"/>
    </xf>
    <xf numFmtId="0" fontId="0" fillId="0" borderId="0" xfId="642" applyFont="1" applyFill="1" applyBorder="1"/>
    <xf numFmtId="0" fontId="0" fillId="0" borderId="3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3" xfId="638" applyFont="1" applyBorder="1" applyAlignment="1">
      <alignment horizontal="left" vertical="center"/>
    </xf>
    <xf numFmtId="165" fontId="3" fillId="2" borderId="3" xfId="638" applyNumberFormat="1" applyFont="1" applyFill="1" applyBorder="1" applyAlignment="1">
      <alignment horizontal="center" vertical="center"/>
    </xf>
    <xf numFmtId="166" fontId="3" fillId="2" borderId="3" xfId="638" applyNumberFormat="1" applyFont="1" applyFill="1" applyBorder="1" applyAlignment="1">
      <alignment horizontal="center" vertical="center"/>
    </xf>
    <xf numFmtId="0" fontId="3" fillId="2" borderId="3" xfId="638" applyFont="1" applyFill="1" applyBorder="1" applyAlignment="1">
      <alignment horizontal="center" vertical="center"/>
    </xf>
    <xf numFmtId="0" fontId="0" fillId="0" borderId="0" xfId="0" applyFont="1"/>
    <xf numFmtId="0" fontId="3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0" xfId="0" applyFont="1" applyBorder="1"/>
    <xf numFmtId="166" fontId="0" fillId="0" borderId="0" xfId="640" applyNumberFormat="1" applyFont="1" applyFill="1" applyBorder="1" applyAlignment="1">
      <alignment horizontal="center" vertical="center"/>
    </xf>
    <xf numFmtId="0" fontId="4" fillId="3" borderId="0" xfId="640" applyFont="1" applyFill="1" applyBorder="1" applyAlignment="1">
      <alignment horizontal="center" vertical="center"/>
    </xf>
    <xf numFmtId="0" fontId="5" fillId="3" borderId="0" xfId="640" applyFont="1" applyFill="1" applyBorder="1" applyAlignment="1">
      <alignment horizontal="center" vertical="center" wrapText="1"/>
    </xf>
    <xf numFmtId="164" fontId="0" fillId="3" borderId="0" xfId="640" applyNumberFormat="1" applyFont="1" applyFill="1" applyBorder="1" applyAlignment="1">
      <alignment horizontal="center" vertical="center"/>
    </xf>
    <xf numFmtId="165" fontId="0" fillId="3" borderId="0" xfId="640" applyNumberFormat="1" applyFont="1" applyFill="1" applyBorder="1" applyAlignment="1">
      <alignment horizontal="center" vertical="center"/>
    </xf>
    <xf numFmtId="166" fontId="0" fillId="3" borderId="0" xfId="640" applyNumberFormat="1" applyFont="1" applyFill="1" applyBorder="1" applyAlignment="1">
      <alignment horizontal="center" vertical="center"/>
    </xf>
    <xf numFmtId="0" fontId="0" fillId="3" borderId="0" xfId="640" applyNumberFormat="1" applyFont="1" applyFill="1" applyBorder="1" applyAlignment="1">
      <alignment horizontal="center" vertical="center"/>
    </xf>
    <xf numFmtId="0" fontId="0" fillId="3" borderId="0" xfId="640" applyFont="1" applyFill="1" applyBorder="1" applyAlignment="1">
      <alignment horizontal="center" vertical="center" wrapText="1"/>
    </xf>
    <xf numFmtId="0" fontId="5" fillId="4" borderId="16" xfId="640" applyFont="1" applyFill="1" applyBorder="1" applyAlignment="1">
      <alignment horizontal="center" vertical="center" wrapText="1"/>
    </xf>
    <xf numFmtId="0" fontId="5" fillId="4" borderId="16" xfId="641" applyFont="1" applyFill="1" applyBorder="1" applyAlignment="1">
      <alignment horizontal="center" vertical="center" wrapText="1"/>
    </xf>
    <xf numFmtId="164" fontId="3" fillId="2" borderId="19" xfId="638" applyNumberFormat="1" applyFont="1" applyFill="1" applyBorder="1" applyAlignment="1">
      <alignment horizontal="center" vertical="center"/>
    </xf>
    <xf numFmtId="165" fontId="3" fillId="2" borderId="18" xfId="638" applyNumberFormat="1" applyFont="1" applyFill="1" applyBorder="1" applyAlignment="1">
      <alignment horizontal="center" vertical="center"/>
    </xf>
    <xf numFmtId="166" fontId="3" fillId="2" borderId="18" xfId="638" applyNumberFormat="1" applyFont="1" applyFill="1" applyBorder="1" applyAlignment="1">
      <alignment horizontal="center" vertical="center"/>
    </xf>
    <xf numFmtId="0" fontId="3" fillId="2" borderId="18" xfId="638" applyFont="1" applyFill="1" applyBorder="1" applyAlignment="1">
      <alignment horizontal="center" vertical="center"/>
    </xf>
    <xf numFmtId="164" fontId="3" fillId="2" borderId="22" xfId="638" applyNumberFormat="1" applyFont="1" applyFill="1" applyBorder="1" applyAlignment="1">
      <alignment horizontal="center" vertical="center"/>
    </xf>
    <xf numFmtId="165" fontId="3" fillId="2" borderId="23" xfId="638" applyNumberFormat="1" applyFont="1" applyFill="1" applyBorder="1" applyAlignment="1">
      <alignment horizontal="center" vertical="center"/>
    </xf>
    <xf numFmtId="166" fontId="3" fillId="2" borderId="23" xfId="638" applyNumberFormat="1" applyFont="1" applyFill="1" applyBorder="1" applyAlignment="1">
      <alignment horizontal="center" vertical="center"/>
    </xf>
    <xf numFmtId="0" fontId="3" fillId="2" borderId="23" xfId="638" applyFont="1" applyFill="1" applyBorder="1" applyAlignment="1">
      <alignment horizontal="center" vertical="center"/>
    </xf>
    <xf numFmtId="0" fontId="3" fillId="0" borderId="23" xfId="638" applyFont="1" applyBorder="1" applyAlignment="1">
      <alignment horizontal="center" vertical="center"/>
    </xf>
    <xf numFmtId="0" fontId="3" fillId="0" borderId="24" xfId="638" applyFont="1" applyBorder="1" applyAlignment="1">
      <alignment horizontal="center" vertical="center"/>
    </xf>
    <xf numFmtId="0" fontId="0" fillId="0" borderId="3" xfId="638" applyFont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7" xfId="0" applyBorder="1"/>
    <xf numFmtId="10" fontId="0" fillId="0" borderId="28" xfId="0" applyNumberFormat="1" applyBorder="1" applyAlignment="1">
      <alignment horizontal="center"/>
    </xf>
    <xf numFmtId="10" fontId="0" fillId="0" borderId="29" xfId="0" applyNumberFormat="1" applyBorder="1" applyAlignment="1">
      <alignment horizontal="center"/>
    </xf>
    <xf numFmtId="0" fontId="3" fillId="0" borderId="30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167" fontId="13" fillId="0" borderId="7" xfId="640" applyNumberFormat="1" applyFont="1" applyFill="1" applyBorder="1" applyAlignment="1">
      <alignment horizontal="center" vertical="center" wrapText="1"/>
    </xf>
    <xf numFmtId="0" fontId="0" fillId="0" borderId="3" xfId="638" applyFont="1" applyBorder="1" applyAlignment="1">
      <alignment horizontal="left" vertical="center" wrapText="1"/>
    </xf>
    <xf numFmtId="164" fontId="3" fillId="2" borderId="3" xfId="638" applyNumberFormat="1" applyFont="1" applyFill="1" applyBorder="1" applyAlignment="1">
      <alignment horizontal="center" vertical="center"/>
    </xf>
    <xf numFmtId="164" fontId="3" fillId="2" borderId="20" xfId="638" applyNumberFormat="1" applyFont="1" applyFill="1" applyBorder="1" applyAlignment="1">
      <alignment horizontal="center" vertical="center"/>
    </xf>
    <xf numFmtId="0" fontId="3" fillId="0" borderId="3" xfId="638" applyFont="1" applyBorder="1" applyAlignment="1">
      <alignment horizontal="center" vertical="center"/>
    </xf>
    <xf numFmtId="0" fontId="0" fillId="0" borderId="23" xfId="638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left" vertical="center"/>
    </xf>
    <xf numFmtId="0" fontId="16" fillId="3" borderId="3" xfId="639" applyFont="1" applyFill="1" applyBorder="1" applyAlignment="1">
      <alignment horizontal="left"/>
    </xf>
    <xf numFmtId="164" fontId="3" fillId="2" borderId="34" xfId="638" applyNumberFormat="1" applyFont="1" applyFill="1" applyBorder="1" applyAlignment="1">
      <alignment horizontal="center" vertical="center"/>
    </xf>
    <xf numFmtId="165" fontId="3" fillId="2" borderId="25" xfId="638" applyNumberFormat="1" applyFont="1" applyFill="1" applyBorder="1" applyAlignment="1">
      <alignment horizontal="center" vertical="center"/>
    </xf>
    <xf numFmtId="166" fontId="3" fillId="2" borderId="25" xfId="638" applyNumberFormat="1" applyFont="1" applyFill="1" applyBorder="1" applyAlignment="1">
      <alignment horizontal="center" vertical="center"/>
    </xf>
    <xf numFmtId="0" fontId="3" fillId="2" borderId="25" xfId="638" applyFont="1" applyFill="1" applyBorder="1" applyAlignment="1">
      <alignment horizontal="center" vertical="center"/>
    </xf>
    <xf numFmtId="0" fontId="3" fillId="0" borderId="3" xfId="638" applyFont="1" applyBorder="1" applyAlignment="1">
      <alignment horizontal="center" vertical="center"/>
    </xf>
    <xf numFmtId="0" fontId="0" fillId="0" borderId="5" xfId="0" applyFont="1" applyBorder="1" applyAlignment="1">
      <alignment horizontal="left" vertical="center"/>
    </xf>
    <xf numFmtId="0" fontId="3" fillId="0" borderId="3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left" vertical="center" wrapText="1"/>
    </xf>
    <xf numFmtId="0" fontId="0" fillId="0" borderId="3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3" xfId="638" applyFont="1" applyBorder="1" applyAlignment="1">
      <alignment vertical="center"/>
    </xf>
    <xf numFmtId="0" fontId="0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17" fillId="0" borderId="0" xfId="0" applyFont="1" applyFill="1" applyBorder="1" applyAlignment="1">
      <alignment horizontal="center" wrapText="1"/>
    </xf>
    <xf numFmtId="0" fontId="3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wrapText="1"/>
    </xf>
    <xf numFmtId="10" fontId="0" fillId="0" borderId="0" xfId="0" applyNumberFormat="1" applyBorder="1" applyAlignment="1">
      <alignment horizontal="center"/>
    </xf>
    <xf numFmtId="10" fontId="0" fillId="0" borderId="36" xfId="0" applyNumberFormat="1" applyBorder="1" applyAlignment="1">
      <alignment horizontal="center"/>
    </xf>
    <xf numFmtId="0" fontId="3" fillId="0" borderId="35" xfId="0" applyFont="1" applyBorder="1"/>
    <xf numFmtId="0" fontId="0" fillId="0" borderId="36" xfId="0" applyBorder="1" applyAlignment="1">
      <alignment horizontal="center"/>
    </xf>
    <xf numFmtId="0" fontId="21" fillId="3" borderId="0" xfId="640" applyFont="1" applyFill="1" applyBorder="1" applyAlignment="1">
      <alignment horizontal="center" vertical="center"/>
    </xf>
    <xf numFmtId="0" fontId="0" fillId="0" borderId="37" xfId="0" applyFont="1" applyFill="1" applyBorder="1"/>
    <xf numFmtId="164" fontId="3" fillId="2" borderId="39" xfId="638" applyNumberFormat="1" applyFont="1" applyFill="1" applyBorder="1" applyAlignment="1">
      <alignment horizontal="center" vertical="center"/>
    </xf>
    <xf numFmtId="165" fontId="3" fillId="2" borderId="40" xfId="638" applyNumberFormat="1" applyFont="1" applyFill="1" applyBorder="1" applyAlignment="1">
      <alignment horizontal="center" vertical="center"/>
    </xf>
    <xf numFmtId="166" fontId="3" fillId="2" borderId="40" xfId="638" applyNumberFormat="1" applyFont="1" applyFill="1" applyBorder="1" applyAlignment="1">
      <alignment horizontal="center" vertical="center"/>
    </xf>
    <xf numFmtId="0" fontId="3" fillId="2" borderId="40" xfId="638" applyFont="1" applyFill="1" applyBorder="1" applyAlignment="1">
      <alignment horizontal="center" vertical="center"/>
    </xf>
    <xf numFmtId="165" fontId="3" fillId="2" borderId="38" xfId="638" applyNumberFormat="1" applyFont="1" applyFill="1" applyBorder="1" applyAlignment="1">
      <alignment horizontal="center" vertical="center"/>
    </xf>
    <xf numFmtId="166" fontId="3" fillId="2" borderId="38" xfId="638" applyNumberFormat="1" applyFont="1" applyFill="1" applyBorder="1" applyAlignment="1">
      <alignment horizontal="center" vertical="center"/>
    </xf>
    <xf numFmtId="0" fontId="3" fillId="2" borderId="38" xfId="638" applyFont="1" applyFill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25" xfId="638" applyFont="1" applyBorder="1" applyAlignment="1">
      <alignment horizontal="center" vertical="center"/>
    </xf>
    <xf numFmtId="0" fontId="3" fillId="0" borderId="38" xfId="638" applyFont="1" applyBorder="1" applyAlignment="1">
      <alignment horizontal="center" vertical="center"/>
    </xf>
    <xf numFmtId="0" fontId="3" fillId="0" borderId="40" xfId="638" applyFont="1" applyBorder="1" applyAlignment="1">
      <alignment horizontal="center" vertical="center"/>
    </xf>
    <xf numFmtId="0" fontId="3" fillId="0" borderId="26" xfId="638" applyFont="1" applyBorder="1" applyAlignment="1">
      <alignment horizontal="center" vertical="center"/>
    </xf>
    <xf numFmtId="0" fontId="0" fillId="0" borderId="25" xfId="638" applyFont="1" applyBorder="1" applyAlignment="1">
      <alignment horizontal="center" vertical="center" wrapText="1"/>
    </xf>
    <xf numFmtId="0" fontId="5" fillId="4" borderId="48" xfId="640" applyFont="1" applyFill="1" applyBorder="1" applyAlignment="1">
      <alignment horizontal="center" vertical="center" wrapText="1"/>
    </xf>
    <xf numFmtId="0" fontId="5" fillId="4" borderId="48" xfId="641" applyFont="1" applyFill="1" applyBorder="1" applyAlignment="1">
      <alignment horizontal="center" vertical="center" wrapText="1"/>
    </xf>
    <xf numFmtId="0" fontId="3" fillId="0" borderId="49" xfId="0" applyFont="1" applyBorder="1"/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64" fontId="3" fillId="2" borderId="52" xfId="638" applyNumberFormat="1" applyFont="1" applyFill="1" applyBorder="1" applyAlignment="1">
      <alignment horizontal="center" vertical="center"/>
    </xf>
    <xf numFmtId="165" fontId="3" fillId="2" borderId="53" xfId="638" applyNumberFormat="1" applyFont="1" applyFill="1" applyBorder="1" applyAlignment="1">
      <alignment horizontal="center" vertical="center"/>
    </xf>
    <xf numFmtId="166" fontId="3" fillId="2" borderId="53" xfId="638" applyNumberFormat="1" applyFont="1" applyFill="1" applyBorder="1" applyAlignment="1">
      <alignment horizontal="center" vertical="center"/>
    </xf>
    <xf numFmtId="0" fontId="3" fillId="2" borderId="53" xfId="638" applyFont="1" applyFill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0" fillId="0" borderId="53" xfId="638" applyFont="1" applyBorder="1" applyAlignment="1">
      <alignment horizontal="center" vertical="center" wrapText="1"/>
    </xf>
    <xf numFmtId="0" fontId="3" fillId="0" borderId="54" xfId="638" applyFont="1" applyBorder="1" applyAlignment="1">
      <alignment horizontal="center" vertical="center"/>
    </xf>
    <xf numFmtId="165" fontId="3" fillId="2" borderId="55" xfId="638" applyNumberFormat="1" applyFont="1" applyFill="1" applyBorder="1" applyAlignment="1">
      <alignment horizontal="center" vertical="center"/>
    </xf>
    <xf numFmtId="166" fontId="3" fillId="2" borderId="55" xfId="638" applyNumberFormat="1" applyFont="1" applyFill="1" applyBorder="1" applyAlignment="1">
      <alignment horizontal="center" vertical="center"/>
    </xf>
    <xf numFmtId="0" fontId="3" fillId="2" borderId="55" xfId="638" applyFont="1" applyFill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0" fillId="0" borderId="55" xfId="638" applyFont="1" applyBorder="1" applyAlignment="1">
      <alignment horizontal="center" vertical="center" wrapText="1"/>
    </xf>
    <xf numFmtId="0" fontId="15" fillId="0" borderId="25" xfId="638" applyFont="1" applyBorder="1" applyAlignment="1">
      <alignment horizontal="center" vertical="center"/>
    </xf>
    <xf numFmtId="0" fontId="3" fillId="0" borderId="25" xfId="638" quotePrefix="1" applyFont="1" applyBorder="1" applyAlignment="1">
      <alignment horizontal="center" vertical="center"/>
    </xf>
    <xf numFmtId="10" fontId="0" fillId="0" borderId="0" xfId="0" applyNumberFormat="1"/>
    <xf numFmtId="165" fontId="3" fillId="2" borderId="57" xfId="638" applyNumberFormat="1" applyFont="1" applyFill="1" applyBorder="1" applyAlignment="1">
      <alignment horizontal="center" vertical="center"/>
    </xf>
    <xf numFmtId="166" fontId="3" fillId="2" borderId="57" xfId="638" applyNumberFormat="1" applyFont="1" applyFill="1" applyBorder="1" applyAlignment="1">
      <alignment horizontal="center" vertical="center"/>
    </xf>
    <xf numFmtId="0" fontId="3" fillId="2" borderId="57" xfId="638" applyFont="1" applyFill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0" fillId="0" borderId="57" xfId="638" applyFont="1" applyBorder="1" applyAlignment="1">
      <alignment horizontal="center" vertical="center" wrapText="1"/>
    </xf>
    <xf numFmtId="0" fontId="3" fillId="0" borderId="62" xfId="638" applyFont="1" applyBorder="1" applyAlignment="1">
      <alignment horizontal="center" vertical="center"/>
    </xf>
    <xf numFmtId="0" fontId="3" fillId="0" borderId="58" xfId="638" applyFont="1" applyBorder="1" applyAlignment="1">
      <alignment horizontal="center" vertical="center"/>
    </xf>
    <xf numFmtId="0" fontId="3" fillId="0" borderId="59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66" xfId="638" applyNumberFormat="1" applyFont="1" applyFill="1" applyBorder="1" applyAlignment="1">
      <alignment horizontal="center" vertical="center"/>
    </xf>
    <xf numFmtId="165" fontId="3" fillId="2" borderId="58" xfId="638" applyNumberFormat="1" applyFont="1" applyFill="1" applyBorder="1" applyAlignment="1">
      <alignment horizontal="center" vertical="center"/>
    </xf>
    <xf numFmtId="166" fontId="3" fillId="2" borderId="58" xfId="638" applyNumberFormat="1" applyFont="1" applyFill="1" applyBorder="1" applyAlignment="1">
      <alignment horizontal="center" vertical="center"/>
    </xf>
    <xf numFmtId="0" fontId="3" fillId="2" borderId="58" xfId="638" applyFont="1" applyFill="1" applyBorder="1" applyAlignment="1">
      <alignment horizontal="center" vertical="center"/>
    </xf>
    <xf numFmtId="0" fontId="0" fillId="0" borderId="58" xfId="638" applyFont="1" applyBorder="1" applyAlignment="1">
      <alignment horizontal="center" vertical="center" wrapText="1"/>
    </xf>
    <xf numFmtId="0" fontId="0" fillId="0" borderId="18" xfId="638" applyFont="1" applyBorder="1" applyAlignment="1">
      <alignment horizontal="center" vertical="center" wrapText="1"/>
    </xf>
    <xf numFmtId="164" fontId="3" fillId="2" borderId="67" xfId="638" applyNumberFormat="1" applyFont="1" applyFill="1" applyBorder="1" applyAlignment="1">
      <alignment horizontal="center" vertical="center"/>
    </xf>
    <xf numFmtId="165" fontId="3" fillId="2" borderId="65" xfId="638" applyNumberFormat="1" applyFont="1" applyFill="1" applyBorder="1" applyAlignment="1">
      <alignment horizontal="center" vertical="center"/>
    </xf>
    <xf numFmtId="166" fontId="3" fillId="2" borderId="65" xfId="638" applyNumberFormat="1" applyFont="1" applyFill="1" applyBorder="1" applyAlignment="1">
      <alignment horizontal="center" vertical="center"/>
    </xf>
    <xf numFmtId="0" fontId="3" fillId="2" borderId="65" xfId="638" applyFont="1" applyFill="1" applyBorder="1" applyAlignment="1">
      <alignment horizontal="center" vertical="center"/>
    </xf>
    <xf numFmtId="0" fontId="3" fillId="0" borderId="65" xfId="638" applyFont="1" applyBorder="1" applyAlignment="1">
      <alignment horizontal="center" vertical="center"/>
    </xf>
    <xf numFmtId="0" fontId="0" fillId="0" borderId="65" xfId="638" applyFont="1" applyBorder="1" applyAlignment="1">
      <alignment horizontal="center" vertical="center" wrapText="1"/>
    </xf>
    <xf numFmtId="0" fontId="3" fillId="0" borderId="6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25" xfId="638" applyFont="1" applyBorder="1" applyAlignment="1">
      <alignment horizontal="center" vertical="center"/>
    </xf>
    <xf numFmtId="0" fontId="3" fillId="0" borderId="2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25" xfId="638" applyFont="1" applyBorder="1" applyAlignment="1">
      <alignment horizontal="center" vertical="center"/>
    </xf>
    <xf numFmtId="0" fontId="3" fillId="0" borderId="5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0" applyFont="1" applyBorder="1" applyAlignment="1">
      <alignment wrapText="1"/>
    </xf>
    <xf numFmtId="0" fontId="3" fillId="0" borderId="18" xfId="0" applyFont="1" applyBorder="1" applyAlignment="1">
      <alignment wrapText="1"/>
    </xf>
    <xf numFmtId="0" fontId="3" fillId="0" borderId="55" xfId="0" applyFont="1" applyBorder="1" applyAlignment="1">
      <alignment wrapText="1"/>
    </xf>
    <xf numFmtId="0" fontId="3" fillId="0" borderId="25" xfId="638" applyFont="1" applyBorder="1" applyAlignment="1">
      <alignment horizontal="center" vertical="center"/>
    </xf>
    <xf numFmtId="0" fontId="3" fillId="0" borderId="2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71" xfId="638" applyNumberFormat="1" applyFont="1" applyFill="1" applyBorder="1" applyAlignment="1">
      <alignment horizontal="center" vertical="center"/>
    </xf>
    <xf numFmtId="165" fontId="3" fillId="2" borderId="72" xfId="638" applyNumberFormat="1" applyFont="1" applyFill="1" applyBorder="1" applyAlignment="1">
      <alignment horizontal="center" vertical="center"/>
    </xf>
    <xf numFmtId="166" fontId="3" fillId="2" borderId="72" xfId="638" applyNumberFormat="1" applyFont="1" applyFill="1" applyBorder="1" applyAlignment="1">
      <alignment horizontal="center" vertical="center"/>
    </xf>
    <xf numFmtId="0" fontId="3" fillId="2" borderId="72" xfId="638" applyFont="1" applyFill="1" applyBorder="1" applyAlignment="1">
      <alignment horizontal="center" vertical="center"/>
    </xf>
    <xf numFmtId="0" fontId="3" fillId="0" borderId="72" xfId="638" applyFont="1" applyBorder="1" applyAlignment="1">
      <alignment horizontal="center" vertical="center"/>
    </xf>
    <xf numFmtId="0" fontId="3" fillId="0" borderId="72" xfId="0" applyFont="1" applyBorder="1" applyAlignment="1">
      <alignment wrapText="1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165" fontId="3" fillId="2" borderId="74" xfId="638" applyNumberFormat="1" applyFont="1" applyFill="1" applyBorder="1" applyAlignment="1">
      <alignment horizontal="center" vertical="center"/>
    </xf>
    <xf numFmtId="166" fontId="3" fillId="2" borderId="74" xfId="638" applyNumberFormat="1" applyFont="1" applyFill="1" applyBorder="1" applyAlignment="1">
      <alignment horizontal="center" vertical="center"/>
    </xf>
    <xf numFmtId="0" fontId="3" fillId="2" borderId="74" xfId="638" applyFont="1" applyFill="1" applyBorder="1" applyAlignment="1">
      <alignment horizontal="center" vertical="center"/>
    </xf>
    <xf numFmtId="0" fontId="3" fillId="0" borderId="74" xfId="638" applyFont="1" applyBorder="1" applyAlignment="1">
      <alignment horizontal="center" vertical="center"/>
    </xf>
    <xf numFmtId="0" fontId="0" fillId="0" borderId="74" xfId="638" applyFont="1" applyBorder="1" applyAlignment="1">
      <alignment horizontal="center" vertical="center" wrapText="1"/>
    </xf>
    <xf numFmtId="165" fontId="3" fillId="2" borderId="69" xfId="638" applyNumberFormat="1" applyFont="1" applyFill="1" applyBorder="1" applyAlignment="1">
      <alignment horizontal="center" vertical="center"/>
    </xf>
    <xf numFmtId="166" fontId="3" fillId="2" borderId="69" xfId="638" applyNumberFormat="1" applyFont="1" applyFill="1" applyBorder="1" applyAlignment="1">
      <alignment horizontal="center" vertical="center"/>
    </xf>
    <xf numFmtId="0" fontId="3" fillId="2" borderId="69" xfId="638" applyFont="1" applyFill="1" applyBorder="1" applyAlignment="1">
      <alignment horizontal="center" vertical="center"/>
    </xf>
    <xf numFmtId="0" fontId="0" fillId="0" borderId="69" xfId="638" applyFont="1" applyBorder="1" applyAlignment="1">
      <alignment horizontal="center" vertical="center" wrapText="1"/>
    </xf>
    <xf numFmtId="164" fontId="3" fillId="2" borderId="76" xfId="638" applyNumberFormat="1" applyFont="1" applyFill="1" applyBorder="1" applyAlignment="1">
      <alignment horizontal="center" vertical="center"/>
    </xf>
    <xf numFmtId="164" fontId="3" fillId="2" borderId="77" xfId="638" applyNumberFormat="1" applyFont="1" applyFill="1" applyBorder="1" applyAlignment="1">
      <alignment horizontal="center" vertical="center"/>
    </xf>
    <xf numFmtId="164" fontId="3" fillId="2" borderId="78" xfId="638" applyNumberFormat="1" applyFont="1" applyFill="1" applyBorder="1" applyAlignment="1">
      <alignment horizontal="center" vertical="center"/>
    </xf>
    <xf numFmtId="165" fontId="3" fillId="2" borderId="79" xfId="638" applyNumberFormat="1" applyFont="1" applyFill="1" applyBorder="1" applyAlignment="1">
      <alignment horizontal="center" vertical="center"/>
    </xf>
    <xf numFmtId="166" fontId="3" fillId="2" borderId="79" xfId="638" applyNumberFormat="1" applyFont="1" applyFill="1" applyBorder="1" applyAlignment="1">
      <alignment horizontal="center" vertical="center"/>
    </xf>
    <xf numFmtId="0" fontId="3" fillId="2" borderId="79" xfId="638" applyFont="1" applyFill="1" applyBorder="1" applyAlignment="1">
      <alignment horizontal="center" vertical="center"/>
    </xf>
    <xf numFmtId="0" fontId="3" fillId="0" borderId="79" xfId="638" applyFont="1" applyBorder="1" applyAlignment="1">
      <alignment horizontal="center" vertical="center"/>
    </xf>
    <xf numFmtId="0" fontId="0" fillId="0" borderId="79" xfId="638" applyFont="1" applyBorder="1" applyAlignment="1">
      <alignment horizontal="center" vertical="center" wrapText="1"/>
    </xf>
    <xf numFmtId="0" fontId="3" fillId="0" borderId="69" xfId="638" applyFont="1" applyBorder="1" applyAlignment="1">
      <alignment horizontal="center" vertical="center"/>
    </xf>
    <xf numFmtId="0" fontId="3" fillId="0" borderId="70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70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0" xfId="0" quotePrefix="1" applyFont="1" applyFill="1"/>
    <xf numFmtId="0" fontId="3" fillId="0" borderId="0" xfId="0" applyFont="1" applyFill="1" applyAlignment="1">
      <alignment horizontal="left"/>
    </xf>
    <xf numFmtId="0" fontId="3" fillId="0" borderId="0" xfId="0" applyFont="1" applyFill="1"/>
    <xf numFmtId="0" fontId="3" fillId="0" borderId="55" xfId="638" applyFont="1" applyBorder="1" applyAlignment="1">
      <alignment horizontal="center" vertical="center"/>
    </xf>
    <xf numFmtId="0" fontId="3" fillId="0" borderId="2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81" xfId="638" applyNumberFormat="1" applyFont="1" applyFill="1" applyBorder="1" applyAlignment="1">
      <alignment horizontal="center" vertical="center"/>
    </xf>
    <xf numFmtId="165" fontId="3" fillId="2" borderId="82" xfId="638" applyNumberFormat="1" applyFont="1" applyFill="1" applyBorder="1" applyAlignment="1">
      <alignment horizontal="center" vertical="center"/>
    </xf>
    <xf numFmtId="166" fontId="3" fillId="2" borderId="82" xfId="638" applyNumberFormat="1" applyFont="1" applyFill="1" applyBorder="1" applyAlignment="1">
      <alignment horizontal="center" vertical="center"/>
    </xf>
    <xf numFmtId="0" fontId="3" fillId="2" borderId="82" xfId="638" applyFont="1" applyFill="1" applyBorder="1" applyAlignment="1">
      <alignment horizontal="center" vertical="center"/>
    </xf>
    <xf numFmtId="0" fontId="3" fillId="0" borderId="82" xfId="638" applyFont="1" applyBorder="1" applyAlignment="1">
      <alignment horizontal="center" vertical="center"/>
    </xf>
    <xf numFmtId="0" fontId="0" fillId="0" borderId="82" xfId="638" applyFont="1" applyBorder="1" applyAlignment="1">
      <alignment horizontal="center" vertical="center" wrapText="1"/>
    </xf>
    <xf numFmtId="0" fontId="3" fillId="0" borderId="8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86" xfId="638" applyNumberFormat="1" applyFont="1" applyFill="1" applyBorder="1" applyAlignment="1">
      <alignment horizontal="center" vertical="center"/>
    </xf>
    <xf numFmtId="165" fontId="3" fillId="2" borderId="87" xfId="638" applyNumberFormat="1" applyFont="1" applyFill="1" applyBorder="1" applyAlignment="1">
      <alignment horizontal="center" vertical="center"/>
    </xf>
    <xf numFmtId="166" fontId="3" fillId="2" borderId="87" xfId="638" applyNumberFormat="1" applyFont="1" applyFill="1" applyBorder="1" applyAlignment="1">
      <alignment horizontal="center" vertical="center"/>
    </xf>
    <xf numFmtId="0" fontId="3" fillId="2" borderId="87" xfId="638" applyFont="1" applyFill="1" applyBorder="1" applyAlignment="1">
      <alignment horizontal="center" vertical="center"/>
    </xf>
    <xf numFmtId="0" fontId="3" fillId="0" borderId="87" xfId="638" applyFont="1" applyBorder="1" applyAlignment="1">
      <alignment horizontal="center" vertical="center"/>
    </xf>
    <xf numFmtId="0" fontId="0" fillId="0" borderId="87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88" xfId="638" applyNumberFormat="1" applyFont="1" applyFill="1" applyBorder="1" applyAlignment="1">
      <alignment horizontal="center" vertical="center"/>
    </xf>
    <xf numFmtId="165" fontId="3" fillId="2" borderId="89" xfId="638" applyNumberFormat="1" applyFont="1" applyFill="1" applyBorder="1" applyAlignment="1">
      <alignment horizontal="center" vertical="center"/>
    </xf>
    <xf numFmtId="166" fontId="3" fillId="2" borderId="89" xfId="638" applyNumberFormat="1" applyFont="1" applyFill="1" applyBorder="1" applyAlignment="1">
      <alignment horizontal="center" vertical="center"/>
    </xf>
    <xf numFmtId="0" fontId="3" fillId="2" borderId="89" xfId="638" applyFont="1" applyFill="1" applyBorder="1" applyAlignment="1">
      <alignment horizontal="center" vertical="center"/>
    </xf>
    <xf numFmtId="0" fontId="3" fillId="0" borderId="89" xfId="638" applyFont="1" applyBorder="1" applyAlignment="1">
      <alignment horizontal="center" vertical="center"/>
    </xf>
    <xf numFmtId="0" fontId="0" fillId="0" borderId="89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164" fontId="3" fillId="2" borderId="100" xfId="638" applyNumberFormat="1" applyFont="1" applyFill="1" applyBorder="1" applyAlignment="1">
      <alignment horizontal="center" vertical="center"/>
    </xf>
    <xf numFmtId="165" fontId="3" fillId="2" borderId="97" xfId="638" applyNumberFormat="1" applyFont="1" applyFill="1" applyBorder="1" applyAlignment="1">
      <alignment horizontal="center" vertical="center"/>
    </xf>
    <xf numFmtId="166" fontId="3" fillId="2" borderId="97" xfId="638" applyNumberFormat="1" applyFont="1" applyFill="1" applyBorder="1" applyAlignment="1">
      <alignment horizontal="center" vertical="center"/>
    </xf>
    <xf numFmtId="0" fontId="3" fillId="2" borderId="97" xfId="638" applyFont="1" applyFill="1" applyBorder="1" applyAlignment="1">
      <alignment horizontal="center" vertical="center"/>
    </xf>
    <xf numFmtId="0" fontId="3" fillId="0" borderId="97" xfId="638" applyFont="1" applyBorder="1" applyAlignment="1">
      <alignment horizontal="center" vertical="center"/>
    </xf>
    <xf numFmtId="0" fontId="0" fillId="0" borderId="97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105" xfId="638" applyNumberFormat="1" applyFont="1" applyFill="1" applyBorder="1" applyAlignment="1">
      <alignment horizontal="center" vertical="center"/>
    </xf>
    <xf numFmtId="165" fontId="3" fillId="2" borderId="106" xfId="638" applyNumberFormat="1" applyFont="1" applyFill="1" applyBorder="1" applyAlignment="1">
      <alignment horizontal="center" vertical="center"/>
    </xf>
    <xf numFmtId="166" fontId="3" fillId="2" borderId="106" xfId="638" applyNumberFormat="1" applyFont="1" applyFill="1" applyBorder="1" applyAlignment="1">
      <alignment horizontal="center" vertical="center"/>
    </xf>
    <xf numFmtId="0" fontId="3" fillId="2" borderId="106" xfId="638" applyFont="1" applyFill="1" applyBorder="1" applyAlignment="1">
      <alignment horizontal="center" vertical="center"/>
    </xf>
    <xf numFmtId="0" fontId="3" fillId="0" borderId="106" xfId="638" applyFont="1" applyBorder="1" applyAlignment="1">
      <alignment horizontal="center" vertical="center"/>
    </xf>
    <xf numFmtId="0" fontId="0" fillId="0" borderId="106" xfId="638" applyFont="1" applyBorder="1" applyAlignment="1">
      <alignment horizontal="center" vertical="center" wrapText="1"/>
    </xf>
    <xf numFmtId="0" fontId="3" fillId="0" borderId="10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70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164" fontId="3" fillId="2" borderId="109" xfId="638" applyNumberFormat="1" applyFont="1" applyFill="1" applyBorder="1" applyAlignment="1">
      <alignment horizontal="center" vertical="center"/>
    </xf>
    <xf numFmtId="165" fontId="3" fillId="2" borderId="108" xfId="638" applyNumberFormat="1" applyFont="1" applyFill="1" applyBorder="1" applyAlignment="1">
      <alignment horizontal="center" vertical="center"/>
    </xf>
    <xf numFmtId="166" fontId="3" fillId="2" borderId="108" xfId="638" applyNumberFormat="1" applyFont="1" applyFill="1" applyBorder="1" applyAlignment="1">
      <alignment horizontal="center" vertical="center"/>
    </xf>
    <xf numFmtId="0" fontId="3" fillId="2" borderId="108" xfId="638" applyFont="1" applyFill="1" applyBorder="1" applyAlignment="1">
      <alignment horizontal="center" vertical="center"/>
    </xf>
    <xf numFmtId="0" fontId="3" fillId="0" borderId="108" xfId="638" applyFont="1" applyBorder="1" applyAlignment="1">
      <alignment horizontal="center" vertical="center"/>
    </xf>
    <xf numFmtId="0" fontId="0" fillId="0" borderId="108" xfId="638" applyFont="1" applyBorder="1" applyAlignment="1">
      <alignment horizontal="center" vertical="center" wrapText="1"/>
    </xf>
    <xf numFmtId="0" fontId="3" fillId="0" borderId="55" xfId="638" applyFont="1" applyBorder="1" applyAlignment="1">
      <alignment horizontal="center" vertical="center"/>
    </xf>
    <xf numFmtId="0" fontId="3" fillId="0" borderId="101" xfId="638" applyFont="1" applyBorder="1" applyAlignment="1">
      <alignment horizontal="center" vertical="center"/>
    </xf>
    <xf numFmtId="164" fontId="3" fillId="2" borderId="111" xfId="638" applyNumberFormat="1" applyFont="1" applyFill="1" applyBorder="1" applyAlignment="1">
      <alignment horizontal="center" vertical="center"/>
    </xf>
    <xf numFmtId="165" fontId="3" fillId="2" borderId="112" xfId="638" applyNumberFormat="1" applyFont="1" applyFill="1" applyBorder="1" applyAlignment="1">
      <alignment horizontal="center" vertical="center"/>
    </xf>
    <xf numFmtId="166" fontId="3" fillId="2" borderId="112" xfId="638" applyNumberFormat="1" applyFont="1" applyFill="1" applyBorder="1" applyAlignment="1">
      <alignment horizontal="center" vertical="center"/>
    </xf>
    <xf numFmtId="0" fontId="3" fillId="2" borderId="112" xfId="638" applyFont="1" applyFill="1" applyBorder="1" applyAlignment="1">
      <alignment horizontal="center" vertical="center"/>
    </xf>
    <xf numFmtId="0" fontId="3" fillId="0" borderId="112" xfId="638" applyFont="1" applyBorder="1" applyAlignment="1">
      <alignment horizontal="center" vertical="center"/>
    </xf>
    <xf numFmtId="0" fontId="0" fillId="0" borderId="112" xfId="638" applyFont="1" applyBorder="1" applyAlignment="1">
      <alignment horizontal="center" vertical="center" wrapText="1"/>
    </xf>
    <xf numFmtId="0" fontId="3" fillId="0" borderId="113" xfId="638" applyFont="1" applyBorder="1" applyAlignment="1">
      <alignment horizontal="center" vertical="center"/>
    </xf>
    <xf numFmtId="165" fontId="0" fillId="3" borderId="53" xfId="640" applyNumberFormat="1" applyFont="1" applyFill="1" applyBorder="1" applyAlignment="1">
      <alignment horizontal="center" vertical="center"/>
    </xf>
    <xf numFmtId="166" fontId="0" fillId="3" borderId="53" xfId="640" applyNumberFormat="1" applyFont="1" applyFill="1" applyBorder="1" applyAlignment="1">
      <alignment horizontal="center" vertical="center"/>
    </xf>
    <xf numFmtId="0" fontId="0" fillId="3" borderId="53" xfId="640" applyFont="1" applyFill="1" applyBorder="1" applyAlignment="1">
      <alignment horizontal="center" vertical="center"/>
    </xf>
    <xf numFmtId="164" fontId="0" fillId="3" borderId="19" xfId="640" applyNumberFormat="1" applyFont="1" applyFill="1" applyBorder="1" applyAlignment="1">
      <alignment horizontal="center" vertical="center"/>
    </xf>
    <xf numFmtId="165" fontId="0" fillId="3" borderId="57" xfId="640" applyNumberFormat="1" applyFont="1" applyFill="1" applyBorder="1" applyAlignment="1">
      <alignment horizontal="center" vertical="center"/>
    </xf>
    <xf numFmtId="166" fontId="0" fillId="3" borderId="57" xfId="640" applyNumberFormat="1" applyFont="1" applyFill="1" applyBorder="1" applyAlignment="1">
      <alignment horizontal="center" vertical="center"/>
    </xf>
    <xf numFmtId="0" fontId="0" fillId="3" borderId="57" xfId="640" applyFont="1" applyFill="1" applyBorder="1" applyAlignment="1">
      <alignment horizontal="center" vertical="center"/>
    </xf>
    <xf numFmtId="164" fontId="0" fillId="3" borderId="52" xfId="640" applyNumberFormat="1" applyFont="1" applyFill="1" applyBorder="1" applyAlignment="1">
      <alignment horizontal="center" vertical="center"/>
    </xf>
    <xf numFmtId="164" fontId="0" fillId="3" borderId="39" xfId="640" applyNumberFormat="1" applyFont="1" applyFill="1" applyBorder="1" applyAlignment="1">
      <alignment horizontal="center" vertical="center"/>
    </xf>
    <xf numFmtId="165" fontId="0" fillId="3" borderId="55" xfId="640" applyNumberFormat="1" applyFont="1" applyFill="1" applyBorder="1" applyAlignment="1">
      <alignment horizontal="center" vertical="center"/>
    </xf>
    <xf numFmtId="166" fontId="0" fillId="3" borderId="55" xfId="640" applyNumberFormat="1" applyFont="1" applyFill="1" applyBorder="1" applyAlignment="1">
      <alignment horizontal="center" vertical="center"/>
    </xf>
    <xf numFmtId="0" fontId="0" fillId="3" borderId="55" xfId="640" applyFont="1" applyFill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01" xfId="638" applyFont="1" applyBorder="1" applyAlignment="1">
      <alignment horizontal="center" vertical="center"/>
    </xf>
    <xf numFmtId="0" fontId="3" fillId="0" borderId="102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1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114" xfId="638" applyNumberFormat="1" applyFont="1" applyFill="1" applyBorder="1" applyAlignment="1">
      <alignment horizontal="center" vertical="center"/>
    </xf>
    <xf numFmtId="165" fontId="3" fillId="2" borderId="61" xfId="638" applyNumberFormat="1" applyFont="1" applyFill="1" applyBorder="1" applyAlignment="1">
      <alignment horizontal="center" vertical="center"/>
    </xf>
    <xf numFmtId="166" fontId="3" fillId="2" borderId="61" xfId="638" applyNumberFormat="1" applyFont="1" applyFill="1" applyBorder="1" applyAlignment="1">
      <alignment horizontal="center" vertical="center"/>
    </xf>
    <xf numFmtId="0" fontId="3" fillId="2" borderId="61" xfId="638" applyFont="1" applyFill="1" applyBorder="1" applyAlignment="1">
      <alignment horizontal="center" vertical="center"/>
    </xf>
    <xf numFmtId="0" fontId="0" fillId="0" borderId="61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117" xfId="638" applyNumberFormat="1" applyFont="1" applyFill="1" applyBorder="1" applyAlignment="1">
      <alignment horizontal="center" vertical="center"/>
    </xf>
    <xf numFmtId="165" fontId="3" fillId="2" borderId="115" xfId="638" applyNumberFormat="1" applyFont="1" applyFill="1" applyBorder="1" applyAlignment="1">
      <alignment horizontal="center" vertical="center"/>
    </xf>
    <xf numFmtId="166" fontId="3" fillId="2" borderId="115" xfId="638" applyNumberFormat="1" applyFont="1" applyFill="1" applyBorder="1" applyAlignment="1">
      <alignment horizontal="center" vertical="center"/>
    </xf>
    <xf numFmtId="0" fontId="3" fillId="2" borderId="115" xfId="638" applyFont="1" applyFill="1" applyBorder="1" applyAlignment="1">
      <alignment horizontal="center" vertical="center"/>
    </xf>
    <xf numFmtId="0" fontId="3" fillId="0" borderId="115" xfId="638" applyFont="1" applyBorder="1" applyAlignment="1">
      <alignment horizontal="center" vertical="center"/>
    </xf>
    <xf numFmtId="0" fontId="0" fillId="0" borderId="115" xfId="638" applyFont="1" applyBorder="1" applyAlignment="1">
      <alignment horizontal="center" vertical="center" wrapText="1"/>
    </xf>
    <xf numFmtId="0" fontId="3" fillId="0" borderId="116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125" xfId="638" applyNumberFormat="1" applyFont="1" applyFill="1" applyBorder="1" applyAlignment="1">
      <alignment horizontal="center" vertical="center"/>
    </xf>
    <xf numFmtId="165" fontId="3" fillId="2" borderId="122" xfId="638" applyNumberFormat="1" applyFont="1" applyFill="1" applyBorder="1" applyAlignment="1">
      <alignment horizontal="center" vertical="center"/>
    </xf>
    <xf numFmtId="166" fontId="3" fillId="2" borderId="122" xfId="638" applyNumberFormat="1" applyFont="1" applyFill="1" applyBorder="1" applyAlignment="1">
      <alignment horizontal="center" vertical="center"/>
    </xf>
    <xf numFmtId="0" fontId="3" fillId="2" borderId="122" xfId="638" applyFont="1" applyFill="1" applyBorder="1" applyAlignment="1">
      <alignment horizontal="center" vertical="center"/>
    </xf>
    <xf numFmtId="0" fontId="3" fillId="0" borderId="122" xfId="638" applyFont="1" applyBorder="1" applyAlignment="1">
      <alignment horizontal="center" vertical="center"/>
    </xf>
    <xf numFmtId="0" fontId="0" fillId="0" borderId="122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164" fontId="3" fillId="2" borderId="126" xfId="638" applyNumberFormat="1" applyFont="1" applyFill="1" applyBorder="1" applyAlignment="1">
      <alignment horizontal="center" vertical="center"/>
    </xf>
    <xf numFmtId="165" fontId="3" fillId="2" borderId="127" xfId="638" applyNumberFormat="1" applyFont="1" applyFill="1" applyBorder="1" applyAlignment="1">
      <alignment horizontal="center" vertical="center"/>
    </xf>
    <xf numFmtId="166" fontId="3" fillId="2" borderId="127" xfId="638" applyNumberFormat="1" applyFont="1" applyFill="1" applyBorder="1" applyAlignment="1">
      <alignment horizontal="center" vertical="center"/>
    </xf>
    <xf numFmtId="0" fontId="3" fillId="2" borderId="127" xfId="638" applyFont="1" applyFill="1" applyBorder="1" applyAlignment="1">
      <alignment horizontal="center" vertical="center"/>
    </xf>
    <xf numFmtId="0" fontId="3" fillId="0" borderId="127" xfId="638" applyFont="1" applyBorder="1" applyAlignment="1">
      <alignment horizontal="center" vertical="center"/>
    </xf>
    <xf numFmtId="0" fontId="0" fillId="0" borderId="127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130" xfId="638" applyFont="1" applyBorder="1" applyAlignment="1">
      <alignment horizontal="center" vertical="center"/>
    </xf>
    <xf numFmtId="164" fontId="3" fillId="2" borderId="131" xfId="638" applyNumberFormat="1" applyFont="1" applyFill="1" applyBorder="1" applyAlignment="1">
      <alignment horizontal="center" vertical="center"/>
    </xf>
    <xf numFmtId="165" fontId="3" fillId="2" borderId="130" xfId="638" applyNumberFormat="1" applyFont="1" applyFill="1" applyBorder="1" applyAlignment="1">
      <alignment horizontal="center" vertical="center"/>
    </xf>
    <xf numFmtId="166" fontId="3" fillId="2" borderId="130" xfId="638" applyNumberFormat="1" applyFont="1" applyFill="1" applyBorder="1" applyAlignment="1">
      <alignment horizontal="center" vertical="center"/>
    </xf>
    <xf numFmtId="0" fontId="3" fillId="2" borderId="130" xfId="638" applyFont="1" applyFill="1" applyBorder="1" applyAlignment="1">
      <alignment horizontal="center" vertical="center"/>
    </xf>
    <xf numFmtId="0" fontId="0" fillId="0" borderId="130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134" xfId="638" applyNumberFormat="1" applyFont="1" applyFill="1" applyBorder="1" applyAlignment="1">
      <alignment horizontal="center" vertical="center"/>
    </xf>
    <xf numFmtId="165" fontId="3" fillId="2" borderId="135" xfId="638" applyNumberFormat="1" applyFont="1" applyFill="1" applyBorder="1" applyAlignment="1">
      <alignment horizontal="center" vertical="center"/>
    </xf>
    <xf numFmtId="166" fontId="3" fillId="2" borderId="135" xfId="638" applyNumberFormat="1" applyFont="1" applyFill="1" applyBorder="1" applyAlignment="1">
      <alignment horizontal="center" vertical="center"/>
    </xf>
    <xf numFmtId="0" fontId="3" fillId="2" borderId="135" xfId="638" applyFont="1" applyFill="1" applyBorder="1" applyAlignment="1">
      <alignment horizontal="center" vertical="center"/>
    </xf>
    <xf numFmtId="0" fontId="3" fillId="0" borderId="135" xfId="638" applyFont="1" applyBorder="1" applyAlignment="1">
      <alignment horizontal="center" vertical="center"/>
    </xf>
    <xf numFmtId="0" fontId="0" fillId="0" borderId="135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137" xfId="638" applyNumberFormat="1" applyFont="1" applyFill="1" applyBorder="1" applyAlignment="1">
      <alignment horizontal="center" vertical="center"/>
    </xf>
    <xf numFmtId="165" fontId="3" fillId="2" borderId="138" xfId="638" applyNumberFormat="1" applyFont="1" applyFill="1" applyBorder="1" applyAlignment="1">
      <alignment horizontal="center" vertical="center"/>
    </xf>
    <xf numFmtId="166" fontId="3" fillId="2" borderId="138" xfId="638" applyNumberFormat="1" applyFont="1" applyFill="1" applyBorder="1" applyAlignment="1">
      <alignment horizontal="center" vertical="center"/>
    </xf>
    <xf numFmtId="0" fontId="3" fillId="2" borderId="138" xfId="638" applyFont="1" applyFill="1" applyBorder="1" applyAlignment="1">
      <alignment horizontal="center" vertical="center"/>
    </xf>
    <xf numFmtId="0" fontId="3" fillId="0" borderId="138" xfId="638" applyFont="1" applyBorder="1" applyAlignment="1">
      <alignment horizontal="center" vertical="center"/>
    </xf>
    <xf numFmtId="0" fontId="0" fillId="0" borderId="138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164" fontId="3" fillId="2" borderId="146" xfId="638" applyNumberFormat="1" applyFont="1" applyFill="1" applyBorder="1" applyAlignment="1">
      <alignment horizontal="center" vertical="center"/>
    </xf>
    <xf numFmtId="165" fontId="3" fillId="2" borderId="143" xfId="638" applyNumberFormat="1" applyFont="1" applyFill="1" applyBorder="1" applyAlignment="1">
      <alignment horizontal="center" vertical="center"/>
    </xf>
    <xf numFmtId="166" fontId="3" fillId="2" borderId="143" xfId="638" applyNumberFormat="1" applyFont="1" applyFill="1" applyBorder="1" applyAlignment="1">
      <alignment horizontal="center" vertical="center"/>
    </xf>
    <xf numFmtId="0" fontId="3" fillId="2" borderId="143" xfId="638" applyFont="1" applyFill="1" applyBorder="1" applyAlignment="1">
      <alignment horizontal="center" vertical="center"/>
    </xf>
    <xf numFmtId="0" fontId="3" fillId="0" borderId="143" xfId="638" applyFont="1" applyBorder="1" applyAlignment="1">
      <alignment horizontal="center" vertical="center"/>
    </xf>
    <xf numFmtId="0" fontId="0" fillId="0" borderId="143" xfId="638" applyFont="1" applyBorder="1" applyAlignment="1">
      <alignment horizontal="center" vertical="center" wrapText="1"/>
    </xf>
    <xf numFmtId="164" fontId="3" fillId="2" borderId="147" xfId="638" applyNumberFormat="1" applyFont="1" applyFill="1" applyBorder="1" applyAlignment="1">
      <alignment horizontal="center" vertical="center"/>
    </xf>
    <xf numFmtId="165" fontId="3" fillId="2" borderId="148" xfId="638" applyNumberFormat="1" applyFont="1" applyFill="1" applyBorder="1" applyAlignment="1">
      <alignment horizontal="center" vertical="center"/>
    </xf>
    <xf numFmtId="166" fontId="3" fillId="2" borderId="148" xfId="638" applyNumberFormat="1" applyFont="1" applyFill="1" applyBorder="1" applyAlignment="1">
      <alignment horizontal="center" vertical="center"/>
    </xf>
    <xf numFmtId="0" fontId="3" fillId="2" borderId="148" xfId="638" applyFont="1" applyFill="1" applyBorder="1" applyAlignment="1">
      <alignment horizontal="center" vertical="center"/>
    </xf>
    <xf numFmtId="0" fontId="3" fillId="0" borderId="148" xfId="638" applyFont="1" applyBorder="1" applyAlignment="1">
      <alignment horizontal="center" vertical="center"/>
    </xf>
    <xf numFmtId="0" fontId="0" fillId="0" borderId="148" xfId="638" applyFont="1" applyBorder="1" applyAlignment="1">
      <alignment horizontal="center" vertical="center" wrapText="1"/>
    </xf>
    <xf numFmtId="165" fontId="3" fillId="2" borderId="149" xfId="638" applyNumberFormat="1" applyFont="1" applyFill="1" applyBorder="1" applyAlignment="1">
      <alignment horizontal="center" vertical="center"/>
    </xf>
    <xf numFmtId="166" fontId="3" fillId="2" borderId="149" xfId="638" applyNumberFormat="1" applyFont="1" applyFill="1" applyBorder="1" applyAlignment="1">
      <alignment horizontal="center" vertical="center"/>
    </xf>
    <xf numFmtId="0" fontId="3" fillId="2" borderId="149" xfId="638" applyFont="1" applyFill="1" applyBorder="1" applyAlignment="1">
      <alignment horizontal="center" vertical="center"/>
    </xf>
    <xf numFmtId="0" fontId="3" fillId="0" borderId="149" xfId="638" applyFont="1" applyBorder="1" applyAlignment="1">
      <alignment horizontal="center" vertical="center"/>
    </xf>
    <xf numFmtId="0" fontId="0" fillId="0" borderId="149" xfId="638" applyFont="1" applyBorder="1" applyAlignment="1">
      <alignment horizontal="center" vertical="center" wrapText="1"/>
    </xf>
    <xf numFmtId="0" fontId="3" fillId="0" borderId="150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15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18" xfId="638" quotePrefix="1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153" xfId="638" applyNumberFormat="1" applyFont="1" applyFill="1" applyBorder="1" applyAlignment="1">
      <alignment horizontal="center" vertical="center"/>
    </xf>
    <xf numFmtId="165" fontId="3" fillId="2" borderId="154" xfId="638" applyNumberFormat="1" applyFont="1" applyFill="1" applyBorder="1" applyAlignment="1">
      <alignment horizontal="center" vertical="center"/>
    </xf>
    <xf numFmtId="166" fontId="3" fillId="2" borderId="154" xfId="638" applyNumberFormat="1" applyFont="1" applyFill="1" applyBorder="1" applyAlignment="1">
      <alignment horizontal="center" vertical="center"/>
    </xf>
    <xf numFmtId="0" fontId="3" fillId="2" borderId="154" xfId="638" applyFont="1" applyFill="1" applyBorder="1" applyAlignment="1">
      <alignment horizontal="center" vertical="center"/>
    </xf>
    <xf numFmtId="0" fontId="3" fillId="0" borderId="154" xfId="638" applyFont="1" applyBorder="1" applyAlignment="1">
      <alignment horizontal="center" vertical="center"/>
    </xf>
    <xf numFmtId="0" fontId="0" fillId="0" borderId="154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155" xfId="638" applyFont="1" applyBorder="1" applyAlignment="1">
      <alignment horizontal="center" vertical="center"/>
    </xf>
    <xf numFmtId="164" fontId="3" fillId="2" borderId="158" xfId="638" applyNumberFormat="1" applyFont="1" applyFill="1" applyBorder="1" applyAlignment="1">
      <alignment horizontal="center" vertical="center"/>
    </xf>
    <xf numFmtId="165" fontId="3" fillId="2" borderId="155" xfId="638" applyNumberFormat="1" applyFont="1" applyFill="1" applyBorder="1" applyAlignment="1">
      <alignment horizontal="center" vertical="center"/>
    </xf>
    <xf numFmtId="166" fontId="3" fillId="2" borderId="155" xfId="638" applyNumberFormat="1" applyFont="1" applyFill="1" applyBorder="1" applyAlignment="1">
      <alignment horizontal="center" vertical="center"/>
    </xf>
    <xf numFmtId="0" fontId="3" fillId="2" borderId="155" xfId="638" applyFont="1" applyFill="1" applyBorder="1" applyAlignment="1">
      <alignment horizontal="center" vertical="center"/>
    </xf>
    <xf numFmtId="0" fontId="0" fillId="0" borderId="155" xfId="638" applyFont="1" applyBorder="1" applyAlignment="1">
      <alignment horizontal="center" vertical="center" wrapText="1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159" xfId="638" applyNumberFormat="1" applyFont="1" applyFill="1" applyBorder="1" applyAlignment="1">
      <alignment horizontal="center" vertical="center"/>
    </xf>
    <xf numFmtId="165" fontId="3" fillId="2" borderId="160" xfId="638" applyNumberFormat="1" applyFont="1" applyFill="1" applyBorder="1" applyAlignment="1">
      <alignment horizontal="center" vertical="center"/>
    </xf>
    <xf numFmtId="166" fontId="3" fillId="2" borderId="160" xfId="638" applyNumberFormat="1" applyFont="1" applyFill="1" applyBorder="1" applyAlignment="1">
      <alignment horizontal="center" vertical="center"/>
    </xf>
    <xf numFmtId="0" fontId="3" fillId="2" borderId="160" xfId="638" applyFont="1" applyFill="1" applyBorder="1" applyAlignment="1">
      <alignment horizontal="center" vertical="center"/>
    </xf>
    <xf numFmtId="0" fontId="3" fillId="0" borderId="160" xfId="638" applyFont="1" applyBorder="1" applyAlignment="1">
      <alignment horizontal="center" vertical="center"/>
    </xf>
    <xf numFmtId="0" fontId="0" fillId="0" borderId="160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61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163" xfId="638" applyFont="1" applyBorder="1" applyAlignment="1">
      <alignment horizontal="center" vertical="center"/>
    </xf>
    <xf numFmtId="164" fontId="3" fillId="2" borderId="164" xfId="638" applyNumberFormat="1" applyFont="1" applyFill="1" applyBorder="1" applyAlignment="1">
      <alignment horizontal="center" vertical="center"/>
    </xf>
    <xf numFmtId="165" fontId="3" fillId="2" borderId="165" xfId="638" applyNumberFormat="1" applyFont="1" applyFill="1" applyBorder="1" applyAlignment="1">
      <alignment horizontal="center" vertical="center"/>
    </xf>
    <xf numFmtId="166" fontId="3" fillId="2" borderId="165" xfId="638" applyNumberFormat="1" applyFont="1" applyFill="1" applyBorder="1" applyAlignment="1">
      <alignment horizontal="center" vertical="center"/>
    </xf>
    <xf numFmtId="0" fontId="3" fillId="2" borderId="165" xfId="638" applyFont="1" applyFill="1" applyBorder="1" applyAlignment="1">
      <alignment horizontal="center" vertical="center"/>
    </xf>
    <xf numFmtId="0" fontId="3" fillId="0" borderId="165" xfId="638" applyFont="1" applyBorder="1" applyAlignment="1">
      <alignment horizontal="center" vertical="center"/>
    </xf>
    <xf numFmtId="0" fontId="0" fillId="0" borderId="165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169" xfId="638" applyNumberFormat="1" applyFont="1" applyFill="1" applyBorder="1" applyAlignment="1">
      <alignment horizontal="center" vertical="center"/>
    </xf>
    <xf numFmtId="165" fontId="3" fillId="2" borderId="167" xfId="638" applyNumberFormat="1" applyFont="1" applyFill="1" applyBorder="1" applyAlignment="1">
      <alignment horizontal="center" vertical="center"/>
    </xf>
    <xf numFmtId="166" fontId="3" fillId="2" borderId="167" xfId="638" applyNumberFormat="1" applyFont="1" applyFill="1" applyBorder="1" applyAlignment="1">
      <alignment horizontal="center" vertical="center"/>
    </xf>
    <xf numFmtId="0" fontId="3" fillId="2" borderId="167" xfId="638" applyFont="1" applyFill="1" applyBorder="1" applyAlignment="1">
      <alignment horizontal="center" vertical="center"/>
    </xf>
    <xf numFmtId="0" fontId="3" fillId="0" borderId="167" xfId="638" applyFont="1" applyBorder="1" applyAlignment="1">
      <alignment horizontal="center" vertical="center"/>
    </xf>
    <xf numFmtId="0" fontId="0" fillId="0" borderId="167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19" fillId="0" borderId="38" xfId="0" quotePrefix="1" applyFont="1" applyFill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164" fontId="3" fillId="2" borderId="170" xfId="638" applyNumberFormat="1" applyFont="1" applyFill="1" applyBorder="1" applyAlignment="1">
      <alignment horizontal="center" vertical="center"/>
    </xf>
    <xf numFmtId="165" fontId="3" fillId="2" borderId="171" xfId="638" applyNumberFormat="1" applyFont="1" applyFill="1" applyBorder="1" applyAlignment="1">
      <alignment horizontal="center" vertical="center"/>
    </xf>
    <xf numFmtId="166" fontId="3" fillId="2" borderId="171" xfId="638" applyNumberFormat="1" applyFont="1" applyFill="1" applyBorder="1" applyAlignment="1">
      <alignment horizontal="center" vertical="center"/>
    </xf>
    <xf numFmtId="0" fontId="3" fillId="2" borderId="171" xfId="638" applyFont="1" applyFill="1" applyBorder="1" applyAlignment="1">
      <alignment horizontal="center" vertical="center"/>
    </xf>
    <xf numFmtId="0" fontId="3" fillId="0" borderId="171" xfId="638" applyFont="1" applyBorder="1" applyAlignment="1">
      <alignment horizontal="center" vertical="center"/>
    </xf>
    <xf numFmtId="0" fontId="0" fillId="0" borderId="171" xfId="638" applyFont="1" applyBorder="1" applyAlignment="1">
      <alignment horizontal="center" vertical="center" wrapText="1"/>
    </xf>
    <xf numFmtId="0" fontId="3" fillId="0" borderId="172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173" xfId="638" applyFont="1" applyBorder="1" applyAlignment="1">
      <alignment horizontal="center" vertical="center"/>
    </xf>
    <xf numFmtId="164" fontId="3" fillId="2" borderId="174" xfId="638" applyNumberFormat="1" applyFont="1" applyFill="1" applyBorder="1" applyAlignment="1">
      <alignment horizontal="center" vertical="center"/>
    </xf>
    <xf numFmtId="165" fontId="3" fillId="2" borderId="173" xfId="638" applyNumberFormat="1" applyFont="1" applyFill="1" applyBorder="1" applyAlignment="1">
      <alignment horizontal="center" vertical="center"/>
    </xf>
    <xf numFmtId="166" fontId="3" fillId="2" borderId="173" xfId="638" applyNumberFormat="1" applyFont="1" applyFill="1" applyBorder="1" applyAlignment="1">
      <alignment horizontal="center" vertical="center"/>
    </xf>
    <xf numFmtId="0" fontId="3" fillId="2" borderId="173" xfId="638" applyFont="1" applyFill="1" applyBorder="1" applyAlignment="1">
      <alignment horizontal="center" vertical="center"/>
    </xf>
    <xf numFmtId="0" fontId="0" fillId="0" borderId="173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0" fillId="0" borderId="179" xfId="638" applyFont="1" applyBorder="1" applyAlignment="1">
      <alignment horizontal="center" vertical="center" wrapText="1"/>
    </xf>
    <xf numFmtId="0" fontId="3" fillId="0" borderId="179" xfId="638" applyFont="1" applyBorder="1" applyAlignment="1">
      <alignment horizontal="center" vertical="center"/>
    </xf>
    <xf numFmtId="0" fontId="0" fillId="0" borderId="178" xfId="638" applyFont="1" applyBorder="1" applyAlignment="1">
      <alignment horizontal="center" vertical="center" wrapText="1"/>
    </xf>
    <xf numFmtId="0" fontId="3" fillId="0" borderId="178" xfId="638" applyFont="1" applyBorder="1" applyAlignment="1">
      <alignment horizontal="center" vertical="center"/>
    </xf>
    <xf numFmtId="164" fontId="3" fillId="2" borderId="181" xfId="638" applyNumberFormat="1" applyFont="1" applyFill="1" applyBorder="1" applyAlignment="1">
      <alignment horizontal="center" vertical="center"/>
    </xf>
    <xf numFmtId="165" fontId="3" fillId="2" borderId="178" xfId="638" applyNumberFormat="1" applyFont="1" applyFill="1" applyBorder="1" applyAlignment="1">
      <alignment horizontal="center" vertical="center"/>
    </xf>
    <xf numFmtId="166" fontId="3" fillId="2" borderId="178" xfId="638" applyNumberFormat="1" applyFont="1" applyFill="1" applyBorder="1" applyAlignment="1">
      <alignment horizontal="center" vertical="center"/>
    </xf>
    <xf numFmtId="0" fontId="3" fillId="2" borderId="178" xfId="638" applyFont="1" applyFill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184" xfId="638" applyNumberFormat="1" applyFont="1" applyFill="1" applyBorder="1" applyAlignment="1">
      <alignment horizontal="center" vertical="center"/>
    </xf>
    <xf numFmtId="165" fontId="3" fillId="2" borderId="185" xfId="638" applyNumberFormat="1" applyFont="1" applyFill="1" applyBorder="1" applyAlignment="1">
      <alignment horizontal="center" vertical="center"/>
    </xf>
    <xf numFmtId="166" fontId="3" fillId="2" borderId="185" xfId="638" applyNumberFormat="1" applyFont="1" applyFill="1" applyBorder="1" applyAlignment="1">
      <alignment horizontal="center" vertical="center"/>
    </xf>
    <xf numFmtId="0" fontId="3" fillId="2" borderId="185" xfId="638" applyFont="1" applyFill="1" applyBorder="1" applyAlignment="1">
      <alignment horizontal="center" vertical="center"/>
    </xf>
    <xf numFmtId="0" fontId="3" fillId="0" borderId="185" xfId="638" applyFont="1" applyBorder="1" applyAlignment="1">
      <alignment horizontal="center" vertical="center"/>
    </xf>
    <xf numFmtId="0" fontId="0" fillId="0" borderId="185" xfId="638" applyFont="1" applyBorder="1" applyAlignment="1">
      <alignment horizontal="center" vertical="center" wrapText="1"/>
    </xf>
    <xf numFmtId="0" fontId="0" fillId="0" borderId="186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1" xfId="638" applyFont="1" applyBorder="1" applyAlignment="1">
      <alignment horizontal="center" vertical="center"/>
    </xf>
    <xf numFmtId="0" fontId="3" fillId="0" borderId="64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6" xfId="638" applyFont="1" applyBorder="1" applyAlignment="1">
      <alignment horizontal="center" vertical="center"/>
    </xf>
    <xf numFmtId="164" fontId="3" fillId="2" borderId="188" xfId="638" applyNumberFormat="1" applyFont="1" applyFill="1" applyBorder="1" applyAlignment="1">
      <alignment horizontal="center" vertical="center"/>
    </xf>
    <xf numFmtId="165" fontId="3" fillId="2" borderId="187" xfId="638" applyNumberFormat="1" applyFont="1" applyFill="1" applyBorder="1" applyAlignment="1">
      <alignment horizontal="center" vertical="center"/>
    </xf>
    <xf numFmtId="166" fontId="3" fillId="2" borderId="187" xfId="638" applyNumberFormat="1" applyFont="1" applyFill="1" applyBorder="1" applyAlignment="1">
      <alignment horizontal="center" vertical="center"/>
    </xf>
    <xf numFmtId="0" fontId="3" fillId="2" borderId="187" xfId="638" applyFont="1" applyFill="1" applyBorder="1" applyAlignment="1">
      <alignment horizontal="center" vertical="center"/>
    </xf>
    <xf numFmtId="0" fontId="3" fillId="0" borderId="187" xfId="638" applyFont="1" applyBorder="1" applyAlignment="1">
      <alignment horizontal="center" vertical="center"/>
    </xf>
    <xf numFmtId="0" fontId="0" fillId="0" borderId="187" xfId="638" applyFont="1" applyBorder="1" applyAlignment="1">
      <alignment horizontal="center" vertical="center" wrapText="1"/>
    </xf>
    <xf numFmtId="0" fontId="3" fillId="0" borderId="189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165" fontId="3" fillId="2" borderId="186" xfId="638" applyNumberFormat="1" applyFont="1" applyFill="1" applyBorder="1" applyAlignment="1">
      <alignment horizontal="center" vertical="center"/>
    </xf>
    <xf numFmtId="166" fontId="3" fillId="2" borderId="186" xfId="638" applyNumberFormat="1" applyFont="1" applyFill="1" applyBorder="1" applyAlignment="1">
      <alignment horizontal="center" vertical="center"/>
    </xf>
    <xf numFmtId="0" fontId="3" fillId="2" borderId="186" xfId="638" applyFont="1" applyFill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 wrapText="1"/>
    </xf>
    <xf numFmtId="164" fontId="3" fillId="2" borderId="195" xfId="638" applyNumberFormat="1" applyFont="1" applyFill="1" applyBorder="1" applyAlignment="1">
      <alignment horizontal="center" vertical="center"/>
    </xf>
    <xf numFmtId="165" fontId="3" fillId="2" borderId="192" xfId="638" applyNumberFormat="1" applyFont="1" applyFill="1" applyBorder="1" applyAlignment="1">
      <alignment horizontal="center" vertical="center"/>
    </xf>
    <xf numFmtId="166" fontId="3" fillId="2" borderId="192" xfId="638" applyNumberFormat="1" applyFont="1" applyFill="1" applyBorder="1" applyAlignment="1">
      <alignment horizontal="center" vertical="center"/>
    </xf>
    <xf numFmtId="0" fontId="3" fillId="2" borderId="192" xfId="638" applyFont="1" applyFill="1" applyBorder="1" applyAlignment="1">
      <alignment horizontal="center" vertical="center"/>
    </xf>
    <xf numFmtId="0" fontId="3" fillId="0" borderId="192" xfId="638" applyFont="1" applyBorder="1" applyAlignment="1">
      <alignment horizontal="center" vertical="center"/>
    </xf>
    <xf numFmtId="0" fontId="0" fillId="0" borderId="192" xfId="638" applyFont="1" applyBorder="1" applyAlignment="1">
      <alignment horizontal="center" vertical="center" wrapText="1"/>
    </xf>
    <xf numFmtId="165" fontId="3" fillId="2" borderId="196" xfId="638" applyNumberFormat="1" applyFont="1" applyFill="1" applyBorder="1" applyAlignment="1">
      <alignment horizontal="center" vertical="center"/>
    </xf>
    <xf numFmtId="166" fontId="3" fillId="2" borderId="196" xfId="638" applyNumberFormat="1" applyFont="1" applyFill="1" applyBorder="1" applyAlignment="1">
      <alignment horizontal="center" vertical="center"/>
    </xf>
    <xf numFmtId="0" fontId="3" fillId="2" borderId="196" xfId="638" applyFont="1" applyFill="1" applyBorder="1" applyAlignment="1">
      <alignment horizontal="center" vertical="center"/>
    </xf>
    <xf numFmtId="0" fontId="3" fillId="0" borderId="196" xfId="638" applyFont="1" applyBorder="1" applyAlignment="1">
      <alignment horizontal="center" vertical="center"/>
    </xf>
    <xf numFmtId="0" fontId="0" fillId="0" borderId="196" xfId="638" applyFont="1" applyBorder="1" applyAlignment="1">
      <alignment horizontal="center" vertical="center" wrapText="1"/>
    </xf>
    <xf numFmtId="0" fontId="3" fillId="0" borderId="197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200" xfId="638" applyFont="1" applyBorder="1" applyAlignment="1">
      <alignment horizontal="center" vertical="center"/>
    </xf>
    <xf numFmtId="0" fontId="3" fillId="0" borderId="201" xfId="638" applyFont="1" applyBorder="1" applyAlignment="1">
      <alignment horizontal="center" vertical="center"/>
    </xf>
    <xf numFmtId="164" fontId="3" fillId="2" borderId="202" xfId="638" applyNumberFormat="1" applyFont="1" applyFill="1" applyBorder="1" applyAlignment="1">
      <alignment horizontal="center" vertical="center"/>
    </xf>
    <xf numFmtId="165" fontId="3" fillId="2" borderId="200" xfId="638" applyNumberFormat="1" applyFont="1" applyFill="1" applyBorder="1" applyAlignment="1">
      <alignment horizontal="center" vertical="center"/>
    </xf>
    <xf numFmtId="166" fontId="3" fillId="2" borderId="200" xfId="638" applyNumberFormat="1" applyFont="1" applyFill="1" applyBorder="1" applyAlignment="1">
      <alignment horizontal="center" vertical="center"/>
    </xf>
    <xf numFmtId="0" fontId="3" fillId="2" borderId="200" xfId="638" applyFont="1" applyFill="1" applyBorder="1" applyAlignment="1">
      <alignment horizontal="center" vertical="center"/>
    </xf>
    <xf numFmtId="0" fontId="0" fillId="0" borderId="200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206" xfId="638" applyNumberFormat="1" applyFont="1" applyFill="1" applyBorder="1" applyAlignment="1">
      <alignment horizontal="center" vertical="center"/>
    </xf>
    <xf numFmtId="165" fontId="3" fillId="2" borderId="205" xfId="638" applyNumberFormat="1" applyFont="1" applyFill="1" applyBorder="1" applyAlignment="1">
      <alignment horizontal="center" vertical="center"/>
    </xf>
    <xf numFmtId="166" fontId="3" fillId="2" borderId="205" xfId="638" applyNumberFormat="1" applyFont="1" applyFill="1" applyBorder="1" applyAlignment="1">
      <alignment horizontal="center" vertical="center"/>
    </xf>
    <xf numFmtId="0" fontId="3" fillId="2" borderId="205" xfId="638" applyFont="1" applyFill="1" applyBorder="1" applyAlignment="1">
      <alignment horizontal="center" vertical="center"/>
    </xf>
    <xf numFmtId="0" fontId="3" fillId="0" borderId="205" xfId="638" applyFont="1" applyBorder="1" applyAlignment="1">
      <alignment horizontal="center" vertical="center"/>
    </xf>
    <xf numFmtId="0" fontId="0" fillId="0" borderId="205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164" fontId="3" fillId="2" borderId="207" xfId="638" applyNumberFormat="1" applyFont="1" applyFill="1" applyBorder="1" applyAlignment="1">
      <alignment horizontal="center" vertical="center"/>
    </xf>
    <xf numFmtId="165" fontId="3" fillId="2" borderId="208" xfId="638" applyNumberFormat="1" applyFont="1" applyFill="1" applyBorder="1" applyAlignment="1">
      <alignment horizontal="center" vertical="center"/>
    </xf>
    <xf numFmtId="166" fontId="3" fillId="2" borderId="208" xfId="638" applyNumberFormat="1" applyFont="1" applyFill="1" applyBorder="1" applyAlignment="1">
      <alignment horizontal="center" vertical="center"/>
    </xf>
    <xf numFmtId="0" fontId="3" fillId="2" borderId="208" xfId="638" applyFont="1" applyFill="1" applyBorder="1" applyAlignment="1">
      <alignment horizontal="center" vertical="center"/>
    </xf>
    <xf numFmtId="0" fontId="3" fillId="0" borderId="208" xfId="638" applyFont="1" applyBorder="1" applyAlignment="1">
      <alignment horizontal="center" vertical="center"/>
    </xf>
    <xf numFmtId="0" fontId="0" fillId="0" borderId="208" xfId="638" applyFont="1" applyBorder="1" applyAlignment="1">
      <alignment horizontal="center" vertical="center" wrapText="1"/>
    </xf>
    <xf numFmtId="164" fontId="3" fillId="2" borderId="212" xfId="638" applyNumberFormat="1" applyFont="1" applyFill="1" applyBorder="1" applyAlignment="1">
      <alignment horizontal="center" vertical="center"/>
    </xf>
    <xf numFmtId="165" fontId="3" fillId="2" borderId="210" xfId="638" applyNumberFormat="1" applyFont="1" applyFill="1" applyBorder="1" applyAlignment="1">
      <alignment horizontal="center" vertical="center"/>
    </xf>
    <xf numFmtId="166" fontId="3" fillId="2" borderId="210" xfId="638" applyNumberFormat="1" applyFont="1" applyFill="1" applyBorder="1" applyAlignment="1">
      <alignment horizontal="center" vertical="center"/>
    </xf>
    <xf numFmtId="0" fontId="3" fillId="2" borderId="210" xfId="638" applyFont="1" applyFill="1" applyBorder="1" applyAlignment="1">
      <alignment horizontal="center" vertical="center"/>
    </xf>
    <xf numFmtId="0" fontId="3" fillId="0" borderId="210" xfId="638" applyFont="1" applyBorder="1" applyAlignment="1">
      <alignment horizontal="center" vertical="center"/>
    </xf>
    <xf numFmtId="0" fontId="0" fillId="0" borderId="210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213" xfId="638" applyNumberFormat="1" applyFont="1" applyFill="1" applyBorder="1" applyAlignment="1">
      <alignment horizontal="center" vertical="center"/>
    </xf>
    <xf numFmtId="165" fontId="3" fillId="2" borderId="214" xfId="638" applyNumberFormat="1" applyFont="1" applyFill="1" applyBorder="1" applyAlignment="1">
      <alignment horizontal="center" vertical="center"/>
    </xf>
    <xf numFmtId="166" fontId="3" fillId="2" borderId="214" xfId="638" applyNumberFormat="1" applyFont="1" applyFill="1" applyBorder="1" applyAlignment="1">
      <alignment horizontal="center" vertical="center"/>
    </xf>
    <xf numFmtId="0" fontId="3" fillId="2" borderId="214" xfId="638" applyFont="1" applyFill="1" applyBorder="1" applyAlignment="1">
      <alignment horizontal="center" vertical="center"/>
    </xf>
    <xf numFmtId="0" fontId="3" fillId="0" borderId="214" xfId="638" applyFont="1" applyBorder="1" applyAlignment="1">
      <alignment horizontal="center" vertical="center"/>
    </xf>
    <xf numFmtId="0" fontId="0" fillId="0" borderId="214" xfId="638" applyFont="1" applyBorder="1" applyAlignment="1">
      <alignment horizontal="center" vertical="center" wrapText="1"/>
    </xf>
    <xf numFmtId="0" fontId="3" fillId="0" borderId="5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164" fontId="3" fillId="2" borderId="216" xfId="638" applyNumberFormat="1" applyFont="1" applyFill="1" applyBorder="1" applyAlignment="1">
      <alignment horizontal="center" vertical="center"/>
    </xf>
    <xf numFmtId="165" fontId="3" fillId="2" borderId="217" xfId="638" applyNumberFormat="1" applyFont="1" applyFill="1" applyBorder="1" applyAlignment="1">
      <alignment horizontal="center" vertical="center"/>
    </xf>
    <xf numFmtId="166" fontId="3" fillId="2" borderId="217" xfId="638" applyNumberFormat="1" applyFont="1" applyFill="1" applyBorder="1" applyAlignment="1">
      <alignment horizontal="center" vertical="center"/>
    </xf>
    <xf numFmtId="0" fontId="3" fillId="2" borderId="217" xfId="638" applyFont="1" applyFill="1" applyBorder="1" applyAlignment="1">
      <alignment horizontal="center" vertical="center"/>
    </xf>
    <xf numFmtId="0" fontId="3" fillId="0" borderId="217" xfId="638" applyFont="1" applyBorder="1" applyAlignment="1">
      <alignment horizontal="center" vertical="center"/>
    </xf>
    <xf numFmtId="0" fontId="0" fillId="0" borderId="217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221" xfId="638" applyNumberFormat="1" applyFont="1" applyFill="1" applyBorder="1" applyAlignment="1">
      <alignment horizontal="center" vertical="center"/>
    </xf>
    <xf numFmtId="165" fontId="3" fillId="2" borderId="219" xfId="638" applyNumberFormat="1" applyFont="1" applyFill="1" applyBorder="1" applyAlignment="1">
      <alignment horizontal="center" vertical="center"/>
    </xf>
    <xf numFmtId="166" fontId="3" fillId="2" borderId="219" xfId="638" applyNumberFormat="1" applyFont="1" applyFill="1" applyBorder="1" applyAlignment="1">
      <alignment horizontal="center" vertical="center"/>
    </xf>
    <xf numFmtId="0" fontId="3" fillId="2" borderId="219" xfId="638" applyFont="1" applyFill="1" applyBorder="1" applyAlignment="1">
      <alignment horizontal="center" vertical="center"/>
    </xf>
    <xf numFmtId="0" fontId="3" fillId="0" borderId="219" xfId="638" applyFont="1" applyBorder="1" applyAlignment="1">
      <alignment horizontal="center" vertical="center"/>
    </xf>
    <xf numFmtId="0" fontId="0" fillId="0" borderId="219" xfId="638" applyFont="1" applyBorder="1" applyAlignment="1">
      <alignment horizontal="center" vertical="center" wrapText="1"/>
    </xf>
    <xf numFmtId="0" fontId="3" fillId="0" borderId="69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228" xfId="638" applyNumberFormat="1" applyFont="1" applyFill="1" applyBorder="1" applyAlignment="1">
      <alignment horizontal="center" vertical="center"/>
    </xf>
    <xf numFmtId="165" fontId="3" fillId="2" borderId="226" xfId="638" applyNumberFormat="1" applyFont="1" applyFill="1" applyBorder="1" applyAlignment="1">
      <alignment horizontal="center" vertical="center"/>
    </xf>
    <xf numFmtId="166" fontId="3" fillId="2" borderId="226" xfId="638" applyNumberFormat="1" applyFont="1" applyFill="1" applyBorder="1" applyAlignment="1">
      <alignment horizontal="center" vertical="center"/>
    </xf>
    <xf numFmtId="0" fontId="3" fillId="2" borderId="226" xfId="638" applyFont="1" applyFill="1" applyBorder="1" applyAlignment="1">
      <alignment horizontal="center" vertical="center"/>
    </xf>
    <xf numFmtId="0" fontId="3" fillId="0" borderId="226" xfId="638" applyFont="1" applyBorder="1" applyAlignment="1">
      <alignment horizontal="center" vertical="center"/>
    </xf>
    <xf numFmtId="0" fontId="0" fillId="0" borderId="226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164" fontId="3" fillId="2" borderId="232" xfId="638" applyNumberFormat="1" applyFont="1" applyFill="1" applyBorder="1" applyAlignment="1">
      <alignment horizontal="center" vertical="center"/>
    </xf>
    <xf numFmtId="165" fontId="3" fillId="2" borderId="231" xfId="638" applyNumberFormat="1" applyFont="1" applyFill="1" applyBorder="1" applyAlignment="1">
      <alignment horizontal="center" vertical="center"/>
    </xf>
    <xf numFmtId="166" fontId="3" fillId="2" borderId="231" xfId="638" applyNumberFormat="1" applyFont="1" applyFill="1" applyBorder="1" applyAlignment="1">
      <alignment horizontal="center" vertical="center"/>
    </xf>
    <xf numFmtId="0" fontId="3" fillId="2" borderId="231" xfId="638" applyFont="1" applyFill="1" applyBorder="1" applyAlignment="1">
      <alignment horizontal="center" vertical="center"/>
    </xf>
    <xf numFmtId="0" fontId="3" fillId="0" borderId="231" xfId="638" applyFont="1" applyBorder="1" applyAlignment="1">
      <alignment horizontal="center" vertical="center"/>
    </xf>
    <xf numFmtId="0" fontId="0" fillId="0" borderId="231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164" fontId="3" fillId="2" borderId="235" xfId="638" applyNumberFormat="1" applyFont="1" applyFill="1" applyBorder="1" applyAlignment="1">
      <alignment horizontal="center" vertical="center"/>
    </xf>
    <xf numFmtId="165" fontId="3" fillId="2" borderId="233" xfId="638" applyNumberFormat="1" applyFont="1" applyFill="1" applyBorder="1" applyAlignment="1">
      <alignment horizontal="center" vertical="center"/>
    </xf>
    <xf numFmtId="166" fontId="3" fillId="2" borderId="233" xfId="638" applyNumberFormat="1" applyFont="1" applyFill="1" applyBorder="1" applyAlignment="1">
      <alignment horizontal="center" vertical="center"/>
    </xf>
    <xf numFmtId="0" fontId="3" fillId="2" borderId="233" xfId="638" applyFont="1" applyFill="1" applyBorder="1" applyAlignment="1">
      <alignment horizontal="center" vertical="center"/>
    </xf>
    <xf numFmtId="0" fontId="3" fillId="0" borderId="233" xfId="638" applyFont="1" applyBorder="1" applyAlignment="1">
      <alignment horizontal="center" vertical="center"/>
    </xf>
    <xf numFmtId="0" fontId="0" fillId="0" borderId="233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164" fontId="3" fillId="2" borderId="238" xfId="638" applyNumberFormat="1" applyFont="1" applyFill="1" applyBorder="1" applyAlignment="1">
      <alignment horizontal="center" vertical="center"/>
    </xf>
    <xf numFmtId="165" fontId="3" fillId="2" borderId="236" xfId="638" applyNumberFormat="1" applyFont="1" applyFill="1" applyBorder="1" applyAlignment="1">
      <alignment horizontal="center" vertical="center"/>
    </xf>
    <xf numFmtId="166" fontId="3" fillId="2" borderId="236" xfId="638" applyNumberFormat="1" applyFont="1" applyFill="1" applyBorder="1" applyAlignment="1">
      <alignment horizontal="center" vertical="center"/>
    </xf>
    <xf numFmtId="0" fontId="3" fillId="2" borderId="236" xfId="638" applyFont="1" applyFill="1" applyBorder="1" applyAlignment="1">
      <alignment horizontal="center" vertical="center"/>
    </xf>
    <xf numFmtId="0" fontId="3" fillId="0" borderId="236" xfId="638" applyFont="1" applyBorder="1" applyAlignment="1">
      <alignment horizontal="center" vertical="center"/>
    </xf>
    <xf numFmtId="0" fontId="3" fillId="0" borderId="236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241" xfId="638" applyNumberFormat="1" applyFont="1" applyFill="1" applyBorder="1" applyAlignment="1">
      <alignment horizontal="center" vertical="center"/>
    </xf>
    <xf numFmtId="165" fontId="3" fillId="2" borderId="239" xfId="638" applyNumberFormat="1" applyFont="1" applyFill="1" applyBorder="1" applyAlignment="1">
      <alignment horizontal="center" vertical="center"/>
    </xf>
    <xf numFmtId="166" fontId="3" fillId="2" borderId="239" xfId="638" applyNumberFormat="1" applyFont="1" applyFill="1" applyBorder="1" applyAlignment="1">
      <alignment horizontal="center" vertical="center"/>
    </xf>
    <xf numFmtId="0" fontId="3" fillId="2" borderId="239" xfId="638" applyFont="1" applyFill="1" applyBorder="1" applyAlignment="1">
      <alignment horizontal="center" vertical="center"/>
    </xf>
    <xf numFmtId="0" fontId="3" fillId="0" borderId="239" xfId="638" applyFont="1" applyBorder="1" applyAlignment="1">
      <alignment horizontal="center" vertical="center"/>
    </xf>
    <xf numFmtId="0" fontId="0" fillId="0" borderId="239" xfId="638" applyFont="1" applyBorder="1" applyAlignment="1">
      <alignment horizontal="center" vertical="center" wrapText="1"/>
    </xf>
    <xf numFmtId="0" fontId="15" fillId="0" borderId="55" xfId="638" applyFont="1" applyBorder="1" applyAlignment="1">
      <alignment horizontal="center" vertical="center"/>
    </xf>
    <xf numFmtId="0" fontId="3" fillId="0" borderId="55" xfId="638" quotePrefix="1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244" xfId="638" applyNumberFormat="1" applyFont="1" applyFill="1" applyBorder="1" applyAlignment="1">
      <alignment horizontal="center" vertical="center"/>
    </xf>
    <xf numFmtId="165" fontId="3" fillId="2" borderId="245" xfId="638" applyNumberFormat="1" applyFont="1" applyFill="1" applyBorder="1" applyAlignment="1">
      <alignment horizontal="center" vertical="center"/>
    </xf>
    <xf numFmtId="166" fontId="3" fillId="2" borderId="245" xfId="638" applyNumberFormat="1" applyFont="1" applyFill="1" applyBorder="1" applyAlignment="1">
      <alignment horizontal="center" vertical="center"/>
    </xf>
    <xf numFmtId="0" fontId="3" fillId="2" borderId="245" xfId="638" applyFont="1" applyFill="1" applyBorder="1" applyAlignment="1">
      <alignment horizontal="center" vertical="center"/>
    </xf>
    <xf numFmtId="0" fontId="3" fillId="0" borderId="245" xfId="638" applyFont="1" applyBorder="1" applyAlignment="1">
      <alignment horizontal="center" vertical="center"/>
    </xf>
    <xf numFmtId="0" fontId="0" fillId="0" borderId="245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164" fontId="3" fillId="2" borderId="249" xfId="638" applyNumberFormat="1" applyFont="1" applyFill="1" applyBorder="1" applyAlignment="1">
      <alignment horizontal="center" vertical="center"/>
    </xf>
    <xf numFmtId="165" fontId="3" fillId="2" borderId="246" xfId="638" applyNumberFormat="1" applyFont="1" applyFill="1" applyBorder="1" applyAlignment="1">
      <alignment horizontal="center" vertical="center"/>
    </xf>
    <xf numFmtId="166" fontId="3" fillId="2" borderId="246" xfId="638" applyNumberFormat="1" applyFont="1" applyFill="1" applyBorder="1" applyAlignment="1">
      <alignment horizontal="center" vertical="center"/>
    </xf>
    <xf numFmtId="0" fontId="3" fillId="2" borderId="246" xfId="638" applyFont="1" applyFill="1" applyBorder="1" applyAlignment="1">
      <alignment horizontal="center" vertical="center"/>
    </xf>
    <xf numFmtId="0" fontId="3" fillId="0" borderId="246" xfId="638" applyFont="1" applyBorder="1" applyAlignment="1">
      <alignment horizontal="center" vertical="center"/>
    </xf>
    <xf numFmtId="0" fontId="0" fillId="0" borderId="246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250" xfId="638" applyNumberFormat="1" applyFont="1" applyFill="1" applyBorder="1" applyAlignment="1">
      <alignment horizontal="center" vertical="center"/>
    </xf>
    <xf numFmtId="165" fontId="3" fillId="2" borderId="251" xfId="638" applyNumberFormat="1" applyFont="1" applyFill="1" applyBorder="1" applyAlignment="1">
      <alignment horizontal="center" vertical="center"/>
    </xf>
    <xf numFmtId="166" fontId="3" fillId="2" borderId="251" xfId="638" applyNumberFormat="1" applyFont="1" applyFill="1" applyBorder="1" applyAlignment="1">
      <alignment horizontal="center" vertical="center"/>
    </xf>
    <xf numFmtId="0" fontId="3" fillId="2" borderId="251" xfId="638" applyFont="1" applyFill="1" applyBorder="1" applyAlignment="1">
      <alignment horizontal="center" vertical="center"/>
    </xf>
    <xf numFmtId="0" fontId="3" fillId="0" borderId="251" xfId="638" applyFont="1" applyBorder="1" applyAlignment="1">
      <alignment horizontal="center" vertical="center"/>
    </xf>
    <xf numFmtId="0" fontId="0" fillId="0" borderId="251" xfId="638" applyFont="1" applyBorder="1" applyAlignment="1">
      <alignment horizontal="center" vertical="center" wrapText="1"/>
    </xf>
    <xf numFmtId="0" fontId="3" fillId="0" borderId="57" xfId="0" applyFont="1" applyBorder="1" applyAlignment="1">
      <alignment wrapText="1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164" fontId="3" fillId="2" borderId="252" xfId="638" applyNumberFormat="1" applyFont="1" applyFill="1" applyBorder="1" applyAlignment="1">
      <alignment horizontal="center" vertical="center"/>
    </xf>
    <xf numFmtId="165" fontId="3" fillId="2" borderId="253" xfId="638" applyNumberFormat="1" applyFont="1" applyFill="1" applyBorder="1" applyAlignment="1">
      <alignment horizontal="center" vertical="center"/>
    </xf>
    <xf numFmtId="166" fontId="3" fillId="2" borderId="253" xfId="638" applyNumberFormat="1" applyFont="1" applyFill="1" applyBorder="1" applyAlignment="1">
      <alignment horizontal="center" vertical="center"/>
    </xf>
    <xf numFmtId="0" fontId="3" fillId="2" borderId="253" xfId="638" applyFont="1" applyFill="1" applyBorder="1" applyAlignment="1">
      <alignment horizontal="center" vertical="center"/>
    </xf>
    <xf numFmtId="0" fontId="3" fillId="0" borderId="253" xfId="638" applyFont="1" applyBorder="1" applyAlignment="1">
      <alignment horizontal="center" vertical="center"/>
    </xf>
    <xf numFmtId="0" fontId="0" fillId="0" borderId="253" xfId="638" applyFont="1" applyBorder="1" applyAlignment="1">
      <alignment horizontal="center" vertical="center" wrapText="1"/>
    </xf>
    <xf numFmtId="0" fontId="3" fillId="0" borderId="254" xfId="638" applyFont="1" applyBorder="1" applyAlignment="1">
      <alignment horizontal="center" vertical="center"/>
    </xf>
    <xf numFmtId="0" fontId="15" fillId="0" borderId="253" xfId="638" applyFont="1" applyBorder="1" applyAlignment="1">
      <alignment horizontal="center" vertical="center"/>
    </xf>
    <xf numFmtId="0" fontId="3" fillId="0" borderId="253" xfId="638" quotePrefix="1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255" xfId="638" applyNumberFormat="1" applyFont="1" applyFill="1" applyBorder="1" applyAlignment="1">
      <alignment horizontal="center" vertical="center"/>
    </xf>
    <xf numFmtId="165" fontId="3" fillId="2" borderId="256" xfId="638" applyNumberFormat="1" applyFont="1" applyFill="1" applyBorder="1" applyAlignment="1">
      <alignment horizontal="center" vertical="center"/>
    </xf>
    <xf numFmtId="166" fontId="3" fillId="2" borderId="256" xfId="638" applyNumberFormat="1" applyFont="1" applyFill="1" applyBorder="1" applyAlignment="1">
      <alignment horizontal="center" vertical="center"/>
    </xf>
    <xf numFmtId="0" fontId="3" fillId="2" borderId="256" xfId="638" applyFont="1" applyFill="1" applyBorder="1" applyAlignment="1">
      <alignment horizontal="center" vertical="center"/>
    </xf>
    <xf numFmtId="0" fontId="3" fillId="0" borderId="256" xfId="638" applyFont="1" applyBorder="1" applyAlignment="1">
      <alignment horizontal="center" vertical="center"/>
    </xf>
    <xf numFmtId="0" fontId="0" fillId="0" borderId="256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70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257" xfId="638" applyFont="1" applyBorder="1" applyAlignment="1">
      <alignment horizontal="center" vertical="center"/>
    </xf>
    <xf numFmtId="164" fontId="3" fillId="2" borderId="259" xfId="638" applyNumberFormat="1" applyFont="1" applyFill="1" applyBorder="1" applyAlignment="1">
      <alignment horizontal="center" vertical="center"/>
    </xf>
    <xf numFmtId="165" fontId="3" fillId="2" borderId="257" xfId="638" applyNumberFormat="1" applyFont="1" applyFill="1" applyBorder="1" applyAlignment="1">
      <alignment horizontal="center" vertical="center"/>
    </xf>
    <xf numFmtId="166" fontId="3" fillId="2" borderId="257" xfId="638" applyNumberFormat="1" applyFont="1" applyFill="1" applyBorder="1" applyAlignment="1">
      <alignment horizontal="center" vertical="center"/>
    </xf>
    <xf numFmtId="0" fontId="3" fillId="2" borderId="257" xfId="638" applyFont="1" applyFill="1" applyBorder="1" applyAlignment="1">
      <alignment horizontal="center" vertical="center"/>
    </xf>
    <xf numFmtId="0" fontId="0" fillId="0" borderId="257" xfId="638" applyFont="1" applyBorder="1" applyAlignment="1">
      <alignment horizontal="center" vertical="center" wrapText="1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69" xfId="638" applyNumberFormat="1" applyFont="1" applyFill="1" applyBorder="1" applyAlignment="1">
      <alignment horizontal="center" vertical="center"/>
    </xf>
    <xf numFmtId="164" fontId="3" fillId="2" borderId="262" xfId="638" applyNumberFormat="1" applyFont="1" applyFill="1" applyBorder="1" applyAlignment="1">
      <alignment horizontal="center" vertical="center"/>
    </xf>
    <xf numFmtId="165" fontId="3" fillId="2" borderId="262" xfId="638" applyNumberFormat="1" applyFont="1" applyFill="1" applyBorder="1" applyAlignment="1">
      <alignment horizontal="center" vertical="center"/>
    </xf>
    <xf numFmtId="166" fontId="3" fillId="2" borderId="262" xfId="638" applyNumberFormat="1" applyFont="1" applyFill="1" applyBorder="1" applyAlignment="1">
      <alignment horizontal="center" vertical="center"/>
    </xf>
    <xf numFmtId="0" fontId="3" fillId="2" borderId="262" xfId="638" applyFont="1" applyFill="1" applyBorder="1" applyAlignment="1">
      <alignment horizontal="center" vertical="center"/>
    </xf>
    <xf numFmtId="0" fontId="3" fillId="0" borderId="262" xfId="638" applyFont="1" applyBorder="1" applyAlignment="1">
      <alignment horizontal="center" vertical="center"/>
    </xf>
    <xf numFmtId="0" fontId="0" fillId="0" borderId="262" xfId="638" applyFont="1" applyBorder="1" applyAlignment="1">
      <alignment horizontal="center" vertical="center" wrapText="1"/>
    </xf>
    <xf numFmtId="165" fontId="3" fillId="2" borderId="264" xfId="638" applyNumberFormat="1" applyFont="1" applyFill="1" applyBorder="1" applyAlignment="1">
      <alignment horizontal="center" vertical="center"/>
    </xf>
    <xf numFmtId="166" fontId="3" fillId="2" borderId="264" xfId="638" applyNumberFormat="1" applyFont="1" applyFill="1" applyBorder="1" applyAlignment="1">
      <alignment horizontal="center" vertical="center"/>
    </xf>
    <xf numFmtId="0" fontId="3" fillId="2" borderId="264" xfId="638" applyFont="1" applyFill="1" applyBorder="1" applyAlignment="1">
      <alignment horizontal="center" vertical="center"/>
    </xf>
    <xf numFmtId="0" fontId="3" fillId="0" borderId="264" xfId="638" applyFont="1" applyBorder="1" applyAlignment="1">
      <alignment horizontal="center" vertical="center"/>
    </xf>
    <xf numFmtId="0" fontId="0" fillId="0" borderId="264" xfId="638" applyFont="1" applyBorder="1" applyAlignment="1">
      <alignment horizontal="center" vertical="center" wrapText="1"/>
    </xf>
    <xf numFmtId="0" fontId="3" fillId="0" borderId="26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164" fontId="3" fillId="2" borderId="267" xfId="638" applyNumberFormat="1" applyFont="1" applyFill="1" applyBorder="1" applyAlignment="1">
      <alignment horizontal="center" vertical="center"/>
    </xf>
    <xf numFmtId="165" fontId="3" fillId="2" borderId="266" xfId="638" applyNumberFormat="1" applyFont="1" applyFill="1" applyBorder="1" applyAlignment="1">
      <alignment horizontal="center" vertical="center"/>
    </xf>
    <xf numFmtId="166" fontId="3" fillId="2" borderId="266" xfId="638" applyNumberFormat="1" applyFont="1" applyFill="1" applyBorder="1" applyAlignment="1">
      <alignment horizontal="center" vertical="center"/>
    </xf>
    <xf numFmtId="0" fontId="3" fillId="2" borderId="266" xfId="638" applyFont="1" applyFill="1" applyBorder="1" applyAlignment="1">
      <alignment horizontal="center" vertical="center"/>
    </xf>
    <xf numFmtId="0" fontId="3" fillId="0" borderId="266" xfId="638" applyFont="1" applyBorder="1" applyAlignment="1">
      <alignment horizontal="center" vertical="center"/>
    </xf>
    <xf numFmtId="0" fontId="0" fillId="0" borderId="266" xfId="638" applyFont="1" applyBorder="1" applyAlignment="1">
      <alignment horizontal="center" vertical="center" wrapText="1"/>
    </xf>
    <xf numFmtId="0" fontId="3" fillId="0" borderId="268" xfId="638" applyFont="1" applyBorder="1" applyAlignment="1">
      <alignment horizontal="center" vertical="center"/>
    </xf>
    <xf numFmtId="164" fontId="3" fillId="2" borderId="270" xfId="638" applyNumberFormat="1" applyFont="1" applyFill="1" applyBorder="1" applyAlignment="1">
      <alignment horizontal="center" vertical="center"/>
    </xf>
    <xf numFmtId="165" fontId="3" fillId="2" borderId="268" xfId="638" applyNumberFormat="1" applyFont="1" applyFill="1" applyBorder="1" applyAlignment="1">
      <alignment horizontal="center" vertical="center"/>
    </xf>
    <xf numFmtId="166" fontId="3" fillId="2" borderId="268" xfId="638" applyNumberFormat="1" applyFont="1" applyFill="1" applyBorder="1" applyAlignment="1">
      <alignment horizontal="center" vertical="center"/>
    </xf>
    <xf numFmtId="0" fontId="3" fillId="2" borderId="268" xfId="638" applyFont="1" applyFill="1" applyBorder="1" applyAlignment="1">
      <alignment horizontal="center" vertical="center"/>
    </xf>
    <xf numFmtId="0" fontId="0" fillId="0" borderId="268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275" xfId="638" applyFont="1" applyBorder="1" applyAlignment="1">
      <alignment horizontal="center" vertical="center"/>
    </xf>
    <xf numFmtId="164" fontId="3" fillId="2" borderId="277" xfId="638" applyNumberFormat="1" applyFont="1" applyFill="1" applyBorder="1" applyAlignment="1">
      <alignment horizontal="center" vertical="center"/>
    </xf>
    <xf numFmtId="165" fontId="3" fillId="2" borderId="275" xfId="638" applyNumberFormat="1" applyFont="1" applyFill="1" applyBorder="1" applyAlignment="1">
      <alignment horizontal="center" vertical="center"/>
    </xf>
    <xf numFmtId="166" fontId="3" fillId="2" borderId="275" xfId="638" applyNumberFormat="1" applyFont="1" applyFill="1" applyBorder="1" applyAlignment="1">
      <alignment horizontal="center" vertical="center"/>
    </xf>
    <xf numFmtId="0" fontId="3" fillId="2" borderId="275" xfId="638" applyFont="1" applyFill="1" applyBorder="1" applyAlignment="1">
      <alignment horizontal="center" vertical="center"/>
    </xf>
    <xf numFmtId="0" fontId="0" fillId="0" borderId="275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280" xfId="638" applyFont="1" applyBorder="1" applyAlignment="1">
      <alignment horizontal="center" vertical="center"/>
    </xf>
    <xf numFmtId="164" fontId="3" fillId="2" borderId="281" xfId="638" applyNumberFormat="1" applyFont="1" applyFill="1" applyBorder="1" applyAlignment="1">
      <alignment horizontal="center" vertical="center"/>
    </xf>
    <xf numFmtId="165" fontId="3" fillId="2" borderId="280" xfId="638" applyNumberFormat="1" applyFont="1" applyFill="1" applyBorder="1" applyAlignment="1">
      <alignment horizontal="center" vertical="center"/>
    </xf>
    <xf numFmtId="166" fontId="3" fillId="2" borderId="280" xfId="638" applyNumberFormat="1" applyFont="1" applyFill="1" applyBorder="1" applyAlignment="1">
      <alignment horizontal="center" vertical="center"/>
    </xf>
    <xf numFmtId="0" fontId="3" fillId="2" borderId="280" xfId="638" applyFont="1" applyFill="1" applyBorder="1" applyAlignment="1">
      <alignment horizontal="center" vertical="center"/>
    </xf>
    <xf numFmtId="0" fontId="0" fillId="0" borderId="280" xfId="638" applyFont="1" applyBorder="1" applyAlignment="1">
      <alignment horizontal="center" vertical="center" wrapText="1"/>
    </xf>
    <xf numFmtId="0" fontId="3" fillId="0" borderId="282" xfId="638" applyFont="1" applyBorder="1" applyAlignment="1">
      <alignment horizontal="center" vertical="center"/>
    </xf>
    <xf numFmtId="0" fontId="3" fillId="0" borderId="283" xfId="638" applyFont="1" applyBorder="1" applyAlignment="1">
      <alignment horizontal="center" vertical="center"/>
    </xf>
    <xf numFmtId="164" fontId="3" fillId="2" borderId="285" xfId="638" applyNumberFormat="1" applyFont="1" applyFill="1" applyBorder="1" applyAlignment="1">
      <alignment horizontal="center" vertical="center"/>
    </xf>
    <xf numFmtId="165" fontId="3" fillId="2" borderId="283" xfId="638" applyNumberFormat="1" applyFont="1" applyFill="1" applyBorder="1" applyAlignment="1">
      <alignment horizontal="center" vertical="center"/>
    </xf>
    <xf numFmtId="166" fontId="3" fillId="2" borderId="283" xfId="638" applyNumberFormat="1" applyFont="1" applyFill="1" applyBorder="1" applyAlignment="1">
      <alignment horizontal="center" vertical="center"/>
    </xf>
    <xf numFmtId="0" fontId="3" fillId="2" borderId="283" xfId="638" applyFont="1" applyFill="1" applyBorder="1" applyAlignment="1">
      <alignment horizontal="center" vertical="center"/>
    </xf>
    <xf numFmtId="0" fontId="0" fillId="0" borderId="283" xfId="638" applyFont="1" applyBorder="1" applyAlignment="1">
      <alignment horizontal="center" vertical="center" wrapText="1"/>
    </xf>
    <xf numFmtId="0" fontId="3" fillId="0" borderId="61" xfId="638" applyFont="1" applyBorder="1" applyAlignment="1">
      <alignment horizontal="center" vertical="center"/>
    </xf>
    <xf numFmtId="0" fontId="3" fillId="0" borderId="64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286" xfId="638" applyNumberFormat="1" applyFont="1" applyFill="1" applyBorder="1" applyAlignment="1">
      <alignment horizontal="center" vertical="center"/>
    </xf>
    <xf numFmtId="165" fontId="3" fillId="2" borderId="287" xfId="638" applyNumberFormat="1" applyFont="1" applyFill="1" applyBorder="1" applyAlignment="1">
      <alignment horizontal="center" vertical="center"/>
    </xf>
    <xf numFmtId="166" fontId="3" fillId="2" borderId="287" xfId="638" applyNumberFormat="1" applyFont="1" applyFill="1" applyBorder="1" applyAlignment="1">
      <alignment horizontal="center" vertical="center"/>
    </xf>
    <xf numFmtId="0" fontId="3" fillId="2" borderId="287" xfId="638" applyFont="1" applyFill="1" applyBorder="1" applyAlignment="1">
      <alignment horizontal="center" vertical="center"/>
    </xf>
    <xf numFmtId="0" fontId="3" fillId="0" borderId="287" xfId="638" applyFont="1" applyBorder="1" applyAlignment="1">
      <alignment horizontal="center" vertical="center"/>
    </xf>
    <xf numFmtId="0" fontId="0" fillId="0" borderId="287" xfId="638" applyFont="1" applyBorder="1" applyAlignment="1">
      <alignment horizontal="center" vertical="center" wrapText="1"/>
    </xf>
    <xf numFmtId="0" fontId="3" fillId="0" borderId="62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70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302" xfId="638" applyNumberFormat="1" applyFont="1" applyFill="1" applyBorder="1" applyAlignment="1">
      <alignment horizontal="center" vertical="center"/>
    </xf>
    <xf numFmtId="165" fontId="3" fillId="2" borderId="299" xfId="638" applyNumberFormat="1" applyFont="1" applyFill="1" applyBorder="1" applyAlignment="1">
      <alignment horizontal="center" vertical="center"/>
    </xf>
    <xf numFmtId="166" fontId="3" fillId="2" borderId="299" xfId="638" applyNumberFormat="1" applyFont="1" applyFill="1" applyBorder="1" applyAlignment="1">
      <alignment horizontal="center" vertical="center"/>
    </xf>
    <xf numFmtId="0" fontId="3" fillId="2" borderId="299" xfId="638" applyFont="1" applyFill="1" applyBorder="1" applyAlignment="1">
      <alignment horizontal="center" vertical="center"/>
    </xf>
    <xf numFmtId="0" fontId="3" fillId="0" borderId="299" xfId="638" applyFont="1" applyBorder="1" applyAlignment="1">
      <alignment horizontal="center" vertical="center"/>
    </xf>
    <xf numFmtId="0" fontId="0" fillId="0" borderId="299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303" xfId="638" applyFont="1" applyBorder="1" applyAlignment="1">
      <alignment horizontal="center" vertical="center"/>
    </xf>
    <xf numFmtId="164" fontId="3" fillId="2" borderId="304" xfId="638" applyNumberFormat="1" applyFont="1" applyFill="1" applyBorder="1" applyAlignment="1">
      <alignment horizontal="center" vertical="center"/>
    </xf>
    <xf numFmtId="165" fontId="3" fillId="2" borderId="303" xfId="638" applyNumberFormat="1" applyFont="1" applyFill="1" applyBorder="1" applyAlignment="1">
      <alignment horizontal="center" vertical="center"/>
    </xf>
    <xf numFmtId="166" fontId="3" fillId="2" borderId="303" xfId="638" applyNumberFormat="1" applyFont="1" applyFill="1" applyBorder="1" applyAlignment="1">
      <alignment horizontal="center" vertical="center"/>
    </xf>
    <xf numFmtId="0" fontId="3" fillId="2" borderId="303" xfId="638" applyFont="1" applyFill="1" applyBorder="1" applyAlignment="1">
      <alignment horizontal="center" vertical="center"/>
    </xf>
    <xf numFmtId="0" fontId="0" fillId="0" borderId="303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305" xfId="638" applyFont="1" applyBorder="1" applyAlignment="1">
      <alignment horizontal="center" vertical="center"/>
    </xf>
    <xf numFmtId="164" fontId="3" fillId="2" borderId="309" xfId="638" applyNumberFormat="1" applyFont="1" applyFill="1" applyBorder="1" applyAlignment="1">
      <alignment horizontal="center" vertical="center"/>
    </xf>
    <xf numFmtId="165" fontId="3" fillId="2" borderId="305" xfId="638" applyNumberFormat="1" applyFont="1" applyFill="1" applyBorder="1" applyAlignment="1">
      <alignment horizontal="center" vertical="center"/>
    </xf>
    <xf numFmtId="166" fontId="3" fillId="2" borderId="305" xfId="638" applyNumberFormat="1" applyFont="1" applyFill="1" applyBorder="1" applyAlignment="1">
      <alignment horizontal="center" vertical="center"/>
    </xf>
    <xf numFmtId="0" fontId="3" fillId="2" borderId="305" xfId="638" applyFont="1" applyFill="1" applyBorder="1" applyAlignment="1">
      <alignment horizontal="center" vertical="center"/>
    </xf>
    <xf numFmtId="0" fontId="0" fillId="0" borderId="305" xfId="638" applyFont="1" applyBorder="1" applyAlignment="1">
      <alignment horizontal="center" vertical="center" wrapText="1"/>
    </xf>
    <xf numFmtId="164" fontId="3" fillId="2" borderId="312" xfId="638" applyNumberFormat="1" applyFont="1" applyFill="1" applyBorder="1" applyAlignment="1">
      <alignment horizontal="center" vertical="center"/>
    </xf>
    <xf numFmtId="165" fontId="3" fillId="2" borderId="313" xfId="638" applyNumberFormat="1" applyFont="1" applyFill="1" applyBorder="1" applyAlignment="1">
      <alignment horizontal="center" vertical="center"/>
    </xf>
    <xf numFmtId="166" fontId="3" fillId="2" borderId="313" xfId="638" applyNumberFormat="1" applyFont="1" applyFill="1" applyBorder="1" applyAlignment="1">
      <alignment horizontal="center" vertical="center"/>
    </xf>
    <xf numFmtId="0" fontId="3" fillId="2" borderId="313" xfId="638" applyFont="1" applyFill="1" applyBorder="1" applyAlignment="1">
      <alignment horizontal="center" vertical="center"/>
    </xf>
    <xf numFmtId="0" fontId="3" fillId="0" borderId="313" xfId="638" applyFont="1" applyBorder="1" applyAlignment="1">
      <alignment horizontal="center" vertical="center"/>
    </xf>
    <xf numFmtId="0" fontId="0" fillId="0" borderId="313" xfId="638" applyFont="1" applyBorder="1" applyAlignment="1">
      <alignment horizontal="center" vertical="center" wrapText="1"/>
    </xf>
    <xf numFmtId="0" fontId="3" fillId="0" borderId="307" xfId="638" applyFont="1" applyBorder="1" applyAlignment="1">
      <alignment horizontal="center" vertical="center"/>
    </xf>
    <xf numFmtId="0" fontId="3" fillId="0" borderId="308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33" xfId="638" applyFont="1" applyBorder="1" applyAlignment="1">
      <alignment horizontal="center" vertical="center"/>
    </xf>
    <xf numFmtId="0" fontId="3" fillId="0" borderId="25" xfId="638" applyFont="1" applyBorder="1" applyAlignment="1">
      <alignment horizontal="center" vertical="center"/>
    </xf>
    <xf numFmtId="0" fontId="3" fillId="0" borderId="26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165" fontId="3" fillId="2" borderId="307" xfId="638" applyNumberFormat="1" applyFont="1" applyFill="1" applyBorder="1" applyAlignment="1">
      <alignment horizontal="center" vertical="center"/>
    </xf>
    <xf numFmtId="166" fontId="3" fillId="2" borderId="307" xfId="638" applyNumberFormat="1" applyFont="1" applyFill="1" applyBorder="1" applyAlignment="1">
      <alignment horizontal="center" vertical="center"/>
    </xf>
    <xf numFmtId="0" fontId="3" fillId="2" borderId="307" xfId="638" applyFont="1" applyFill="1" applyBorder="1" applyAlignment="1">
      <alignment horizontal="center" vertical="center"/>
    </xf>
    <xf numFmtId="0" fontId="0" fillId="0" borderId="307" xfId="638" applyFont="1" applyBorder="1" applyAlignment="1">
      <alignment horizontal="center" vertical="center" wrapText="1"/>
    </xf>
    <xf numFmtId="164" fontId="3" fillId="2" borderId="314" xfId="638" applyNumberFormat="1" applyFont="1" applyFill="1" applyBorder="1" applyAlignment="1">
      <alignment horizontal="center" vertical="center"/>
    </xf>
    <xf numFmtId="165" fontId="3" fillId="2" borderId="315" xfId="638" applyNumberFormat="1" applyFont="1" applyFill="1" applyBorder="1" applyAlignment="1">
      <alignment horizontal="center" vertical="center"/>
    </xf>
    <xf numFmtId="166" fontId="3" fillId="2" borderId="315" xfId="638" applyNumberFormat="1" applyFont="1" applyFill="1" applyBorder="1" applyAlignment="1">
      <alignment horizontal="center" vertical="center"/>
    </xf>
    <xf numFmtId="0" fontId="3" fillId="2" borderId="315" xfId="638" applyFont="1" applyFill="1" applyBorder="1" applyAlignment="1">
      <alignment horizontal="center" vertical="center"/>
    </xf>
    <xf numFmtId="0" fontId="3" fillId="0" borderId="315" xfId="638" applyFont="1" applyBorder="1" applyAlignment="1">
      <alignment horizontal="center" vertical="center"/>
    </xf>
    <xf numFmtId="0" fontId="0" fillId="0" borderId="315" xfId="638" applyFont="1" applyBorder="1" applyAlignment="1">
      <alignment horizontal="center" vertical="center" wrapText="1"/>
    </xf>
    <xf numFmtId="0" fontId="3" fillId="0" borderId="31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164" fontId="3" fillId="2" borderId="317" xfId="638" applyNumberFormat="1" applyFont="1" applyFill="1" applyBorder="1" applyAlignment="1">
      <alignment horizontal="center" vertical="center"/>
    </xf>
    <xf numFmtId="165" fontId="3" fillId="2" borderId="318" xfId="638" applyNumberFormat="1" applyFont="1" applyFill="1" applyBorder="1" applyAlignment="1">
      <alignment horizontal="center" vertical="center"/>
    </xf>
    <xf numFmtId="166" fontId="3" fillId="2" borderId="318" xfId="638" applyNumberFormat="1" applyFont="1" applyFill="1" applyBorder="1" applyAlignment="1">
      <alignment horizontal="center" vertical="center"/>
    </xf>
    <xf numFmtId="0" fontId="3" fillId="2" borderId="318" xfId="638" applyFont="1" applyFill="1" applyBorder="1" applyAlignment="1">
      <alignment horizontal="center" vertical="center"/>
    </xf>
    <xf numFmtId="0" fontId="3" fillId="0" borderId="318" xfId="638" applyFont="1" applyBorder="1" applyAlignment="1">
      <alignment horizontal="center" vertical="center"/>
    </xf>
    <xf numFmtId="0" fontId="0" fillId="0" borderId="318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164" fontId="3" fillId="2" borderId="322" xfId="638" applyNumberFormat="1" applyFont="1" applyFill="1" applyBorder="1" applyAlignment="1">
      <alignment horizontal="center" vertical="center"/>
    </xf>
    <xf numFmtId="165" fontId="3" fillId="2" borderId="323" xfId="638" applyNumberFormat="1" applyFont="1" applyFill="1" applyBorder="1" applyAlignment="1">
      <alignment horizontal="center" vertical="center"/>
    </xf>
    <xf numFmtId="166" fontId="3" fillId="2" borderId="323" xfId="638" applyNumberFormat="1" applyFont="1" applyFill="1" applyBorder="1" applyAlignment="1">
      <alignment horizontal="center" vertical="center"/>
    </xf>
    <xf numFmtId="0" fontId="3" fillId="2" borderId="323" xfId="638" applyFont="1" applyFill="1" applyBorder="1" applyAlignment="1">
      <alignment horizontal="center" vertical="center"/>
    </xf>
    <xf numFmtId="0" fontId="3" fillId="0" borderId="323" xfId="638" applyFont="1" applyBorder="1" applyAlignment="1">
      <alignment horizontal="center" vertical="center"/>
    </xf>
    <xf numFmtId="0" fontId="0" fillId="0" borderId="323" xfId="638" applyFont="1" applyBorder="1" applyAlignment="1">
      <alignment horizontal="center" vertical="center" wrapText="1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329" xfId="638" applyNumberFormat="1" applyFont="1" applyFill="1" applyBorder="1" applyAlignment="1">
      <alignment horizontal="center" vertical="center"/>
    </xf>
    <xf numFmtId="165" fontId="3" fillId="2" borderId="330" xfId="638" applyNumberFormat="1" applyFont="1" applyFill="1" applyBorder="1" applyAlignment="1">
      <alignment horizontal="center" vertical="center"/>
    </xf>
    <xf numFmtId="166" fontId="3" fillId="2" borderId="330" xfId="638" applyNumberFormat="1" applyFont="1" applyFill="1" applyBorder="1" applyAlignment="1">
      <alignment horizontal="center" vertical="center"/>
    </xf>
    <xf numFmtId="0" fontId="3" fillId="2" borderId="330" xfId="638" applyFont="1" applyFill="1" applyBorder="1" applyAlignment="1">
      <alignment horizontal="center" vertical="center"/>
    </xf>
    <xf numFmtId="0" fontId="3" fillId="0" borderId="330" xfId="638" applyFont="1" applyBorder="1" applyAlignment="1">
      <alignment horizontal="center" vertical="center"/>
    </xf>
    <xf numFmtId="0" fontId="0" fillId="0" borderId="330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164" fontId="3" fillId="2" borderId="335" xfId="638" applyNumberFormat="1" applyFont="1" applyFill="1" applyBorder="1" applyAlignment="1">
      <alignment horizontal="center" vertical="center"/>
    </xf>
    <xf numFmtId="165" fontId="3" fillId="2" borderId="331" xfId="638" applyNumberFormat="1" applyFont="1" applyFill="1" applyBorder="1" applyAlignment="1">
      <alignment horizontal="center" vertical="center"/>
    </xf>
    <xf numFmtId="166" fontId="3" fillId="2" borderId="331" xfId="638" applyNumberFormat="1" applyFont="1" applyFill="1" applyBorder="1" applyAlignment="1">
      <alignment horizontal="center" vertical="center"/>
    </xf>
    <xf numFmtId="0" fontId="3" fillId="2" borderId="331" xfId="638" applyFont="1" applyFill="1" applyBorder="1" applyAlignment="1">
      <alignment horizontal="center" vertical="center"/>
    </xf>
    <xf numFmtId="0" fontId="3" fillId="0" borderId="331" xfId="638" applyFont="1" applyBorder="1" applyAlignment="1">
      <alignment horizontal="center" vertical="center"/>
    </xf>
    <xf numFmtId="0" fontId="0" fillId="0" borderId="331" xfId="638" applyFont="1" applyBorder="1" applyAlignment="1">
      <alignment horizontal="center" vertical="center" wrapText="1"/>
    </xf>
    <xf numFmtId="0" fontId="3" fillId="0" borderId="334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164" fontId="3" fillId="2" borderId="336" xfId="638" applyNumberFormat="1" applyFont="1" applyFill="1" applyBorder="1" applyAlignment="1">
      <alignment horizontal="center" vertical="center"/>
    </xf>
    <xf numFmtId="165" fontId="3" fillId="2" borderId="337" xfId="638" applyNumberFormat="1" applyFont="1" applyFill="1" applyBorder="1" applyAlignment="1">
      <alignment horizontal="center" vertical="center"/>
    </xf>
    <xf numFmtId="166" fontId="3" fillId="2" borderId="337" xfId="638" applyNumberFormat="1" applyFont="1" applyFill="1" applyBorder="1" applyAlignment="1">
      <alignment horizontal="center" vertical="center"/>
    </xf>
    <xf numFmtId="0" fontId="3" fillId="2" borderId="337" xfId="638" applyFont="1" applyFill="1" applyBorder="1" applyAlignment="1">
      <alignment horizontal="center" vertical="center"/>
    </xf>
    <xf numFmtId="0" fontId="3" fillId="0" borderId="337" xfId="638" applyFont="1" applyBorder="1" applyAlignment="1">
      <alignment horizontal="center" vertical="center"/>
    </xf>
    <xf numFmtId="0" fontId="0" fillId="0" borderId="337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338" xfId="638" applyFont="1" applyBorder="1" applyAlignment="1">
      <alignment horizontal="center" vertical="center"/>
    </xf>
    <xf numFmtId="0" fontId="3" fillId="0" borderId="339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164" fontId="3" fillId="2" borderId="343" xfId="638" applyNumberFormat="1" applyFont="1" applyFill="1" applyBorder="1" applyAlignment="1">
      <alignment horizontal="center" vertical="center"/>
    </xf>
    <xf numFmtId="165" fontId="3" fillId="2" borderId="340" xfId="638" applyNumberFormat="1" applyFont="1" applyFill="1" applyBorder="1" applyAlignment="1">
      <alignment horizontal="center" vertical="center"/>
    </xf>
    <xf numFmtId="166" fontId="3" fillId="2" borderId="340" xfId="638" applyNumberFormat="1" applyFont="1" applyFill="1" applyBorder="1" applyAlignment="1">
      <alignment horizontal="center" vertical="center"/>
    </xf>
    <xf numFmtId="0" fontId="3" fillId="2" borderId="340" xfId="638" applyFont="1" applyFill="1" applyBorder="1" applyAlignment="1">
      <alignment horizontal="center" vertical="center"/>
    </xf>
    <xf numFmtId="0" fontId="3" fillId="0" borderId="340" xfId="638" applyFont="1" applyBorder="1" applyAlignment="1">
      <alignment horizontal="center" vertical="center"/>
    </xf>
    <xf numFmtId="0" fontId="0" fillId="0" borderId="340" xfId="638" applyFont="1" applyBorder="1" applyAlignment="1">
      <alignment horizontal="center" vertical="center" wrapText="1"/>
    </xf>
    <xf numFmtId="0" fontId="3" fillId="0" borderId="341" xfId="638" applyFont="1" applyBorder="1" applyAlignment="1">
      <alignment horizontal="center" vertical="center"/>
    </xf>
    <xf numFmtId="165" fontId="3" fillId="2" borderId="341" xfId="638" applyNumberFormat="1" applyFont="1" applyFill="1" applyBorder="1" applyAlignment="1">
      <alignment horizontal="center" vertical="center"/>
    </xf>
    <xf numFmtId="166" fontId="3" fillId="2" borderId="341" xfId="638" applyNumberFormat="1" applyFont="1" applyFill="1" applyBorder="1" applyAlignment="1">
      <alignment horizontal="center" vertical="center"/>
    </xf>
    <xf numFmtId="0" fontId="3" fillId="2" borderId="341" xfId="638" applyFont="1" applyFill="1" applyBorder="1" applyAlignment="1">
      <alignment horizontal="center" vertical="center"/>
    </xf>
    <xf numFmtId="0" fontId="0" fillId="0" borderId="341" xfId="638" applyFont="1" applyBorder="1" applyAlignment="1">
      <alignment horizontal="center" vertical="center" wrapText="1"/>
    </xf>
    <xf numFmtId="0" fontId="3" fillId="0" borderId="342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164" fontId="3" fillId="2" borderId="346" xfId="638" applyNumberFormat="1" applyFont="1" applyFill="1" applyBorder="1" applyAlignment="1">
      <alignment horizontal="center" vertical="center"/>
    </xf>
    <xf numFmtId="165" fontId="3" fillId="2" borderId="345" xfId="638" applyNumberFormat="1" applyFont="1" applyFill="1" applyBorder="1" applyAlignment="1">
      <alignment horizontal="center" vertical="center"/>
    </xf>
    <xf numFmtId="166" fontId="3" fillId="2" borderId="345" xfId="638" applyNumberFormat="1" applyFont="1" applyFill="1" applyBorder="1" applyAlignment="1">
      <alignment horizontal="center" vertical="center"/>
    </xf>
    <xf numFmtId="0" fontId="3" fillId="2" borderId="345" xfId="638" applyFont="1" applyFill="1" applyBorder="1" applyAlignment="1">
      <alignment horizontal="center" vertical="center"/>
    </xf>
    <xf numFmtId="0" fontId="3" fillId="0" borderId="345" xfId="638" applyFont="1" applyBorder="1" applyAlignment="1">
      <alignment horizontal="center" vertical="center"/>
    </xf>
    <xf numFmtId="0" fontId="0" fillId="0" borderId="345" xfId="638" applyFont="1" applyBorder="1" applyAlignment="1">
      <alignment horizontal="center" vertical="center" wrapText="1"/>
    </xf>
    <xf numFmtId="0" fontId="3" fillId="0" borderId="55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164" fontId="3" fillId="2" borderId="348" xfId="638" applyNumberFormat="1" applyFont="1" applyFill="1" applyBorder="1" applyAlignment="1">
      <alignment horizontal="center" vertical="center"/>
    </xf>
    <xf numFmtId="165" fontId="3" fillId="2" borderId="347" xfId="638" applyNumberFormat="1" applyFont="1" applyFill="1" applyBorder="1" applyAlignment="1">
      <alignment horizontal="center" vertical="center"/>
    </xf>
    <xf numFmtId="166" fontId="3" fillId="2" borderId="347" xfId="638" applyNumberFormat="1" applyFont="1" applyFill="1" applyBorder="1" applyAlignment="1">
      <alignment horizontal="center" vertical="center"/>
    </xf>
    <xf numFmtId="0" fontId="3" fillId="2" borderId="347" xfId="638" applyFont="1" applyFill="1" applyBorder="1" applyAlignment="1">
      <alignment horizontal="center" vertical="center"/>
    </xf>
    <xf numFmtId="0" fontId="3" fillId="0" borderId="347" xfId="638" applyFont="1" applyBorder="1" applyAlignment="1">
      <alignment horizontal="center" vertical="center"/>
    </xf>
    <xf numFmtId="0" fontId="0" fillId="0" borderId="347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25" xfId="638" applyFont="1" applyBorder="1" applyAlignment="1">
      <alignment horizontal="center" vertical="center"/>
    </xf>
    <xf numFmtId="0" fontId="3" fillId="0" borderId="26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164" fontId="3" fillId="2" borderId="354" xfId="638" applyNumberFormat="1" applyFont="1" applyFill="1" applyBorder="1" applyAlignment="1">
      <alignment horizontal="center" vertical="center"/>
    </xf>
    <xf numFmtId="165" fontId="3" fillId="2" borderId="355" xfId="638" applyNumberFormat="1" applyFont="1" applyFill="1" applyBorder="1" applyAlignment="1">
      <alignment horizontal="center" vertical="center"/>
    </xf>
    <xf numFmtId="166" fontId="3" fillId="2" borderId="355" xfId="638" applyNumberFormat="1" applyFont="1" applyFill="1" applyBorder="1" applyAlignment="1">
      <alignment horizontal="center" vertical="center"/>
    </xf>
    <xf numFmtId="0" fontId="3" fillId="2" borderId="355" xfId="638" applyFont="1" applyFill="1" applyBorder="1" applyAlignment="1">
      <alignment horizontal="center" vertical="center"/>
    </xf>
    <xf numFmtId="0" fontId="3" fillId="0" borderId="355" xfId="638" applyFont="1" applyBorder="1" applyAlignment="1">
      <alignment horizontal="center" vertical="center"/>
    </xf>
    <xf numFmtId="0" fontId="0" fillId="0" borderId="355" xfId="638" applyFont="1" applyBorder="1" applyAlignment="1">
      <alignment horizontal="center" vertical="center" wrapText="1"/>
    </xf>
    <xf numFmtId="0" fontId="3" fillId="0" borderId="35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25" xfId="638" applyFont="1" applyBorder="1" applyAlignment="1">
      <alignment horizontal="center" vertical="center"/>
    </xf>
    <xf numFmtId="0" fontId="3" fillId="0" borderId="2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164" fontId="3" fillId="2" borderId="359" xfId="638" applyNumberFormat="1" applyFont="1" applyFill="1" applyBorder="1" applyAlignment="1">
      <alignment horizontal="center" vertical="center"/>
    </xf>
    <xf numFmtId="165" fontId="3" fillId="2" borderId="360" xfId="638" applyNumberFormat="1" applyFont="1" applyFill="1" applyBorder="1" applyAlignment="1">
      <alignment horizontal="center" vertical="center"/>
    </xf>
    <xf numFmtId="166" fontId="3" fillId="2" borderId="360" xfId="638" applyNumberFormat="1" applyFont="1" applyFill="1" applyBorder="1" applyAlignment="1">
      <alignment horizontal="center" vertical="center"/>
    </xf>
    <xf numFmtId="0" fontId="3" fillId="2" borderId="360" xfId="638" applyFont="1" applyFill="1" applyBorder="1" applyAlignment="1">
      <alignment horizontal="center" vertical="center"/>
    </xf>
    <xf numFmtId="0" fontId="3" fillId="0" borderId="360" xfId="638" applyFont="1" applyBorder="1" applyAlignment="1">
      <alignment horizontal="center" vertical="center"/>
    </xf>
    <xf numFmtId="0" fontId="0" fillId="0" borderId="360" xfId="638" applyFont="1" applyBorder="1" applyAlignment="1">
      <alignment horizontal="center" vertical="center" wrapText="1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363" xfId="638" applyFont="1" applyBorder="1" applyAlignment="1">
      <alignment horizontal="center" vertical="center"/>
    </xf>
    <xf numFmtId="164" fontId="3" fillId="2" borderId="364" xfId="638" applyNumberFormat="1" applyFont="1" applyFill="1" applyBorder="1" applyAlignment="1">
      <alignment horizontal="center" vertical="center"/>
    </xf>
    <xf numFmtId="165" fontId="3" fillId="2" borderId="363" xfId="638" applyNumberFormat="1" applyFont="1" applyFill="1" applyBorder="1" applyAlignment="1">
      <alignment horizontal="center" vertical="center"/>
    </xf>
    <xf numFmtId="166" fontId="3" fillId="2" borderId="363" xfId="638" applyNumberFormat="1" applyFont="1" applyFill="1" applyBorder="1" applyAlignment="1">
      <alignment horizontal="center" vertical="center"/>
    </xf>
    <xf numFmtId="0" fontId="3" fillId="2" borderId="363" xfId="638" applyFont="1" applyFill="1" applyBorder="1" applyAlignment="1">
      <alignment horizontal="center" vertical="center"/>
    </xf>
    <xf numFmtId="0" fontId="0" fillId="0" borderId="363" xfId="638" applyFont="1" applyBorder="1" applyAlignment="1">
      <alignment horizontal="center" vertical="center" wrapText="1"/>
    </xf>
    <xf numFmtId="164" fontId="3" fillId="2" borderId="365" xfId="638" applyNumberFormat="1" applyFont="1" applyFill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18" xfId="638" applyFont="1" applyBorder="1" applyAlignment="1">
      <alignment horizontal="center" vertical="center"/>
    </xf>
    <xf numFmtId="0" fontId="3" fillId="0" borderId="53" xfId="638" applyFont="1" applyBorder="1" applyAlignment="1">
      <alignment horizontal="center" vertical="center"/>
    </xf>
    <xf numFmtId="0" fontId="3" fillId="0" borderId="33" xfId="638" applyFont="1" applyBorder="1" applyAlignment="1">
      <alignment horizontal="center" vertical="center"/>
    </xf>
    <xf numFmtId="0" fontId="3" fillId="0" borderId="54" xfId="638" applyFont="1" applyBorder="1" applyAlignment="1">
      <alignment horizontal="center" vertical="center"/>
    </xf>
    <xf numFmtId="0" fontId="3" fillId="0" borderId="338" xfId="638" applyFont="1" applyBorder="1" applyAlignment="1">
      <alignment horizontal="center" vertical="center"/>
    </xf>
    <xf numFmtId="0" fontId="3" fillId="0" borderId="25" xfId="638" applyFont="1" applyBorder="1" applyAlignment="1">
      <alignment horizontal="center" vertical="center"/>
    </xf>
    <xf numFmtId="0" fontId="3" fillId="0" borderId="339" xfId="638" applyFont="1" applyBorder="1" applyAlignment="1">
      <alignment horizontal="center" vertical="center"/>
    </xf>
    <xf numFmtId="0" fontId="3" fillId="0" borderId="26" xfId="638" applyFont="1" applyBorder="1" applyAlignment="1">
      <alignment horizontal="center" vertical="center"/>
    </xf>
    <xf numFmtId="0" fontId="3" fillId="0" borderId="61" xfId="638" applyFont="1" applyBorder="1" applyAlignment="1">
      <alignment horizontal="center" vertical="center"/>
    </xf>
    <xf numFmtId="0" fontId="3" fillId="0" borderId="64" xfId="638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/>
    </xf>
    <xf numFmtId="0" fontId="3" fillId="0" borderId="62" xfId="638" applyFont="1" applyBorder="1" applyAlignment="1">
      <alignment horizontal="center" vertical="center"/>
    </xf>
    <xf numFmtId="0" fontId="3" fillId="0" borderId="350" xfId="638" applyFont="1" applyBorder="1" applyAlignment="1">
      <alignment horizontal="center" vertical="center"/>
    </xf>
    <xf numFmtId="0" fontId="3" fillId="0" borderId="351" xfId="638" applyFont="1" applyBorder="1" applyAlignment="1">
      <alignment horizontal="center" vertical="center"/>
    </xf>
    <xf numFmtId="0" fontId="3" fillId="0" borderId="55" xfId="638" applyFont="1" applyBorder="1" applyAlignment="1">
      <alignment horizontal="center" vertical="center"/>
    </xf>
    <xf numFmtId="0" fontId="3" fillId="0" borderId="341" xfId="638" applyFont="1" applyBorder="1" applyAlignment="1">
      <alignment horizontal="center" vertical="center"/>
    </xf>
    <xf numFmtId="0" fontId="3" fillId="0" borderId="56" xfId="638" applyFont="1" applyBorder="1" applyAlignment="1">
      <alignment horizontal="center" vertical="center"/>
    </xf>
    <xf numFmtId="0" fontId="3" fillId="0" borderId="332" xfId="638" applyFont="1" applyBorder="1" applyAlignment="1">
      <alignment horizontal="center" vertical="center"/>
    </xf>
    <xf numFmtId="0" fontId="3" fillId="0" borderId="323" xfId="638" applyFont="1" applyBorder="1" applyAlignment="1">
      <alignment horizontal="center" vertical="center"/>
    </xf>
    <xf numFmtId="0" fontId="3" fillId="0" borderId="320" xfId="638" applyFont="1" applyBorder="1" applyAlignment="1">
      <alignment horizontal="center" vertical="center"/>
    </xf>
    <xf numFmtId="0" fontId="3" fillId="0" borderId="324" xfId="638" applyFont="1" applyBorder="1" applyAlignment="1">
      <alignment horizontal="center" vertical="center"/>
    </xf>
    <xf numFmtId="0" fontId="3" fillId="0" borderId="325" xfId="638" applyFont="1" applyBorder="1" applyAlignment="1">
      <alignment horizontal="center" vertical="center"/>
    </xf>
    <xf numFmtId="0" fontId="3" fillId="0" borderId="327" xfId="638" applyFont="1" applyBorder="1" applyAlignment="1">
      <alignment horizontal="center" vertical="center"/>
    </xf>
    <xf numFmtId="0" fontId="3" fillId="0" borderId="69" xfId="638" applyFont="1" applyBorder="1" applyAlignment="1">
      <alignment horizontal="center" vertical="center"/>
    </xf>
    <xf numFmtId="0" fontId="3" fillId="0" borderId="328" xfId="638" applyFont="1" applyBorder="1" applyAlignment="1">
      <alignment horizontal="center" vertical="center"/>
    </xf>
    <xf numFmtId="0" fontId="3" fillId="0" borderId="70" xfId="638" applyFont="1" applyBorder="1" applyAlignment="1">
      <alignment horizontal="center" vertical="center"/>
    </xf>
    <xf numFmtId="0" fontId="3" fillId="0" borderId="326" xfId="638" applyFont="1" applyBorder="1" applyAlignment="1">
      <alignment horizontal="center" vertical="center"/>
    </xf>
    <xf numFmtId="0" fontId="3" fillId="0" borderId="307" xfId="638" applyFont="1" applyBorder="1" applyAlignment="1">
      <alignment horizontal="center" vertical="center"/>
    </xf>
    <xf numFmtId="0" fontId="3" fillId="0" borderId="305" xfId="638" applyFont="1" applyBorder="1" applyAlignment="1">
      <alignment horizontal="center" vertical="center"/>
    </xf>
    <xf numFmtId="0" fontId="3" fillId="0" borderId="310" xfId="638" applyFont="1" applyBorder="1" applyAlignment="1">
      <alignment horizontal="center" vertical="center"/>
    </xf>
    <xf numFmtId="0" fontId="3" fillId="0" borderId="306" xfId="638" applyFont="1" applyBorder="1" applyAlignment="1">
      <alignment horizontal="center" vertical="center"/>
    </xf>
    <xf numFmtId="0" fontId="3" fillId="0" borderId="308" xfId="638" applyFont="1" applyBorder="1" applyAlignment="1">
      <alignment horizontal="center" vertical="center"/>
    </xf>
    <xf numFmtId="0" fontId="3" fillId="0" borderId="300" xfId="638" applyFont="1" applyBorder="1" applyAlignment="1">
      <alignment horizontal="center" vertical="center"/>
    </xf>
    <xf numFmtId="0" fontId="3" fillId="0" borderId="296" xfId="638" applyFont="1" applyBorder="1" applyAlignment="1">
      <alignment horizontal="center" vertical="center"/>
    </xf>
    <xf numFmtId="0" fontId="3" fillId="0" borderId="275" xfId="638" applyFont="1" applyBorder="1" applyAlignment="1">
      <alignment horizontal="center" vertical="center"/>
    </xf>
    <xf numFmtId="0" fontId="3" fillId="0" borderId="283" xfId="638" applyFont="1" applyBorder="1" applyAlignment="1">
      <alignment horizontal="center" vertical="center"/>
    </xf>
    <xf numFmtId="0" fontId="3" fillId="0" borderId="280" xfId="638" applyFont="1" applyBorder="1" applyAlignment="1">
      <alignment horizontal="center" vertical="center"/>
    </xf>
    <xf numFmtId="0" fontId="3" fillId="0" borderId="295" xfId="638" applyFont="1" applyBorder="1" applyAlignment="1">
      <alignment horizontal="center" vertical="center"/>
    </xf>
    <xf numFmtId="0" fontId="3" fillId="0" borderId="298" xfId="638" applyFont="1" applyBorder="1" applyAlignment="1">
      <alignment horizontal="center" vertical="center"/>
    </xf>
    <xf numFmtId="0" fontId="15" fillId="0" borderId="296" xfId="638" applyFont="1" applyBorder="1" applyAlignment="1">
      <alignment horizontal="center" vertical="center"/>
    </xf>
    <xf numFmtId="0" fontId="15" fillId="0" borderId="25" xfId="638" applyFont="1" applyBorder="1" applyAlignment="1">
      <alignment horizontal="center" vertical="center"/>
    </xf>
    <xf numFmtId="0" fontId="3" fillId="0" borderId="301" xfId="638" applyFont="1" applyBorder="1" applyAlignment="1">
      <alignment horizontal="center" vertical="center"/>
    </xf>
    <xf numFmtId="0" fontId="3" fillId="0" borderId="282" xfId="638" applyFont="1" applyBorder="1" applyAlignment="1">
      <alignment horizontal="center" vertical="center"/>
    </xf>
    <xf numFmtId="0" fontId="3" fillId="0" borderId="293" xfId="638" applyFont="1" applyBorder="1" applyAlignment="1">
      <alignment horizontal="center" vertical="center"/>
    </xf>
    <xf numFmtId="0" fontId="3" fillId="0" borderId="278" xfId="638" applyFont="1" applyBorder="1" applyAlignment="1">
      <alignment horizontal="center" vertical="center"/>
    </xf>
    <xf numFmtId="0" fontId="3" fillId="0" borderId="291" xfId="638" applyFont="1" applyBorder="1" applyAlignment="1">
      <alignment horizontal="center" vertical="center"/>
    </xf>
    <xf numFmtId="0" fontId="3" fillId="0" borderId="262" xfId="638" applyFont="1" applyBorder="1" applyAlignment="1">
      <alignment horizontal="center" vertical="center"/>
    </xf>
    <xf numFmtId="0" fontId="3" fillId="0" borderId="279" xfId="638" applyFont="1" applyBorder="1" applyAlignment="1">
      <alignment horizontal="center" vertical="center"/>
    </xf>
    <xf numFmtId="0" fontId="3" fillId="0" borderId="273" xfId="638" applyFont="1" applyBorder="1" applyAlignment="1">
      <alignment horizontal="center" vertical="center"/>
    </xf>
    <xf numFmtId="0" fontId="3" fillId="0" borderId="271" xfId="638" applyFont="1" applyBorder="1" applyAlignment="1">
      <alignment horizontal="center" vertical="center"/>
    </xf>
    <xf numFmtId="0" fontId="3" fillId="0" borderId="264" xfId="638" applyFont="1" applyBorder="1" applyAlignment="1">
      <alignment horizontal="center" vertical="center"/>
    </xf>
    <xf numFmtId="0" fontId="3" fillId="0" borderId="274" xfId="638" applyFont="1" applyBorder="1" applyAlignment="1">
      <alignment horizontal="center" vertical="center"/>
    </xf>
    <xf numFmtId="0" fontId="3" fillId="0" borderId="242" xfId="638" applyFont="1" applyBorder="1" applyAlignment="1">
      <alignment horizontal="center" vertical="center"/>
    </xf>
    <xf numFmtId="0" fontId="3" fillId="0" borderId="243" xfId="638" applyFont="1" applyBorder="1" applyAlignment="1">
      <alignment horizontal="center" vertical="center"/>
    </xf>
    <xf numFmtId="0" fontId="3" fillId="0" borderId="268" xfId="638" applyFont="1" applyBorder="1" applyAlignment="1">
      <alignment horizontal="center" vertical="center"/>
    </xf>
    <xf numFmtId="0" fontId="3" fillId="0" borderId="248" xfId="638" applyFont="1" applyBorder="1" applyAlignment="1">
      <alignment horizontal="center" vertical="center"/>
    </xf>
    <xf numFmtId="0" fontId="3" fillId="0" borderId="247" xfId="638" applyFont="1" applyBorder="1" applyAlignment="1">
      <alignment horizontal="center" vertical="center"/>
    </xf>
    <xf numFmtId="0" fontId="3" fillId="0" borderId="261" xfId="638" applyFont="1" applyBorder="1" applyAlignment="1">
      <alignment horizontal="center" vertical="center"/>
    </xf>
    <xf numFmtId="0" fontId="3" fillId="0" borderId="236" xfId="638" applyFont="1" applyBorder="1" applyAlignment="1">
      <alignment horizontal="center" vertical="center"/>
    </xf>
    <xf numFmtId="0" fontId="3" fillId="0" borderId="236" xfId="638" quotePrefix="1" applyFont="1" applyBorder="1" applyAlignment="1">
      <alignment horizontal="center" vertical="center"/>
    </xf>
    <xf numFmtId="0" fontId="3" fillId="0" borderId="237" xfId="638" applyFont="1" applyBorder="1" applyAlignment="1">
      <alignment horizontal="center" vertical="center"/>
    </xf>
    <xf numFmtId="0" fontId="15" fillId="0" borderId="236" xfId="638" applyFont="1" applyBorder="1" applyAlignment="1">
      <alignment horizontal="center" vertical="center"/>
    </xf>
    <xf numFmtId="0" fontId="15" fillId="0" borderId="61" xfId="638" applyFont="1" applyBorder="1" applyAlignment="1">
      <alignment horizontal="center" vertical="center"/>
    </xf>
    <xf numFmtId="0" fontId="15" fillId="0" borderId="69" xfId="638" applyFont="1" applyBorder="1" applyAlignment="1">
      <alignment horizontal="center" vertical="center"/>
    </xf>
    <xf numFmtId="0" fontId="3" fillId="0" borderId="222" xfId="638" applyFont="1" applyBorder="1" applyAlignment="1">
      <alignment horizontal="center" vertical="center"/>
    </xf>
    <xf numFmtId="0" fontId="3" fillId="0" borderId="223" xfId="638" applyFont="1" applyBorder="1" applyAlignment="1">
      <alignment horizontal="center" vertical="center"/>
    </xf>
    <xf numFmtId="0" fontId="3" fillId="0" borderId="225" xfId="638" applyFont="1" applyBorder="1" applyAlignment="1">
      <alignment horizontal="center" vertical="center"/>
    </xf>
    <xf numFmtId="0" fontId="3" fillId="0" borderId="229" xfId="638" applyFont="1" applyBorder="1" applyAlignment="1">
      <alignment horizontal="center" vertical="center"/>
    </xf>
    <xf numFmtId="0" fontId="3" fillId="0" borderId="219" xfId="638" applyFont="1" applyBorder="1" applyAlignment="1">
      <alignment horizontal="center" vertical="center"/>
    </xf>
    <xf numFmtId="0" fontId="3" fillId="0" borderId="220" xfId="638" applyFont="1" applyBorder="1" applyAlignment="1">
      <alignment horizontal="center" vertical="center"/>
    </xf>
    <xf numFmtId="0" fontId="3" fillId="0" borderId="224" xfId="638" applyFont="1" applyBorder="1" applyAlignment="1">
      <alignment horizontal="center" vertical="center"/>
    </xf>
    <xf numFmtId="0" fontId="3" fillId="0" borderId="215" xfId="638" applyFont="1" applyBorder="1" applyAlignment="1">
      <alignment horizontal="center" vertical="center"/>
    </xf>
    <xf numFmtId="0" fontId="3" fillId="0" borderId="214" xfId="638" applyFont="1" applyBorder="1" applyAlignment="1">
      <alignment horizontal="center" vertical="center"/>
    </xf>
    <xf numFmtId="0" fontId="3" fillId="0" borderId="217" xfId="638" applyFont="1" applyBorder="1" applyAlignment="1">
      <alignment horizontal="center" vertical="center"/>
    </xf>
    <xf numFmtId="0" fontId="3" fillId="0" borderId="210" xfId="638" applyFont="1" applyBorder="1" applyAlignment="1">
      <alignment horizontal="center" vertical="center"/>
    </xf>
    <xf numFmtId="0" fontId="3" fillId="0" borderId="211" xfId="638" applyFont="1" applyBorder="1" applyAlignment="1">
      <alignment horizontal="center" vertical="center"/>
    </xf>
    <xf numFmtId="0" fontId="3" fillId="0" borderId="208" xfId="638" applyFont="1" applyBorder="1" applyAlignment="1">
      <alignment horizontal="center" vertical="center"/>
    </xf>
    <xf numFmtId="0" fontId="3" fillId="0" borderId="209" xfId="638" applyFont="1" applyBorder="1" applyAlignment="1">
      <alignment horizontal="center" vertical="center"/>
    </xf>
    <xf numFmtId="0" fontId="3" fillId="0" borderId="196" xfId="638" applyFont="1" applyBorder="1" applyAlignment="1">
      <alignment horizontal="center" vertical="center"/>
    </xf>
    <xf numFmtId="0" fontId="3" fillId="0" borderId="198" xfId="638" applyFont="1" applyBorder="1" applyAlignment="1">
      <alignment horizontal="center" vertical="center"/>
    </xf>
    <xf numFmtId="0" fontId="3" fillId="0" borderId="197" xfId="638" applyFont="1" applyBorder="1" applyAlignment="1">
      <alignment horizontal="center" vertical="center"/>
    </xf>
    <xf numFmtId="0" fontId="3" fillId="0" borderId="199" xfId="638" applyFont="1" applyBorder="1" applyAlignment="1">
      <alignment horizontal="center" vertical="center"/>
    </xf>
    <xf numFmtId="0" fontId="3" fillId="0" borderId="190" xfId="638" applyFont="1" applyBorder="1" applyAlignment="1">
      <alignment horizontal="center" vertical="center"/>
    </xf>
    <xf numFmtId="0" fontId="3" fillId="0" borderId="191" xfId="638" applyFont="1" applyBorder="1" applyAlignment="1">
      <alignment horizontal="center" vertical="center"/>
    </xf>
    <xf numFmtId="0" fontId="3" fillId="0" borderId="176" xfId="638" applyFont="1" applyBorder="1" applyAlignment="1">
      <alignment horizontal="center" vertical="center"/>
    </xf>
    <xf numFmtId="0" fontId="3" fillId="0" borderId="177" xfId="638" applyFont="1" applyBorder="1" applyAlignment="1">
      <alignment horizontal="center" vertical="center"/>
    </xf>
    <xf numFmtId="0" fontId="3" fillId="0" borderId="178" xfId="638" applyFont="1" applyBorder="1" applyAlignment="1">
      <alignment horizontal="center" vertical="center"/>
    </xf>
    <xf numFmtId="0" fontId="3" fillId="0" borderId="163" xfId="638" applyFont="1" applyBorder="1" applyAlignment="1">
      <alignment horizontal="center" vertical="center"/>
    </xf>
    <xf numFmtId="0" fontId="3" fillId="0" borderId="171" xfId="638" applyFont="1" applyBorder="1" applyAlignment="1">
      <alignment horizontal="center" vertical="center"/>
    </xf>
    <xf numFmtId="0" fontId="15" fillId="0" borderId="57" xfId="638" applyFont="1" applyBorder="1" applyAlignment="1">
      <alignment horizontal="center" vertical="center"/>
    </xf>
    <xf numFmtId="0" fontId="15" fillId="0" borderId="53" xfId="638" applyFont="1" applyBorder="1" applyAlignment="1">
      <alignment horizontal="center" vertical="center"/>
    </xf>
    <xf numFmtId="0" fontId="3" fillId="0" borderId="162" xfId="638" applyFont="1" applyBorder="1" applyAlignment="1">
      <alignment horizontal="center" vertical="center"/>
    </xf>
    <xf numFmtId="0" fontId="3" fillId="0" borderId="57" xfId="638" quotePrefix="1" applyFont="1" applyBorder="1" applyAlignment="1">
      <alignment horizontal="center" vertical="center"/>
    </xf>
    <xf numFmtId="0" fontId="3" fillId="0" borderId="57" xfId="638" applyFont="1" applyBorder="1" applyAlignment="1">
      <alignment horizontal="center" vertical="center" wrapText="1"/>
    </xf>
    <xf numFmtId="0" fontId="3" fillId="0" borderId="167" xfId="638" applyFont="1" applyBorder="1" applyAlignment="1">
      <alignment horizontal="center" vertical="center"/>
    </xf>
    <xf numFmtId="0" fontId="3" fillId="0" borderId="168" xfId="638" applyFont="1" applyBorder="1" applyAlignment="1">
      <alignment horizontal="center" vertical="center"/>
    </xf>
    <xf numFmtId="0" fontId="3" fillId="0" borderId="156" xfId="638" applyFont="1" applyBorder="1" applyAlignment="1">
      <alignment horizontal="center" vertical="center"/>
    </xf>
    <xf numFmtId="0" fontId="3" fillId="0" borderId="157" xfId="638" applyFont="1" applyBorder="1" applyAlignment="1">
      <alignment horizontal="center" vertical="center"/>
    </xf>
    <xf numFmtId="0" fontId="3" fillId="0" borderId="160" xfId="638" applyFont="1" applyBorder="1" applyAlignment="1">
      <alignment horizontal="center" vertical="center"/>
    </xf>
    <xf numFmtId="0" fontId="3" fillId="0" borderId="161" xfId="638" applyFont="1" applyBorder="1" applyAlignment="1">
      <alignment horizontal="center" vertical="center"/>
    </xf>
    <xf numFmtId="0" fontId="3" fillId="0" borderId="101" xfId="638" applyFont="1" applyBorder="1" applyAlignment="1">
      <alignment horizontal="center" vertical="center"/>
    </xf>
    <xf numFmtId="0" fontId="3" fillId="0" borderId="102" xfId="638" applyFont="1" applyBorder="1" applyAlignment="1">
      <alignment horizontal="center" vertical="center"/>
    </xf>
    <xf numFmtId="0" fontId="3" fillId="0" borderId="141" xfId="638" applyFont="1" applyBorder="1" applyAlignment="1">
      <alignment horizontal="center" vertical="center"/>
    </xf>
    <xf numFmtId="0" fontId="3" fillId="0" borderId="142" xfId="638" applyFont="1" applyBorder="1" applyAlignment="1">
      <alignment horizontal="center" vertical="center"/>
    </xf>
    <xf numFmtId="0" fontId="3" fillId="0" borderId="151" xfId="638" applyFont="1" applyBorder="1" applyAlignment="1">
      <alignment horizontal="center" vertical="center"/>
    </xf>
    <xf numFmtId="0" fontId="3" fillId="0" borderId="128" xfId="638" applyFont="1" applyBorder="1" applyAlignment="1">
      <alignment horizontal="center" vertical="center"/>
    </xf>
    <xf numFmtId="0" fontId="3" fillId="0" borderId="129" xfId="638" applyFont="1" applyBorder="1" applyAlignment="1">
      <alignment horizontal="center" vertical="center"/>
    </xf>
    <xf numFmtId="0" fontId="3" fillId="0" borderId="118" xfId="638" applyFont="1" applyBorder="1" applyAlignment="1">
      <alignment horizontal="center" vertical="center"/>
    </xf>
    <xf numFmtId="0" fontId="3" fillId="0" borderId="119" xfId="638" applyFont="1" applyBorder="1" applyAlignment="1">
      <alignment horizontal="center" vertical="center"/>
    </xf>
    <xf numFmtId="0" fontId="3" fillId="0" borderId="108" xfId="638" applyFont="1" applyBorder="1" applyAlignment="1">
      <alignment horizontal="center" vertical="center"/>
    </xf>
    <xf numFmtId="0" fontId="3" fillId="0" borderId="110" xfId="638" applyFont="1" applyBorder="1" applyAlignment="1">
      <alignment horizontal="center" vertical="center"/>
    </xf>
    <xf numFmtId="0" fontId="3" fillId="0" borderId="82" xfId="638" applyFont="1" applyBorder="1" applyAlignment="1">
      <alignment horizontal="center" vertical="center"/>
    </xf>
    <xf numFmtId="0" fontId="3" fillId="0" borderId="83" xfId="638" applyFont="1" applyBorder="1" applyAlignment="1">
      <alignment horizontal="center" vertical="center"/>
    </xf>
    <xf numFmtId="0" fontId="3" fillId="0" borderId="58" xfId="638" applyFont="1" applyBorder="1" applyAlignment="1">
      <alignment horizontal="center" vertical="center"/>
    </xf>
    <xf numFmtId="0" fontId="3" fillId="0" borderId="59" xfId="638" applyFont="1" applyBorder="1" applyAlignment="1">
      <alignment horizontal="center" vertical="center"/>
    </xf>
    <xf numFmtId="0" fontId="5" fillId="4" borderId="10" xfId="640" applyFont="1" applyFill="1" applyBorder="1" applyAlignment="1">
      <alignment horizontal="center" vertical="center" wrapText="1"/>
    </xf>
    <xf numFmtId="0" fontId="5" fillId="4" borderId="15" xfId="640" applyFont="1" applyFill="1" applyBorder="1" applyAlignment="1">
      <alignment horizontal="center" vertical="center" wrapText="1"/>
    </xf>
    <xf numFmtId="0" fontId="5" fillId="4" borderId="11" xfId="641" applyFont="1" applyFill="1" applyBorder="1" applyAlignment="1">
      <alignment horizontal="center" vertical="center" wrapText="1"/>
    </xf>
    <xf numFmtId="0" fontId="20" fillId="0" borderId="8" xfId="640" applyFont="1" applyFill="1" applyBorder="1" applyAlignment="1">
      <alignment horizontal="center" vertical="center" wrapText="1"/>
    </xf>
    <xf numFmtId="0" fontId="5" fillId="4" borderId="9" xfId="640" applyFont="1" applyFill="1" applyBorder="1" applyAlignment="1">
      <alignment horizontal="center" vertical="center" wrapText="1"/>
    </xf>
    <xf numFmtId="0" fontId="5" fillId="4" borderId="14" xfId="640" applyFont="1" applyFill="1" applyBorder="1" applyAlignment="1">
      <alignment horizontal="center" vertical="center" wrapText="1"/>
    </xf>
    <xf numFmtId="165" fontId="5" fillId="4" borderId="10" xfId="640" applyNumberFormat="1" applyFont="1" applyFill="1" applyBorder="1" applyAlignment="1">
      <alignment horizontal="center" vertical="center" wrapText="1"/>
    </xf>
    <xf numFmtId="165" fontId="5" fillId="4" borderId="15" xfId="640" applyNumberFormat="1" applyFont="1" applyFill="1" applyBorder="1" applyAlignment="1">
      <alignment horizontal="center" vertical="center" wrapText="1"/>
    </xf>
    <xf numFmtId="166" fontId="5" fillId="4" borderId="10" xfId="640" applyNumberFormat="1" applyFont="1" applyFill="1" applyBorder="1" applyAlignment="1">
      <alignment horizontal="center" vertical="center" wrapText="1"/>
    </xf>
    <xf numFmtId="166" fontId="5" fillId="4" borderId="15" xfId="640" applyNumberFormat="1" applyFont="1" applyFill="1" applyBorder="1" applyAlignment="1">
      <alignment horizontal="center" vertical="center" wrapText="1"/>
    </xf>
    <xf numFmtId="0" fontId="5" fillId="4" borderId="10" xfId="640" applyNumberFormat="1" applyFont="1" applyFill="1" applyBorder="1" applyAlignment="1">
      <alignment horizontal="center" vertical="center" wrapText="1"/>
    </xf>
    <xf numFmtId="0" fontId="5" fillId="4" borderId="15" xfId="640" applyNumberFormat="1" applyFont="1" applyFill="1" applyBorder="1" applyAlignment="1">
      <alignment horizontal="center" vertical="center" wrapText="1"/>
    </xf>
    <xf numFmtId="0" fontId="5" fillId="4" borderId="13" xfId="640" applyFont="1" applyFill="1" applyBorder="1" applyAlignment="1">
      <alignment horizontal="center" vertical="center" wrapText="1"/>
    </xf>
    <xf numFmtId="0" fontId="5" fillId="4" borderId="17" xfId="640" applyFont="1" applyFill="1" applyBorder="1" applyAlignment="1">
      <alignment horizontal="center" vertical="center" wrapText="1"/>
    </xf>
    <xf numFmtId="0" fontId="5" fillId="4" borderId="12" xfId="640" applyFont="1" applyFill="1" applyBorder="1" applyAlignment="1">
      <alignment horizontal="center" vertical="center" wrapText="1"/>
    </xf>
    <xf numFmtId="0" fontId="6" fillId="0" borderId="8" xfId="640" applyFont="1" applyFill="1" applyBorder="1" applyAlignment="1">
      <alignment horizontal="center" vertical="center" wrapText="1"/>
    </xf>
    <xf numFmtId="0" fontId="3" fillId="0" borderId="74" xfId="638" applyFont="1" applyBorder="1" applyAlignment="1">
      <alignment horizontal="center" vertical="center"/>
    </xf>
    <xf numFmtId="0" fontId="3" fillId="0" borderId="75" xfId="638" applyFont="1" applyBorder="1" applyAlignment="1">
      <alignment horizontal="center" vertical="center"/>
    </xf>
    <xf numFmtId="0" fontId="3" fillId="0" borderId="79" xfId="638" applyFont="1" applyBorder="1" applyAlignment="1">
      <alignment horizontal="center" vertical="center"/>
    </xf>
    <xf numFmtId="0" fontId="3" fillId="0" borderId="80" xfId="638" applyFont="1" applyBorder="1" applyAlignment="1">
      <alignment horizontal="center" vertical="center"/>
    </xf>
    <xf numFmtId="0" fontId="3" fillId="0" borderId="84" xfId="638" applyFont="1" applyBorder="1" applyAlignment="1">
      <alignment horizontal="center" vertical="center"/>
    </xf>
    <xf numFmtId="0" fontId="3" fillId="0" borderId="91" xfId="638" applyFont="1" applyBorder="1" applyAlignment="1">
      <alignment horizontal="center" vertical="center"/>
    </xf>
    <xf numFmtId="0" fontId="3" fillId="0" borderId="98" xfId="638" applyFont="1" applyBorder="1" applyAlignment="1">
      <alignment horizontal="center" vertical="center"/>
    </xf>
    <xf numFmtId="0" fontId="3" fillId="0" borderId="89" xfId="638" applyFont="1" applyBorder="1" applyAlignment="1">
      <alignment horizontal="center" vertical="center"/>
    </xf>
    <xf numFmtId="0" fontId="3" fillId="0" borderId="85" xfId="638" applyFont="1" applyBorder="1" applyAlignment="1">
      <alignment horizontal="center" vertical="center"/>
    </xf>
    <xf numFmtId="0" fontId="3" fillId="0" borderId="92" xfId="638" applyFont="1" applyBorder="1" applyAlignment="1">
      <alignment horizontal="center" vertical="center"/>
    </xf>
    <xf numFmtId="0" fontId="3" fillId="0" borderId="90" xfId="638" applyFont="1" applyBorder="1" applyAlignment="1">
      <alignment horizontal="center" vertical="center"/>
    </xf>
    <xf numFmtId="0" fontId="3" fillId="0" borderId="99" xfId="638" applyFont="1" applyBorder="1" applyAlignment="1">
      <alignment horizontal="center" vertical="center"/>
    </xf>
    <xf numFmtId="0" fontId="3" fillId="0" borderId="120" xfId="638" applyFont="1" applyBorder="1" applyAlignment="1">
      <alignment horizontal="center" vertical="center"/>
    </xf>
    <xf numFmtId="0" fontId="3" fillId="0" borderId="121" xfId="638" applyFont="1" applyBorder="1" applyAlignment="1">
      <alignment horizontal="center" vertical="center"/>
    </xf>
    <xf numFmtId="0" fontId="3" fillId="0" borderId="135" xfId="638" applyFont="1" applyBorder="1" applyAlignment="1">
      <alignment horizontal="center" vertical="center"/>
    </xf>
    <xf numFmtId="0" fontId="3" fillId="0" borderId="136" xfId="638" applyFont="1" applyBorder="1" applyAlignment="1">
      <alignment horizontal="center" vertical="center"/>
    </xf>
    <xf numFmtId="0" fontId="3" fillId="0" borderId="144" xfId="638" applyFont="1" applyBorder="1" applyAlignment="1">
      <alignment horizontal="center" vertical="center"/>
    </xf>
    <xf numFmtId="0" fontId="3" fillId="0" borderId="145" xfId="638" applyFont="1" applyBorder="1" applyAlignment="1">
      <alignment horizontal="center" vertical="center"/>
    </xf>
    <xf numFmtId="0" fontId="3" fillId="0" borderId="152" xfId="638" applyFont="1" applyBorder="1" applyAlignment="1">
      <alignment horizontal="center" vertical="center"/>
    </xf>
    <xf numFmtId="0" fontId="3" fillId="0" borderId="173" xfId="638" applyFont="1" applyBorder="1" applyAlignment="1">
      <alignment horizontal="center" vertical="center"/>
    </xf>
    <xf numFmtId="0" fontId="3" fillId="0" borderId="175" xfId="638" applyFont="1" applyBorder="1" applyAlignment="1">
      <alignment horizontal="center" vertical="center"/>
    </xf>
    <xf numFmtId="0" fontId="3" fillId="0" borderId="182" xfId="638" applyFont="1" applyBorder="1" applyAlignment="1">
      <alignment horizontal="center" vertical="center"/>
    </xf>
    <xf numFmtId="0" fontId="3" fillId="0" borderId="183" xfId="638" applyFont="1" applyBorder="1" applyAlignment="1">
      <alignment horizontal="center" vertical="center"/>
    </xf>
    <xf numFmtId="0" fontId="3" fillId="0" borderId="203" xfId="638" applyFont="1" applyBorder="1" applyAlignment="1">
      <alignment horizontal="center" vertical="center"/>
    </xf>
    <xf numFmtId="0" fontId="3" fillId="0" borderId="204" xfId="638" applyFont="1" applyBorder="1" applyAlignment="1">
      <alignment horizontal="center" vertical="center"/>
    </xf>
    <xf numFmtId="0" fontId="3" fillId="0" borderId="218" xfId="638" applyFont="1" applyBorder="1" applyAlignment="1">
      <alignment horizontal="center" vertical="center"/>
    </xf>
    <xf numFmtId="0" fontId="3" fillId="0" borderId="226" xfId="638" applyFont="1" applyBorder="1" applyAlignment="1">
      <alignment horizontal="center" vertical="center"/>
    </xf>
    <xf numFmtId="0" fontId="3" fillId="0" borderId="227" xfId="638" applyFont="1" applyBorder="1" applyAlignment="1">
      <alignment horizontal="center" vertical="center"/>
    </xf>
    <xf numFmtId="0" fontId="3" fillId="0" borderId="230" xfId="638" applyFont="1" applyBorder="1" applyAlignment="1">
      <alignment horizontal="center" vertical="center"/>
    </xf>
    <xf numFmtId="0" fontId="3" fillId="0" borderId="257" xfId="638" applyFont="1" applyBorder="1" applyAlignment="1">
      <alignment horizontal="center" vertical="center"/>
    </xf>
    <xf numFmtId="0" fontId="3" fillId="0" borderId="258" xfId="638" applyFont="1" applyBorder="1" applyAlignment="1">
      <alignment horizontal="center" vertical="center"/>
    </xf>
    <xf numFmtId="0" fontId="3" fillId="0" borderId="260" xfId="638" applyFont="1" applyBorder="1" applyAlignment="1">
      <alignment horizontal="center" vertical="center"/>
    </xf>
    <xf numFmtId="0" fontId="3" fillId="0" borderId="265" xfId="638" applyFont="1" applyBorder="1" applyAlignment="1">
      <alignment horizontal="center" vertical="center"/>
    </xf>
    <xf numFmtId="0" fontId="3" fillId="0" borderId="276" xfId="638" applyFont="1" applyBorder="1" applyAlignment="1">
      <alignment horizontal="center" vertical="center"/>
    </xf>
    <xf numFmtId="0" fontId="3" fillId="0" borderId="263" xfId="638" applyFont="1" applyBorder="1" applyAlignment="1">
      <alignment horizontal="center" vertical="center"/>
    </xf>
    <xf numFmtId="0" fontId="3" fillId="0" borderId="272" xfId="638" applyFont="1" applyBorder="1" applyAlignment="1">
      <alignment horizontal="center" vertical="center"/>
    </xf>
    <xf numFmtId="0" fontId="3" fillId="0" borderId="287" xfId="638" applyFont="1" applyBorder="1" applyAlignment="1">
      <alignment horizontal="center" vertical="center"/>
    </xf>
    <xf numFmtId="0" fontId="3" fillId="0" borderId="292" xfId="638" applyFont="1" applyBorder="1" applyAlignment="1">
      <alignment horizontal="center" vertical="center"/>
    </xf>
    <xf numFmtId="0" fontId="3" fillId="0" borderId="288" xfId="638" applyFont="1" applyBorder="1" applyAlignment="1">
      <alignment horizontal="center" vertical="center"/>
    </xf>
    <xf numFmtId="0" fontId="3" fillId="0" borderId="269" xfId="638" applyFont="1" applyBorder="1" applyAlignment="1">
      <alignment horizontal="center" vertical="center"/>
    </xf>
    <xf numFmtId="0" fontId="3" fillId="0" borderId="284" xfId="638" applyFont="1" applyBorder="1" applyAlignment="1">
      <alignment horizontal="center" vertical="center"/>
    </xf>
    <xf numFmtId="0" fontId="3" fillId="0" borderId="296" xfId="638" quotePrefix="1" applyFont="1" applyBorder="1" applyAlignment="1">
      <alignment horizontal="center" vertical="center"/>
    </xf>
    <xf numFmtId="0" fontId="15" fillId="0" borderId="18" xfId="638" applyFont="1" applyBorder="1" applyAlignment="1">
      <alignment horizontal="center" vertical="center"/>
    </xf>
    <xf numFmtId="0" fontId="3" fillId="0" borderId="297" xfId="638" applyFont="1" applyBorder="1" applyAlignment="1">
      <alignment horizontal="center" vertical="center"/>
    </xf>
    <xf numFmtId="0" fontId="3" fillId="0" borderId="294" xfId="638" applyFont="1" applyBorder="1" applyAlignment="1">
      <alignment horizontal="center" vertical="center"/>
    </xf>
    <xf numFmtId="0" fontId="3" fillId="0" borderId="311" xfId="638" applyFont="1" applyBorder="1" applyAlignment="1">
      <alignment horizontal="center" vertical="center"/>
    </xf>
    <xf numFmtId="0" fontId="3" fillId="0" borderId="318" xfId="638" applyFont="1" applyBorder="1" applyAlignment="1">
      <alignment horizontal="center" vertical="center"/>
    </xf>
    <xf numFmtId="0" fontId="3" fillId="0" borderId="319" xfId="638" applyFont="1" applyBorder="1" applyAlignment="1">
      <alignment horizontal="center" vertical="center"/>
    </xf>
    <xf numFmtId="0" fontId="3" fillId="0" borderId="333" xfId="638" applyFont="1" applyBorder="1" applyAlignment="1">
      <alignment horizontal="center" vertical="center"/>
    </xf>
    <xf numFmtId="0" fontId="3" fillId="0" borderId="321" xfId="638" applyFont="1" applyBorder="1" applyAlignment="1">
      <alignment horizontal="center" vertical="center"/>
    </xf>
    <xf numFmtId="0" fontId="3" fillId="0" borderId="347" xfId="638" applyFont="1" applyBorder="1" applyAlignment="1">
      <alignment horizontal="center" vertical="center"/>
    </xf>
    <xf numFmtId="0" fontId="3" fillId="0" borderId="349" xfId="638" applyFont="1" applyBorder="1" applyAlignment="1">
      <alignment horizontal="center" vertical="center"/>
    </xf>
    <xf numFmtId="0" fontId="3" fillId="0" borderId="357" xfId="638" applyFont="1" applyBorder="1" applyAlignment="1">
      <alignment horizontal="center" vertical="center"/>
    </xf>
    <xf numFmtId="0" fontId="3" fillId="0" borderId="358" xfId="638" applyFont="1" applyBorder="1" applyAlignment="1">
      <alignment horizontal="center" vertical="center"/>
    </xf>
    <xf numFmtId="0" fontId="3" fillId="0" borderId="342" xfId="638" applyFont="1" applyBorder="1" applyAlignment="1">
      <alignment horizontal="center" vertical="center"/>
    </xf>
    <xf numFmtId="0" fontId="3" fillId="0" borderId="361" xfId="638" applyFont="1" applyBorder="1" applyAlignment="1">
      <alignment horizontal="center" vertical="center"/>
    </xf>
    <xf numFmtId="0" fontId="3" fillId="0" borderId="362" xfId="638" applyFont="1" applyBorder="1" applyAlignment="1">
      <alignment horizontal="center" vertical="center"/>
    </xf>
    <xf numFmtId="0" fontId="3" fillId="0" borderId="352" xfId="638" applyFont="1" applyBorder="1" applyAlignment="1">
      <alignment horizontal="center" vertical="center"/>
    </xf>
    <xf numFmtId="0" fontId="3" fillId="0" borderId="353" xfId="638" applyFont="1" applyBorder="1" applyAlignment="1">
      <alignment horizontal="center" vertical="center"/>
    </xf>
    <xf numFmtId="0" fontId="3" fillId="0" borderId="340" xfId="638" applyFont="1" applyBorder="1" applyAlignment="1">
      <alignment horizontal="center" vertical="center"/>
    </xf>
    <xf numFmtId="0" fontId="3" fillId="0" borderId="344" xfId="638" applyFont="1" applyBorder="1" applyAlignment="1">
      <alignment horizontal="center" vertical="center"/>
    </xf>
    <xf numFmtId="0" fontId="3" fillId="0" borderId="331" xfId="638" applyFont="1" applyBorder="1" applyAlignment="1">
      <alignment horizontal="center" vertical="center"/>
    </xf>
    <xf numFmtId="0" fontId="3" fillId="0" borderId="334" xfId="638" applyFont="1" applyBorder="1" applyAlignment="1">
      <alignment horizontal="center" vertical="center"/>
    </xf>
    <xf numFmtId="0" fontId="3" fillId="0" borderId="289" xfId="638" applyFont="1" applyBorder="1" applyAlignment="1">
      <alignment horizontal="center" vertical="center"/>
    </xf>
    <xf numFmtId="0" fontId="3" fillId="0" borderId="290" xfId="638" applyFont="1" applyBorder="1" applyAlignment="1">
      <alignment horizontal="center" vertical="center"/>
    </xf>
    <xf numFmtId="0" fontId="3" fillId="0" borderId="239" xfId="638" applyFont="1" applyBorder="1" applyAlignment="1">
      <alignment horizontal="center" vertical="center"/>
    </xf>
    <xf numFmtId="0" fontId="3" fillId="0" borderId="233" xfId="638" applyFont="1" applyBorder="1" applyAlignment="1">
      <alignment horizontal="center" vertical="center"/>
    </xf>
    <xf numFmtId="0" fontId="3" fillId="0" borderId="240" xfId="638" applyFont="1" applyBorder="1" applyAlignment="1">
      <alignment horizontal="center" vertical="center"/>
    </xf>
    <xf numFmtId="0" fontId="3" fillId="0" borderId="179" xfId="638" applyFont="1" applyBorder="1" applyAlignment="1">
      <alignment horizontal="center" vertical="center"/>
    </xf>
    <xf numFmtId="0" fontId="3" fillId="0" borderId="193" xfId="638" applyFont="1" applyBorder="1" applyAlignment="1">
      <alignment horizontal="center" vertical="center"/>
    </xf>
    <xf numFmtId="0" fontId="3" fillId="0" borderId="180" xfId="638" applyFont="1" applyBorder="1" applyAlignment="1">
      <alignment horizontal="center" vertical="center"/>
    </xf>
    <xf numFmtId="0" fontId="3" fillId="0" borderId="194" xfId="638" applyFont="1" applyBorder="1" applyAlignment="1">
      <alignment horizontal="center" vertical="center"/>
    </xf>
    <xf numFmtId="0" fontId="3" fillId="0" borderId="123" xfId="638" applyFont="1" applyBorder="1" applyAlignment="1">
      <alignment horizontal="center" vertical="center"/>
    </xf>
    <xf numFmtId="0" fontId="3" fillId="0" borderId="139" xfId="638" applyFont="1" applyBorder="1" applyAlignment="1">
      <alignment horizontal="center" vertical="center"/>
    </xf>
    <xf numFmtId="0" fontId="3" fillId="0" borderId="132" xfId="638" applyFont="1" applyBorder="1" applyAlignment="1">
      <alignment horizontal="center" vertical="center"/>
    </xf>
    <xf numFmtId="0" fontId="3" fillId="0" borderId="104" xfId="638" applyFont="1" applyBorder="1" applyAlignment="1">
      <alignment horizontal="center" vertical="center"/>
    </xf>
    <xf numFmtId="0" fontId="3" fillId="0" borderId="103" xfId="638" applyFont="1" applyBorder="1" applyAlignment="1">
      <alignment horizontal="center" vertical="center"/>
    </xf>
    <xf numFmtId="0" fontId="3" fillId="0" borderId="94" xfId="638" applyFont="1" applyBorder="1" applyAlignment="1">
      <alignment horizontal="center" vertical="center"/>
    </xf>
    <xf numFmtId="0" fontId="3" fillId="0" borderId="95" xfId="638" applyFont="1" applyBorder="1" applyAlignment="1">
      <alignment horizontal="center" vertical="center"/>
    </xf>
    <xf numFmtId="0" fontId="3" fillId="0" borderId="93" xfId="638" applyFont="1" applyBorder="1" applyAlignment="1">
      <alignment horizontal="center" vertical="center"/>
    </xf>
    <xf numFmtId="0" fontId="3" fillId="0" borderId="96" xfId="638" applyFont="1" applyBorder="1" applyAlignment="1">
      <alignment horizontal="center" vertical="center"/>
    </xf>
    <xf numFmtId="0" fontId="3" fillId="0" borderId="42" xfId="638" applyFont="1" applyBorder="1" applyAlignment="1">
      <alignment horizontal="center" vertical="center"/>
    </xf>
    <xf numFmtId="0" fontId="3" fillId="0" borderId="41" xfId="638" applyFont="1" applyBorder="1" applyAlignment="1">
      <alignment horizontal="center" vertical="center"/>
    </xf>
    <xf numFmtId="0" fontId="3" fillId="0" borderId="38" xfId="638" applyFont="1" applyBorder="1" applyAlignment="1">
      <alignment horizontal="center" vertical="center"/>
    </xf>
    <xf numFmtId="0" fontId="3" fillId="0" borderId="40" xfId="638" applyFont="1" applyBorder="1" applyAlignment="1">
      <alignment horizontal="center" vertical="center"/>
    </xf>
    <xf numFmtId="0" fontId="19" fillId="0" borderId="18" xfId="638" applyFont="1" applyBorder="1" applyAlignment="1">
      <alignment horizontal="center" vertical="center"/>
    </xf>
    <xf numFmtId="0" fontId="19" fillId="0" borderId="38" xfId="638" applyFont="1" applyBorder="1" applyAlignment="1">
      <alignment horizontal="center" vertical="center"/>
    </xf>
    <xf numFmtId="0" fontId="19" fillId="0" borderId="40" xfId="638" applyFont="1" applyBorder="1" applyAlignment="1">
      <alignment horizontal="center" vertical="center"/>
    </xf>
    <xf numFmtId="0" fontId="3" fillId="0" borderId="72" xfId="638" applyFont="1" applyBorder="1" applyAlignment="1">
      <alignment horizontal="center" vertical="center"/>
    </xf>
    <xf numFmtId="0" fontId="3" fillId="0" borderId="63" xfId="638" applyFont="1" applyBorder="1" applyAlignment="1">
      <alignment horizontal="center" vertical="center"/>
    </xf>
    <xf numFmtId="0" fontId="3" fillId="0" borderId="73" xfId="638" applyFont="1" applyBorder="1" applyAlignment="1">
      <alignment horizontal="center" vertical="center"/>
    </xf>
    <xf numFmtId="0" fontId="22" fillId="0" borderId="7" xfId="640" applyFont="1" applyFill="1" applyBorder="1" applyAlignment="1">
      <alignment horizontal="center" vertical="center" wrapText="1"/>
    </xf>
    <xf numFmtId="0" fontId="22" fillId="0" borderId="8" xfId="640" applyFont="1" applyFill="1" applyBorder="1" applyAlignment="1">
      <alignment horizontal="center" vertical="center" wrapText="1"/>
    </xf>
    <xf numFmtId="0" fontId="5" fillId="4" borderId="43" xfId="640" applyFont="1" applyFill="1" applyBorder="1" applyAlignment="1">
      <alignment horizontal="center" vertical="center" wrapText="1"/>
    </xf>
    <xf numFmtId="165" fontId="5" fillId="4" borderId="44" xfId="640" applyNumberFormat="1" applyFont="1" applyFill="1" applyBorder="1" applyAlignment="1">
      <alignment horizontal="center" vertical="center" wrapText="1"/>
    </xf>
    <xf numFmtId="166" fontId="5" fillId="4" borderId="44" xfId="640" applyNumberFormat="1" applyFont="1" applyFill="1" applyBorder="1" applyAlignment="1">
      <alignment horizontal="center" vertical="center" wrapText="1"/>
    </xf>
    <xf numFmtId="0" fontId="5" fillId="4" borderId="44" xfId="640" applyFont="1" applyFill="1" applyBorder="1" applyAlignment="1">
      <alignment horizontal="center" vertical="center" wrapText="1"/>
    </xf>
    <xf numFmtId="0" fontId="5" fillId="4" borderId="44" xfId="640" applyNumberFormat="1" applyFont="1" applyFill="1" applyBorder="1" applyAlignment="1">
      <alignment horizontal="center" vertical="center" wrapText="1"/>
    </xf>
    <xf numFmtId="0" fontId="5" fillId="4" borderId="45" xfId="641" applyFont="1" applyFill="1" applyBorder="1" applyAlignment="1">
      <alignment horizontal="center" vertical="center" wrapText="1"/>
    </xf>
    <xf numFmtId="0" fontId="5" fillId="4" borderId="47" xfId="640" applyFont="1" applyFill="1" applyBorder="1" applyAlignment="1">
      <alignment horizontal="center" vertical="center" wrapText="1"/>
    </xf>
    <xf numFmtId="0" fontId="5" fillId="4" borderId="46" xfId="640" applyFont="1" applyFill="1" applyBorder="1" applyAlignment="1">
      <alignment horizontal="center" vertical="center" wrapText="1"/>
    </xf>
    <xf numFmtId="0" fontId="3" fillId="0" borderId="60" xfId="638" applyFont="1" applyBorder="1" applyAlignment="1">
      <alignment horizontal="center" vertical="center"/>
    </xf>
    <xf numFmtId="0" fontId="0" fillId="3" borderId="102" xfId="640" applyNumberFormat="1" applyFont="1" applyFill="1" applyBorder="1" applyAlignment="1">
      <alignment horizontal="center" vertical="center"/>
    </xf>
    <xf numFmtId="0" fontId="0" fillId="3" borderId="64" xfId="640" applyNumberFormat="1" applyFont="1" applyFill="1" applyBorder="1" applyAlignment="1">
      <alignment horizontal="center" vertical="center"/>
    </xf>
    <xf numFmtId="0" fontId="0" fillId="3" borderId="26" xfId="640" applyNumberFormat="1" applyFont="1" applyFill="1" applyBorder="1" applyAlignment="1">
      <alignment horizontal="center" vertical="center"/>
    </xf>
    <xf numFmtId="0" fontId="0" fillId="3" borderId="101" xfId="640" applyNumberFormat="1" applyFont="1" applyFill="1" applyBorder="1" applyAlignment="1">
      <alignment horizontal="center" vertical="center"/>
    </xf>
    <xf numFmtId="0" fontId="0" fillId="3" borderId="61" xfId="640" applyNumberFormat="1" applyFont="1" applyFill="1" applyBorder="1" applyAlignment="1">
      <alignment horizontal="center" vertical="center"/>
    </xf>
    <xf numFmtId="0" fontId="0" fillId="3" borderId="25" xfId="640" applyNumberFormat="1" applyFont="1" applyFill="1" applyBorder="1" applyAlignment="1">
      <alignment horizontal="center" vertical="center"/>
    </xf>
    <xf numFmtId="0" fontId="3" fillId="3" borderId="101" xfId="640" applyNumberFormat="1" applyFont="1" applyFill="1" applyBorder="1" applyAlignment="1">
      <alignment horizontal="center" vertical="center"/>
    </xf>
    <xf numFmtId="0" fontId="3" fillId="0" borderId="133" xfId="638" applyFont="1" applyBorder="1" applyAlignment="1">
      <alignment horizontal="center" vertical="center"/>
    </xf>
    <xf numFmtId="0" fontId="3" fillId="0" borderId="140" xfId="638" applyFont="1" applyBorder="1" applyAlignment="1">
      <alignment horizontal="center" vertical="center"/>
    </xf>
    <xf numFmtId="0" fontId="3" fillId="0" borderId="124" xfId="638" applyFont="1" applyBorder="1" applyAlignment="1">
      <alignment horizontal="center" vertical="center"/>
    </xf>
    <xf numFmtId="0" fontId="3" fillId="0" borderId="165" xfId="638" applyFont="1" applyBorder="1" applyAlignment="1">
      <alignment horizontal="center" vertical="center"/>
    </xf>
    <xf numFmtId="0" fontId="3" fillId="0" borderId="166" xfId="638" applyFont="1" applyBorder="1" applyAlignment="1">
      <alignment horizontal="center" vertical="center"/>
    </xf>
    <xf numFmtId="0" fontId="15" fillId="0" borderId="217" xfId="638" applyFont="1" applyBorder="1" applyAlignment="1">
      <alignment horizontal="center" vertical="center"/>
    </xf>
    <xf numFmtId="0" fontId="3" fillId="0" borderId="234" xfId="638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164" fontId="3" fillId="2" borderId="366" xfId="638" applyNumberFormat="1" applyFont="1" applyFill="1" applyBorder="1" applyAlignment="1">
      <alignment horizontal="center" vertical="center"/>
    </xf>
    <xf numFmtId="165" fontId="3" fillId="2" borderId="367" xfId="638" applyNumberFormat="1" applyFont="1" applyFill="1" applyBorder="1" applyAlignment="1">
      <alignment horizontal="center" vertical="center"/>
    </xf>
    <xf numFmtId="166" fontId="3" fillId="2" borderId="367" xfId="638" applyNumberFormat="1" applyFont="1" applyFill="1" applyBorder="1" applyAlignment="1">
      <alignment horizontal="center" vertical="center"/>
    </xf>
    <xf numFmtId="0" fontId="3" fillId="2" borderId="367" xfId="638" applyFont="1" applyFill="1" applyBorder="1" applyAlignment="1">
      <alignment horizontal="center" vertical="center"/>
    </xf>
    <xf numFmtId="0" fontId="3" fillId="0" borderId="367" xfId="638" applyFont="1" applyBorder="1" applyAlignment="1">
      <alignment horizontal="center" vertical="center"/>
    </xf>
    <xf numFmtId="0" fontId="0" fillId="0" borderId="367" xfId="638" applyFont="1" applyBorder="1" applyAlignment="1">
      <alignment horizontal="center" vertical="center" wrapText="1"/>
    </xf>
  </cellXfs>
  <cellStyles count="669">
    <cellStyle name="_" xfId="1" xr:uid="{00000000-0005-0000-0000-000000000000}"/>
    <cellStyle name="_ 2" xfId="2" xr:uid="{00000000-0005-0000-0000-000001000000}"/>
    <cellStyle name="_ 2 2" xfId="3" xr:uid="{00000000-0005-0000-0000-000002000000}"/>
    <cellStyle name="_Copy of FQC Reject Rate -Assembly line" xfId="4" xr:uid="{00000000-0005-0000-0000-000003000000}"/>
    <cellStyle name="_Copy of FQC Reject Rate -Assembly line 2" xfId="5" xr:uid="{00000000-0005-0000-0000-000004000000}"/>
    <cellStyle name="_Copy of FQC Reject Rate -Assembly line 2 2" xfId="6" xr:uid="{00000000-0005-0000-0000-000005000000}"/>
    <cellStyle name="_Copy of FQC Reject Rate -Assembly line_FQC Reject Rate -Assembly line" xfId="7" xr:uid="{00000000-0005-0000-0000-000006000000}"/>
    <cellStyle name="_Copy of FQC Reject Rate -Assembly line_FQC Reject Rate -Assembly line 2" xfId="8" xr:uid="{00000000-0005-0000-0000-000007000000}"/>
    <cellStyle name="_Copy of FQC Reject Rate -Assembly line_FQC Reject Rate -Assembly line_FQC Reject Rate -Assembly line" xfId="9" xr:uid="{00000000-0005-0000-0000-000008000000}"/>
    <cellStyle name="_Copy of FQC Reject Rate -Assembly line_FQC Reject Rate -Assembly line_FQC Reject Rate -Assembly line 2" xfId="10" xr:uid="{00000000-0005-0000-0000-000009000000}"/>
    <cellStyle name="_Copy of FQC Reject Rate -Assembly line_FQC Reject Rate -Assembly line_FQC Reject Rate -Assembly line 2 2" xfId="11" xr:uid="{00000000-0005-0000-0000-00000A000000}"/>
    <cellStyle name="_Copy of FQC Reject Rate -Assembly line_FQC Reject Rate -Assembly line_FQC Reject Rate -Assembly line 2014" xfId="12" xr:uid="{00000000-0005-0000-0000-00000B000000}"/>
    <cellStyle name="_Copy of FQC Reject Rate -Assembly line_FQC Reject Rate -Assembly line_FQC Reject Rate -Assembly line 2014 2" xfId="13" xr:uid="{00000000-0005-0000-0000-00000C000000}"/>
    <cellStyle name="_Copy of FQC Reject Rate -Assembly line_FQC Reject Rate -Assembly line_FQC Reject Rate -Assembly line 2014 2 2" xfId="14" xr:uid="{00000000-0005-0000-0000-00000D000000}"/>
    <cellStyle name="_Copy of FQC Reject Rate -Assembly line_FQC Reject Rate -Assembly line_FQC Reject Rate -Assembly line 2015" xfId="15" xr:uid="{00000000-0005-0000-0000-00000E000000}"/>
    <cellStyle name="_Copy of FQC Reject Rate -Assembly line_FQC Reject Rate -Assembly line_FQC Reject Rate -Assembly line 2015 2" xfId="16" xr:uid="{00000000-0005-0000-0000-00000F000000}"/>
    <cellStyle name="_Copy of FQC Reject Rate -Assembly line_FQC Reject Rate -Assembly line_FQC Reject Rate -Assembly line 2015 2 2" xfId="17" xr:uid="{00000000-0005-0000-0000-000010000000}"/>
    <cellStyle name="_Copy of FQC Reject Rate -Assembly line_FQC Reject Rate -Assembly line_FQC Reject Rate -Assembly line_FQC Reject Rate -Assembly line" xfId="18" xr:uid="{00000000-0005-0000-0000-000011000000}"/>
    <cellStyle name="_Copy of FQC Reject Rate -Assembly line_FQC Reject Rate -Assembly line_FQC Reject Rate -Assembly line_FQC Reject Rate -Assembly line 2" xfId="19" xr:uid="{00000000-0005-0000-0000-000012000000}"/>
    <cellStyle name="_Copy of FQC Reject Rate -Assembly line_FQC Reject Rate -Assembly line_FQC Reject Rate -Assembly line_FQC Reject Rate -Assembly line_FQC Reject Rate -Assembly line" xfId="20" xr:uid="{00000000-0005-0000-0000-000013000000}"/>
    <cellStyle name="_Copy of FQC Reject Rate -Assembly line_FQC Reject Rate -Assembly line_FQC Reject Rate -Assembly line_FQC Reject Rate -Assembly line_FQC Reject Rate -Assembly line 2" xfId="21" xr:uid="{00000000-0005-0000-0000-000014000000}"/>
    <cellStyle name="_Copy of FQC Reject Rate -Assembly line_FQC Reject Rate -Assembly line_FQC Reject Rate -Assembly line_FQC Reject Rate -Assembly line_FQC Reject Rate -Assembly line 2 2" xfId="22" xr:uid="{00000000-0005-0000-0000-000015000000}"/>
    <cellStyle name="_Copy of FQC Reject Rate -Assembly line_FQC Reject Rate -Assembly line_FQC Reject Rate -Assembly line_FQC Reject Rate -Assembly line_FQC Reject Rate -Assembly line 2014" xfId="23" xr:uid="{00000000-0005-0000-0000-000016000000}"/>
    <cellStyle name="_Copy of FQC Reject Rate -Assembly line_FQC Reject Rate -Assembly line_FQC Reject Rate -Assembly line_FQC Reject Rate -Assembly line_FQC Reject Rate -Assembly line 2014 2" xfId="24" xr:uid="{00000000-0005-0000-0000-000017000000}"/>
    <cellStyle name="_Copy of FQC Reject Rate -Assembly line_FQC Reject Rate -Assembly line_FQC Reject Rate -Assembly line_FQC Reject Rate -Assembly line_FQC Reject Rate -Assembly line 2014 2 2" xfId="25" xr:uid="{00000000-0005-0000-0000-000018000000}"/>
    <cellStyle name="_Copy of FQC Reject Rate -Assembly line_FQC Reject Rate -Assembly line_FQC Reject Rate -Assembly line_FQC Reject Rate -Assembly line_FQC Reject Rate -Assembly line 2015" xfId="26" xr:uid="{00000000-0005-0000-0000-000019000000}"/>
    <cellStyle name="_Copy of FQC Reject Rate -Assembly line_FQC Reject Rate -Assembly line_FQC Reject Rate -Assembly line_FQC Reject Rate -Assembly line_FQC Reject Rate -Assembly line 2015 2" xfId="27" xr:uid="{00000000-0005-0000-0000-00001A000000}"/>
    <cellStyle name="_Copy of FQC Reject Rate -Assembly line_FQC Reject Rate -Assembly line_FQC Reject Rate -Assembly line_FQC Reject Rate -Assembly line_FQC Reject Rate -Assembly line 2015 2 2" xfId="28" xr:uid="{00000000-0005-0000-0000-00001B000000}"/>
    <cellStyle name="_Copy of FQC Reject Rate -Assembly line_FQC Reject Rate -Assembly line_FQC Reject Rate -Assembly line_FQC Reject Rate -Assembly line_FQC Reject Rate -Assembly line_FQC Reject Rate -Assembly line" xfId="29" xr:uid="{00000000-0005-0000-0000-00001C000000}"/>
    <cellStyle name="_Copy of FQC Reject Rate -Assembly line_FQC Reject Rate -Assembly line_FQC Reject Rate -Assembly line_FQC Reject Rate -Assembly line_FQC Reject Rate -Assembly line_FQC Reject Rate -Assembly line 2" xfId="30" xr:uid="{00000000-0005-0000-0000-00001D000000}"/>
    <cellStyle name="_Copy of FQC Reject Rate -Assembly line_FQC Reject Rate -Assembly line_FQC Reject Rate -Assembly line_FQC Reject Rate -Assembly line_FQC Reject Rate -Assembly line_FQC Reject Rate -Assembly line_FQC Reject Rate -Assembly line" xfId="31" xr:uid="{00000000-0005-0000-0000-00001E000000}"/>
    <cellStyle name="_Copy of FQC Reject Rate -Assembly line_FQC Reject Rate -Assembly line_FQC Reject Rate -Assembly line_FQC Reject Rate -Assembly line_FQC Reject Rate -Assembly line_FQC Reject Rate -Assembly line_FQC Reject Rate -Assembly line 2" xfId="32" xr:uid="{00000000-0005-0000-0000-00001F000000}"/>
    <cellStyle name="_Copy of FQC Reject Rate -Assembly line_FQC Reject Rate -Assembly line_FQC Reject Rate -Assembly line_FQC Reject Rate -Assembly line_FQC Reject Rate -Assembly line_FQC Reject Rate -Assembly line_FQC Reject Rate -Assembly line 2 2" xfId="33" xr:uid="{00000000-0005-0000-0000-000020000000}"/>
    <cellStyle name="_Copy of FQC Reject Rate -Assembly line_FQC Reject Rate -Assembly line_FQC Reject Rate -Assembly line_FQC Reject Rate -Assembly line_FQC Reject Rate -Assembly line_FQC Reject Rate -Assembly line_FQC Reject Rate -Assembly line 2014" xfId="34" xr:uid="{00000000-0005-0000-0000-000021000000}"/>
    <cellStyle name="_Copy of FQC Reject Rate -Assembly line_FQC Reject Rate -Assembly line_FQC Reject Rate -Assembly line_FQC Reject Rate -Assembly line_FQC Reject Rate -Assembly line_FQC Reject Rate -Assembly line_FQC Reject Rate -Assembly line 2014 2" xfId="35" xr:uid="{00000000-0005-0000-0000-000022000000}"/>
    <cellStyle name="_Copy of FQC Reject Rate -Assembly line_FQC Reject Rate -Assembly line_FQC Reject Rate -Assembly line_FQC Reject Rate -Assembly line_FQC Reject Rate -Assembly line_FQC Reject Rate -Assembly line_FQC Reject Rate -Assembly line 2014 2 2" xfId="36" xr:uid="{00000000-0005-0000-0000-000023000000}"/>
    <cellStyle name="_Copy of FQC Reject Rate -Assembly line_FQC Reject Rate -Assembly line_FQC Reject Rate -Assembly line_FQC Reject Rate -Assembly line_FQC Reject Rate -Assembly line_FQC Reject Rate -Assembly line_FQC Reject Rate -Assembly line 2015" xfId="37" xr:uid="{00000000-0005-0000-0000-000024000000}"/>
    <cellStyle name="_Copy of FQC Reject Rate -Assembly line_FQC Reject Rate -Assembly line_FQC Reject Rate -Assembly line_FQC Reject Rate -Assembly line_FQC Reject Rate -Assembly line_FQC Reject Rate -Assembly line_FQC Reject Rate -Assembly line 2015 2" xfId="38" xr:uid="{00000000-0005-0000-0000-000025000000}"/>
    <cellStyle name="_Copy of FQC Reject Rate -Assembly line_FQC Reject Rate -Assembly line_FQC Reject Rate -Assembly line_FQC Reject Rate -Assembly line_FQC Reject Rate -Assembly line_FQC Reject Rate -Assembly line_FQC Reject Rate -Assembly line 2015 2 2" xfId="39" xr:uid="{00000000-0005-0000-0000-000026000000}"/>
    <cellStyle name="_database" xfId="40" xr:uid="{00000000-0005-0000-0000-000027000000}"/>
    <cellStyle name="_database 2" xfId="41" xr:uid="{00000000-0005-0000-0000-000028000000}"/>
    <cellStyle name="_database 2 2" xfId="42" xr:uid="{00000000-0005-0000-0000-000029000000}"/>
    <cellStyle name="_database_FQC Reject Rate -Assembly line" xfId="43" xr:uid="{00000000-0005-0000-0000-00002A000000}"/>
    <cellStyle name="_database_FQC Reject Rate -Assembly line 2" xfId="44" xr:uid="{00000000-0005-0000-0000-00002B000000}"/>
    <cellStyle name="_database_FQC Reject Rate -Assembly line_FQC Reject Rate -Assembly line" xfId="45" xr:uid="{00000000-0005-0000-0000-00002C000000}"/>
    <cellStyle name="_database_FQC Reject Rate -Assembly line_FQC Reject Rate -Assembly line 2" xfId="46" xr:uid="{00000000-0005-0000-0000-00002D000000}"/>
    <cellStyle name="_database_FQC Reject Rate -Assembly line_FQC Reject Rate -Assembly line 2 2" xfId="47" xr:uid="{00000000-0005-0000-0000-00002E000000}"/>
    <cellStyle name="_database_FQC Reject Rate -Assembly line_FQC Reject Rate -Assembly line 2014" xfId="48" xr:uid="{00000000-0005-0000-0000-00002F000000}"/>
    <cellStyle name="_database_FQC Reject Rate -Assembly line_FQC Reject Rate -Assembly line 2014 2" xfId="49" xr:uid="{00000000-0005-0000-0000-000030000000}"/>
    <cellStyle name="_database_FQC Reject Rate -Assembly line_FQC Reject Rate -Assembly line 2014 2 2" xfId="50" xr:uid="{00000000-0005-0000-0000-000031000000}"/>
    <cellStyle name="_database_FQC Reject Rate -Assembly line_FQC Reject Rate -Assembly line 2015" xfId="51" xr:uid="{00000000-0005-0000-0000-000032000000}"/>
    <cellStyle name="_database_FQC Reject Rate -Assembly line_FQC Reject Rate -Assembly line 2015 2" xfId="52" xr:uid="{00000000-0005-0000-0000-000033000000}"/>
    <cellStyle name="_database_FQC Reject Rate -Assembly line_FQC Reject Rate -Assembly line 2015 2 2" xfId="53" xr:uid="{00000000-0005-0000-0000-000034000000}"/>
    <cellStyle name="_database_FQC Reject Rate -Assembly line_FQC Reject Rate -Assembly line_FQC Reject Rate -Assembly line" xfId="54" xr:uid="{00000000-0005-0000-0000-000035000000}"/>
    <cellStyle name="_database_FQC Reject Rate -Assembly line_FQC Reject Rate -Assembly line_FQC Reject Rate -Assembly line 2" xfId="55" xr:uid="{00000000-0005-0000-0000-000036000000}"/>
    <cellStyle name="_database_FQC Reject Rate -Assembly line_FQC Reject Rate -Assembly line_FQC Reject Rate -Assembly line_FQC Reject Rate -Assembly line" xfId="56" xr:uid="{00000000-0005-0000-0000-000037000000}"/>
    <cellStyle name="_database_FQC Reject Rate -Assembly line_FQC Reject Rate -Assembly line_FQC Reject Rate -Assembly line_FQC Reject Rate -Assembly line 2" xfId="57" xr:uid="{00000000-0005-0000-0000-000038000000}"/>
    <cellStyle name="_database_FQC Reject Rate -Assembly line_FQC Reject Rate -Assembly line_FQC Reject Rate -Assembly line_FQC Reject Rate -Assembly line 2 2" xfId="58" xr:uid="{00000000-0005-0000-0000-000039000000}"/>
    <cellStyle name="_database_FQC Reject Rate -Assembly line_FQC Reject Rate -Assembly line_FQC Reject Rate -Assembly line_FQC Reject Rate -Assembly line 2014" xfId="59" xr:uid="{00000000-0005-0000-0000-00003A000000}"/>
    <cellStyle name="_database_FQC Reject Rate -Assembly line_FQC Reject Rate -Assembly line_FQC Reject Rate -Assembly line_FQC Reject Rate -Assembly line 2014 2" xfId="60" xr:uid="{00000000-0005-0000-0000-00003B000000}"/>
    <cellStyle name="_database_FQC Reject Rate -Assembly line_FQC Reject Rate -Assembly line_FQC Reject Rate -Assembly line_FQC Reject Rate -Assembly line 2014 2 2" xfId="61" xr:uid="{00000000-0005-0000-0000-00003C000000}"/>
    <cellStyle name="_database_FQC Reject Rate -Assembly line_FQC Reject Rate -Assembly line_FQC Reject Rate -Assembly line_FQC Reject Rate -Assembly line 2015" xfId="62" xr:uid="{00000000-0005-0000-0000-00003D000000}"/>
    <cellStyle name="_database_FQC Reject Rate -Assembly line_FQC Reject Rate -Assembly line_FQC Reject Rate -Assembly line_FQC Reject Rate -Assembly line 2015 2" xfId="63" xr:uid="{00000000-0005-0000-0000-00003E000000}"/>
    <cellStyle name="_database_FQC Reject Rate -Assembly line_FQC Reject Rate -Assembly line_FQC Reject Rate -Assembly line_FQC Reject Rate -Assembly line 2015 2 2" xfId="64" xr:uid="{00000000-0005-0000-0000-00003F000000}"/>
    <cellStyle name="_database_FQC Reject Rate -Assembly line_FQC Reject Rate -Assembly line_FQC Reject Rate -Assembly line_FQC Reject Rate -Assembly line_FQC Reject Rate -Assembly line" xfId="65" xr:uid="{00000000-0005-0000-0000-000040000000}"/>
    <cellStyle name="_database_FQC Reject Rate -Assembly line_FQC Reject Rate -Assembly line_FQC Reject Rate -Assembly line_FQC Reject Rate -Assembly line_FQC Reject Rate -Assembly line 2" xfId="66" xr:uid="{00000000-0005-0000-0000-000041000000}"/>
    <cellStyle name="_database_FQC Reject Rate -Assembly line_FQC Reject Rate -Assembly line_FQC Reject Rate -Assembly line_FQC Reject Rate -Assembly line_FQC Reject Rate -Assembly line_FQC Reject Rate -Assembly line" xfId="67" xr:uid="{00000000-0005-0000-0000-000042000000}"/>
    <cellStyle name="_database_FQC Reject Rate -Assembly line_FQC Reject Rate -Assembly line_FQC Reject Rate -Assembly line_FQC Reject Rate -Assembly line_FQC Reject Rate -Assembly line_FQC Reject Rate -Assembly line 2" xfId="68" xr:uid="{00000000-0005-0000-0000-000043000000}"/>
    <cellStyle name="_database_FQC Reject Rate -Assembly line_FQC Reject Rate -Assembly line_FQC Reject Rate -Assembly line_FQC Reject Rate -Assembly line_FQC Reject Rate -Assembly line_FQC Reject Rate -Assembly line 2 2" xfId="69" xr:uid="{00000000-0005-0000-0000-000044000000}"/>
    <cellStyle name="_database_FQC Reject Rate -Assembly line_FQC Reject Rate -Assembly line_FQC Reject Rate -Assembly line_FQC Reject Rate -Assembly line_FQC Reject Rate -Assembly line_FQC Reject Rate -Assembly line 2014" xfId="70" xr:uid="{00000000-0005-0000-0000-000045000000}"/>
    <cellStyle name="_database_FQC Reject Rate -Assembly line_FQC Reject Rate -Assembly line_FQC Reject Rate -Assembly line_FQC Reject Rate -Assembly line_FQC Reject Rate -Assembly line_FQC Reject Rate -Assembly line 2014 2" xfId="71" xr:uid="{00000000-0005-0000-0000-000046000000}"/>
    <cellStyle name="_database_FQC Reject Rate -Assembly line_FQC Reject Rate -Assembly line_FQC Reject Rate -Assembly line_FQC Reject Rate -Assembly line_FQC Reject Rate -Assembly line_FQC Reject Rate -Assembly line 2014 2 2" xfId="72" xr:uid="{00000000-0005-0000-0000-000047000000}"/>
    <cellStyle name="_database_FQC Reject Rate -Assembly line_FQC Reject Rate -Assembly line_FQC Reject Rate -Assembly line_FQC Reject Rate -Assembly line_FQC Reject Rate -Assembly line_FQC Reject Rate -Assembly line 2015" xfId="73" xr:uid="{00000000-0005-0000-0000-000048000000}"/>
    <cellStyle name="_database_FQC Reject Rate -Assembly line_FQC Reject Rate -Assembly line_FQC Reject Rate -Assembly line_FQC Reject Rate -Assembly line_FQC Reject Rate -Assembly line_FQC Reject Rate -Assembly line 2015 2" xfId="74" xr:uid="{00000000-0005-0000-0000-000049000000}"/>
    <cellStyle name="_database_FQC Reject Rate -Assembly line_FQC Reject Rate -Assembly line_FQC Reject Rate -Assembly line_FQC Reject Rate -Assembly line_FQC Reject Rate -Assembly line_FQC Reject Rate -Assembly line 2015 2 2" xfId="75" xr:uid="{00000000-0005-0000-0000-00004A000000}"/>
    <cellStyle name="_FQC " xfId="76" xr:uid="{00000000-0005-0000-0000-00004B000000}"/>
    <cellStyle name="_FQC  2" xfId="77" xr:uid="{00000000-0005-0000-0000-00004C000000}"/>
    <cellStyle name="_FQC  2 2" xfId="78" xr:uid="{00000000-0005-0000-0000-00004D000000}"/>
    <cellStyle name="_FQC Defect Rate -Assembly line" xfId="79" xr:uid="{00000000-0005-0000-0000-00004E000000}"/>
    <cellStyle name="_FQC Defect Rate -Assembly line 2" xfId="80" xr:uid="{00000000-0005-0000-0000-00004F000000}"/>
    <cellStyle name="_FQC Defect Rate -Assembly line 2 2" xfId="81" xr:uid="{00000000-0005-0000-0000-000050000000}"/>
    <cellStyle name="_FQC Defect Rate -Assembly line_FQC Reject Rate -Assembly line" xfId="82" xr:uid="{00000000-0005-0000-0000-000051000000}"/>
    <cellStyle name="_FQC Defect Rate -Assembly line_FQC Reject Rate -Assembly line 2" xfId="83" xr:uid="{00000000-0005-0000-0000-000052000000}"/>
    <cellStyle name="_FQC Defect Rate -Assembly line_FQC Reject Rate -Assembly line_FQC Reject Rate -Assembly line" xfId="84" xr:uid="{00000000-0005-0000-0000-000053000000}"/>
    <cellStyle name="_FQC Defect Rate -Assembly line_FQC Reject Rate -Assembly line_FQC Reject Rate -Assembly line 2" xfId="85" xr:uid="{00000000-0005-0000-0000-000054000000}"/>
    <cellStyle name="_FQC Defect Rate -Assembly line_FQC Reject Rate -Assembly line_FQC Reject Rate -Assembly line 2 2" xfId="86" xr:uid="{00000000-0005-0000-0000-000055000000}"/>
    <cellStyle name="_FQC Defect Rate -Assembly line_FQC Reject Rate -Assembly line_FQC Reject Rate -Assembly line 2014" xfId="87" xr:uid="{00000000-0005-0000-0000-000056000000}"/>
    <cellStyle name="_FQC Defect Rate -Assembly line_FQC Reject Rate -Assembly line_FQC Reject Rate -Assembly line 2014 2" xfId="88" xr:uid="{00000000-0005-0000-0000-000057000000}"/>
    <cellStyle name="_FQC Defect Rate -Assembly line_FQC Reject Rate -Assembly line_FQC Reject Rate -Assembly line 2014 2 2" xfId="89" xr:uid="{00000000-0005-0000-0000-000058000000}"/>
    <cellStyle name="_FQC Defect Rate -Assembly line_FQC Reject Rate -Assembly line_FQC Reject Rate -Assembly line 2015" xfId="90" xr:uid="{00000000-0005-0000-0000-000059000000}"/>
    <cellStyle name="_FQC Defect Rate -Assembly line_FQC Reject Rate -Assembly line_FQC Reject Rate -Assembly line 2015 2" xfId="91" xr:uid="{00000000-0005-0000-0000-00005A000000}"/>
    <cellStyle name="_FQC Defect Rate -Assembly line_FQC Reject Rate -Assembly line_FQC Reject Rate -Assembly line 2015 2 2" xfId="92" xr:uid="{00000000-0005-0000-0000-00005B000000}"/>
    <cellStyle name="_FQC Defect Rate -Assembly line_FQC Reject Rate -Assembly line_FQC Reject Rate -Assembly line_FQC Reject Rate -Assembly line" xfId="93" xr:uid="{00000000-0005-0000-0000-00005C000000}"/>
    <cellStyle name="_FQC Defect Rate -Assembly line_FQC Reject Rate -Assembly line_FQC Reject Rate -Assembly line_FQC Reject Rate -Assembly line 2" xfId="94" xr:uid="{00000000-0005-0000-0000-00005D000000}"/>
    <cellStyle name="_FQC Defect Rate -Assembly line_FQC Reject Rate -Assembly line_FQC Reject Rate -Assembly line_FQC Reject Rate -Assembly line_FQC Reject Rate -Assembly line" xfId="95" xr:uid="{00000000-0005-0000-0000-00005E000000}"/>
    <cellStyle name="_FQC Defect Rate -Assembly line_FQC Reject Rate -Assembly line_FQC Reject Rate -Assembly line_FQC Reject Rate -Assembly line_FQC Reject Rate -Assembly line 2" xfId="96" xr:uid="{00000000-0005-0000-0000-00005F000000}"/>
    <cellStyle name="_FQC Defect Rate -Assembly line_FQC Reject Rate -Assembly line_FQC Reject Rate -Assembly line_FQC Reject Rate -Assembly line_FQC Reject Rate -Assembly line 2 2" xfId="97" xr:uid="{00000000-0005-0000-0000-000060000000}"/>
    <cellStyle name="_FQC Defect Rate -Assembly line_FQC Reject Rate -Assembly line_FQC Reject Rate -Assembly line_FQC Reject Rate -Assembly line_FQC Reject Rate -Assembly line 2014" xfId="98" xr:uid="{00000000-0005-0000-0000-000061000000}"/>
    <cellStyle name="_FQC Defect Rate -Assembly line_FQC Reject Rate -Assembly line_FQC Reject Rate -Assembly line_FQC Reject Rate -Assembly line_FQC Reject Rate -Assembly line 2014 2" xfId="99" xr:uid="{00000000-0005-0000-0000-000062000000}"/>
    <cellStyle name="_FQC Defect Rate -Assembly line_FQC Reject Rate -Assembly line_FQC Reject Rate -Assembly line_FQC Reject Rate -Assembly line_FQC Reject Rate -Assembly line 2014 2 2" xfId="100" xr:uid="{00000000-0005-0000-0000-000063000000}"/>
    <cellStyle name="_FQC Defect Rate -Assembly line_FQC Reject Rate -Assembly line_FQC Reject Rate -Assembly line_FQC Reject Rate -Assembly line_FQC Reject Rate -Assembly line 2015" xfId="101" xr:uid="{00000000-0005-0000-0000-000064000000}"/>
    <cellStyle name="_FQC Defect Rate -Assembly line_FQC Reject Rate -Assembly line_FQC Reject Rate -Assembly line_FQC Reject Rate -Assembly line_FQC Reject Rate -Assembly line 2015 2" xfId="102" xr:uid="{00000000-0005-0000-0000-000065000000}"/>
    <cellStyle name="_FQC Defect Rate -Assembly line_FQC Reject Rate -Assembly line_FQC Reject Rate -Assembly line_FQC Reject Rate -Assembly line_FQC Reject Rate -Assembly line 2015 2 2" xfId="103" xr:uid="{00000000-0005-0000-0000-000066000000}"/>
    <cellStyle name="_FQC Defect Rate -Assembly line_FQC Reject Rate -Assembly line_FQC Reject Rate -Assembly line_FQC Reject Rate -Assembly line_FQC Reject Rate -Assembly line_FQC Reject Rate -Assembly line" xfId="104" xr:uid="{00000000-0005-0000-0000-000067000000}"/>
    <cellStyle name="_FQC Defect Rate -Assembly line_FQC Reject Rate -Assembly line_FQC Reject Rate -Assembly line_FQC Reject Rate -Assembly line_FQC Reject Rate -Assembly line_FQC Reject Rate -Assembly line 2" xfId="105" xr:uid="{00000000-0005-0000-0000-000068000000}"/>
    <cellStyle name="_FQC Defect Rate -Assembly line_FQC Reject Rate -Assembly line_FQC Reject Rate -Assembly line_FQC Reject Rate -Assembly line_FQC Reject Rate -Assembly line_FQC Reject Rate -Assembly line_FQC Reject Rate -Assembly line" xfId="106" xr:uid="{00000000-0005-0000-0000-000069000000}"/>
    <cellStyle name="_FQC Defect Rate -Assembly line_FQC Reject Rate -Assembly line_FQC Reject Rate -Assembly line_FQC Reject Rate -Assembly line_FQC Reject Rate -Assembly line_FQC Reject Rate -Assembly line_FQC Reject Rate -Assembly line 2" xfId="107" xr:uid="{00000000-0005-0000-0000-00006A000000}"/>
    <cellStyle name="_FQC Defect Rate -Assembly line_FQC Reject Rate -Assembly line_FQC Reject Rate -Assembly line_FQC Reject Rate -Assembly line_FQC Reject Rate -Assembly line_FQC Reject Rate -Assembly line_FQC Reject Rate -Assembly line 2 2" xfId="108" xr:uid="{00000000-0005-0000-0000-00006B000000}"/>
    <cellStyle name="_FQC Defect Rate -Assembly line_FQC Reject Rate -Assembly line_FQC Reject Rate -Assembly line_FQC Reject Rate -Assembly line_FQC Reject Rate -Assembly line_FQC Reject Rate -Assembly line_FQC Reject Rate -Assembly line 2014" xfId="109" xr:uid="{00000000-0005-0000-0000-00006C000000}"/>
    <cellStyle name="_FQC Defect Rate -Assembly line_FQC Reject Rate -Assembly line_FQC Reject Rate -Assembly line_FQC Reject Rate -Assembly line_FQC Reject Rate -Assembly line_FQC Reject Rate -Assembly line_FQC Reject Rate -Assembly line 2014 2" xfId="110" xr:uid="{00000000-0005-0000-0000-00006D000000}"/>
    <cellStyle name="_FQC Defect Rate -Assembly line_FQC Reject Rate -Assembly line_FQC Reject Rate -Assembly line_FQC Reject Rate -Assembly line_FQC Reject Rate -Assembly line_FQC Reject Rate -Assembly line_FQC Reject Rate -Assembly line 2014 2 2" xfId="111" xr:uid="{00000000-0005-0000-0000-00006E000000}"/>
    <cellStyle name="_FQC Defect Rate -Assembly line_FQC Reject Rate -Assembly line_FQC Reject Rate -Assembly line_FQC Reject Rate -Assembly line_FQC Reject Rate -Assembly line_FQC Reject Rate -Assembly line_FQC Reject Rate -Assembly line 2015" xfId="112" xr:uid="{00000000-0005-0000-0000-00006F000000}"/>
    <cellStyle name="_FQC Defect Rate -Assembly line_FQC Reject Rate -Assembly line_FQC Reject Rate -Assembly line_FQC Reject Rate -Assembly line_FQC Reject Rate -Assembly line_FQC Reject Rate -Assembly line_FQC Reject Rate -Assembly line 2015 2" xfId="113" xr:uid="{00000000-0005-0000-0000-000070000000}"/>
    <cellStyle name="_FQC Defect Rate -Assembly line_FQC Reject Rate -Assembly line_FQC Reject Rate -Assembly line_FQC Reject Rate -Assembly line_FQC Reject Rate -Assembly line_FQC Reject Rate -Assembly line_FQC Reject Rate -Assembly line 2015 2 2" xfId="114" xr:uid="{00000000-0005-0000-0000-000071000000}"/>
    <cellStyle name="_FQC LRR-" xfId="115" xr:uid="{00000000-0005-0000-0000-000072000000}"/>
    <cellStyle name="_FQC LRR- 2" xfId="116" xr:uid="{00000000-0005-0000-0000-000073000000}"/>
    <cellStyle name="_FQC LRR-_FQC Reject Rate -Assembly line" xfId="117" xr:uid="{00000000-0005-0000-0000-000074000000}"/>
    <cellStyle name="_FQC LRR-_FQC Reject Rate -Assembly line 2" xfId="118" xr:uid="{00000000-0005-0000-0000-000075000000}"/>
    <cellStyle name="_FQC LRR-_FQC Reject Rate -Assembly line 2 2" xfId="119" xr:uid="{00000000-0005-0000-0000-000076000000}"/>
    <cellStyle name="_FQC LRR-_FQC Reject Rate -Assembly line 2014" xfId="120" xr:uid="{00000000-0005-0000-0000-000077000000}"/>
    <cellStyle name="_FQC LRR-_FQC Reject Rate -Assembly line 2014 2" xfId="121" xr:uid="{00000000-0005-0000-0000-000078000000}"/>
    <cellStyle name="_FQC LRR-_FQC Reject Rate -Assembly line 2014 2 2" xfId="122" xr:uid="{00000000-0005-0000-0000-000079000000}"/>
    <cellStyle name="_FQC LRR-_FQC Reject Rate -Assembly line 2015" xfId="123" xr:uid="{00000000-0005-0000-0000-00007A000000}"/>
    <cellStyle name="_FQC LRR-_FQC Reject Rate -Assembly line 2015 2" xfId="124" xr:uid="{00000000-0005-0000-0000-00007B000000}"/>
    <cellStyle name="_FQC LRR-_FQC Reject Rate -Assembly line 2015 2 2" xfId="125" xr:uid="{00000000-0005-0000-0000-00007C000000}"/>
    <cellStyle name="_FQC LRR-a" xfId="126" xr:uid="{00000000-0005-0000-0000-00007D000000}"/>
    <cellStyle name="_FQC LRR-a 2" xfId="127" xr:uid="{00000000-0005-0000-0000-00007E000000}"/>
    <cellStyle name="_FQC LRR-a 2 2" xfId="128" xr:uid="{00000000-0005-0000-0000-00007F000000}"/>
    <cellStyle name="_FQC LRR-asse" xfId="129" xr:uid="{00000000-0005-0000-0000-000080000000}"/>
    <cellStyle name="_FQC LRR-asse 2" xfId="130" xr:uid="{00000000-0005-0000-0000-000081000000}"/>
    <cellStyle name="_FQC LRR-asse 2 2" xfId="131" xr:uid="{00000000-0005-0000-0000-000082000000}"/>
    <cellStyle name="_FQC LRR-assembly " xfId="132" xr:uid="{00000000-0005-0000-0000-000083000000}"/>
    <cellStyle name="_FQC LRR-assembly  2" xfId="133" xr:uid="{00000000-0005-0000-0000-000084000000}"/>
    <cellStyle name="_FQC LRR-assembly  2 2" xfId="134" xr:uid="{00000000-0005-0000-0000-000085000000}"/>
    <cellStyle name="_FQC LRR-assembly _FQC Reject Rate -Assembly line" xfId="135" xr:uid="{00000000-0005-0000-0000-000086000000}"/>
    <cellStyle name="_FQC LRR-assembly _FQC Reject Rate -Assembly line 2" xfId="136" xr:uid="{00000000-0005-0000-0000-000087000000}"/>
    <cellStyle name="_FQC LRR-assembly _FQC Reject Rate -Assembly line 2 2" xfId="137" xr:uid="{00000000-0005-0000-0000-000088000000}"/>
    <cellStyle name="_FQC LRR-assembly _FQC Reject Rate -Assembly line 2014" xfId="138" xr:uid="{00000000-0005-0000-0000-000089000000}"/>
    <cellStyle name="_FQC LRR-assembly _FQC Reject Rate -Assembly line 2014 2" xfId="139" xr:uid="{00000000-0005-0000-0000-00008A000000}"/>
    <cellStyle name="_FQC LRR-assembly _FQC Reject Rate -Assembly line 2014 2 2" xfId="140" xr:uid="{00000000-0005-0000-0000-00008B000000}"/>
    <cellStyle name="_FQC LRR-assembly line" xfId="141" xr:uid="{00000000-0005-0000-0000-00008C000000}"/>
    <cellStyle name="_FQC LRR-assembly line 2" xfId="142" xr:uid="{00000000-0005-0000-0000-00008D000000}"/>
    <cellStyle name="_FQC LRR-assembly line 2 2" xfId="143" xr:uid="{00000000-0005-0000-0000-00008E000000}"/>
    <cellStyle name="_FQC LRR-assembly line_FQC" xfId="144" xr:uid="{00000000-0005-0000-0000-00008F000000}"/>
    <cellStyle name="_FQC LRR-assembly line_FQC " xfId="145" xr:uid="{00000000-0005-0000-0000-000090000000}"/>
    <cellStyle name="_FQC LRR-assembly line_FQC  2" xfId="146" xr:uid="{00000000-0005-0000-0000-000091000000}"/>
    <cellStyle name="_FQC LRR-assembly line_FQC  2 2" xfId="147" xr:uid="{00000000-0005-0000-0000-000092000000}"/>
    <cellStyle name="_FQC LRR-assembly line_FQC 2" xfId="148" xr:uid="{00000000-0005-0000-0000-000093000000}"/>
    <cellStyle name="_FQC LRR-assembly line_FQC LRR-a" xfId="149" xr:uid="{00000000-0005-0000-0000-000094000000}"/>
    <cellStyle name="_FQC LRR-assembly line_FQC LRR-a 2" xfId="150" xr:uid="{00000000-0005-0000-0000-000095000000}"/>
    <cellStyle name="_FQC LRR-assembly line_FQC LRR-a 2 2" xfId="151" xr:uid="{00000000-0005-0000-0000-000096000000}"/>
    <cellStyle name="_FQC LRR-assembly line_FQC LRR-assembly line" xfId="152" xr:uid="{00000000-0005-0000-0000-000097000000}"/>
    <cellStyle name="_FQC LRR-assembly line_FQC LRR-assembly line 2" xfId="153" xr:uid="{00000000-0005-0000-0000-000098000000}"/>
    <cellStyle name="_FQC LRR-assembly line_FQC LRR-assembly line_Copy of FQC Reject Rate -Assembly line" xfId="154" xr:uid="{00000000-0005-0000-0000-000099000000}"/>
    <cellStyle name="_FQC LRR-assembly line_FQC LRR-assembly line_Copy of FQC Reject Rate -Assembly line 2" xfId="155" xr:uid="{00000000-0005-0000-0000-00009A000000}"/>
    <cellStyle name="_FQC LRR-assembly line_FQC LRR-assembly line_Copy of FQC Reject Rate -Assembly line 2 2" xfId="156" xr:uid="{00000000-0005-0000-0000-00009B000000}"/>
    <cellStyle name="_FQC LRR-assembly line_FQC LRR-assembly line_Copy of FQC Reject Rate -Assembly line_FQC Reject Rate -Assembly line" xfId="157" xr:uid="{00000000-0005-0000-0000-00009C000000}"/>
    <cellStyle name="_FQC LRR-assembly line_FQC LRR-assembly line_Copy of FQC Reject Rate -Assembly line_FQC Reject Rate -Assembly line 2" xfId="158" xr:uid="{00000000-0005-0000-0000-00009D000000}"/>
    <cellStyle name="_FQC LRR-assembly line_FQC LRR-assembly line_Copy of FQC Reject Rate -Assembly line_FQC Reject Rate -Assembly line_FQC Reject Rate -Assembly line" xfId="159" xr:uid="{00000000-0005-0000-0000-00009E000000}"/>
    <cellStyle name="_FQC LRR-assembly line_FQC LRR-assembly line_Copy of FQC Reject Rate -Assembly line_FQC Reject Rate -Assembly line_FQC Reject Rate -Assembly line 2" xfId="160" xr:uid="{00000000-0005-0000-0000-00009F000000}"/>
    <cellStyle name="_FQC LRR-assembly line_FQC LRR-assembly line_Copy of FQC Reject Rate -Assembly line_FQC Reject Rate -Assembly line_FQC Reject Rate -Assembly line 2 2" xfId="161" xr:uid="{00000000-0005-0000-0000-0000A0000000}"/>
    <cellStyle name="_FQC LRR-assembly line_FQC LRR-assembly line_Copy of FQC Reject Rate -Assembly line_FQC Reject Rate -Assembly line_FQC Reject Rate -Assembly line 2014" xfId="162" xr:uid="{00000000-0005-0000-0000-0000A1000000}"/>
    <cellStyle name="_FQC LRR-assembly line_FQC LRR-assembly line_Copy of FQC Reject Rate -Assembly line_FQC Reject Rate -Assembly line_FQC Reject Rate -Assembly line 2014 2" xfId="163" xr:uid="{00000000-0005-0000-0000-0000A2000000}"/>
    <cellStyle name="_FQC LRR-assembly line_FQC LRR-assembly line_Copy of FQC Reject Rate -Assembly line_FQC Reject Rate -Assembly line_FQC Reject Rate -Assembly line 2014 2 2" xfId="164" xr:uid="{00000000-0005-0000-0000-0000A3000000}"/>
    <cellStyle name="_FQC LRR-assembly line_FQC LRR-assembly line_Copy of FQC Reject Rate -Assembly line_FQC Reject Rate -Assembly line_FQC Reject Rate -Assembly line 2015" xfId="165" xr:uid="{00000000-0005-0000-0000-0000A4000000}"/>
    <cellStyle name="_FQC LRR-assembly line_FQC LRR-assembly line_Copy of FQC Reject Rate -Assembly line_FQC Reject Rate -Assembly line_FQC Reject Rate -Assembly line 2015 2" xfId="166" xr:uid="{00000000-0005-0000-0000-0000A5000000}"/>
    <cellStyle name="_FQC LRR-assembly line_FQC LRR-assembly line_Copy of FQC Reject Rate -Assembly line_FQC Reject Rate -Assembly line_FQC Reject Rate -Assembly line 2015 2 2" xfId="167" xr:uid="{00000000-0005-0000-0000-0000A6000000}"/>
    <cellStyle name="_FQC LRR-assembly line_FQC LRR-assembly line_Copy of FQC Reject Rate -Assembly line_FQC Reject Rate -Assembly line_FQC Reject Rate -Assembly line_FQC Reject Rate -Assembly line" xfId="168" xr:uid="{00000000-0005-0000-0000-0000A7000000}"/>
    <cellStyle name="_FQC LRR-assembly line_FQC LRR-assembly line_Copy of FQC Reject Rate -Assembly line_FQC Reject Rate -Assembly line_FQC Reject Rate -Assembly line_FQC Reject Rate -Assembly line 2" xfId="169" xr:uid="{00000000-0005-0000-0000-0000A8000000}"/>
    <cellStyle name="_FQC LRR-assembly line_FQC LRR-assembly line_Copy of FQC Reject Rate -Assembly line_FQC Reject Rate -Assembly line_FQC Reject Rate -Assembly line_FQC Reject Rate -Assembly line_FQC Reject Rate -Assembly line" xfId="170" xr:uid="{00000000-0005-0000-0000-0000A9000000}"/>
    <cellStyle name="_FQC LRR-assembly line_FQC LRR-assembly line_Copy of FQC Reject Rate -Assembly line_FQC Reject Rate -Assembly line_FQC Reject Rate -Assembly line_FQC Reject Rate -Assembly line_FQC Reject Rate -Assembly line 2" xfId="171" xr:uid="{00000000-0005-0000-0000-0000AA000000}"/>
    <cellStyle name="_FQC LRR-assembly line_FQC LRR-assembly line_Copy of FQC Reject Rate -Assembly line_FQC Reject Rate -Assembly line_FQC Reject Rate -Assembly line_FQC Reject Rate -Assembly line_FQC Reject Rate -Assembly line 2 2" xfId="172" xr:uid="{00000000-0005-0000-0000-0000AB000000}"/>
    <cellStyle name="_FQC LRR-assembly line_FQC LRR-assembly line_Copy of FQC Reject Rate -Assembly line_FQC Reject Rate -Assembly line_FQC Reject Rate -Assembly line_FQC Reject Rate -Assembly line_FQC Reject Rate -Assembly line 2014" xfId="173" xr:uid="{00000000-0005-0000-0000-0000AC000000}"/>
    <cellStyle name="_FQC LRR-assembly line_FQC LRR-assembly line_Copy of FQC Reject Rate -Assembly line_FQC Reject Rate -Assembly line_FQC Reject Rate -Assembly line_FQC Reject Rate -Assembly line_FQC Reject Rate -Assembly line 2014 2" xfId="174" xr:uid="{00000000-0005-0000-0000-0000AD000000}"/>
    <cellStyle name="_FQC LRR-assembly line_FQC LRR-assembly line_Copy of FQC Reject Rate -Assembly line_FQC Reject Rate -Assembly line_FQC Reject Rate -Assembly line_FQC Reject Rate -Assembly line_FQC Reject Rate -Assembly line 2014 2 2" xfId="175" xr:uid="{00000000-0005-0000-0000-0000AE000000}"/>
    <cellStyle name="_FQC LRR-assembly line_FQC LRR-assembly line_Copy of FQC Reject Rate -Assembly line_FQC Reject Rate -Assembly line_FQC Reject Rate -Assembly line_FQC Reject Rate -Assembly line_FQC Reject Rate -Assembly line 2015" xfId="176" xr:uid="{00000000-0005-0000-0000-0000AF000000}"/>
    <cellStyle name="_FQC LRR-assembly line_FQC LRR-assembly line_Copy of FQC Reject Rate -Assembly line_FQC Reject Rate -Assembly line_FQC Reject Rate -Assembly line_FQC Reject Rate -Assembly line_FQC Reject Rate -Assembly line 2015 2" xfId="177" xr:uid="{00000000-0005-0000-0000-0000B0000000}"/>
    <cellStyle name="_FQC LRR-assembly line_FQC LRR-assembly line_Copy of FQC Reject Rate -Assembly line_FQC Reject Rate -Assembly line_FQC Reject Rate -Assembly line_FQC Reject Rate -Assembly line_FQC Reject Rate -Assembly line 2015 2 2" xfId="178" xr:uid="{00000000-0005-0000-0000-0000B1000000}"/>
    <cellStyle name="_FQC LRR-assembly line_FQC LRR-assembly line_Copy of FQC Reject Rate -Assembly line_FQC Reject Rate -Assembly line_FQC Reject Rate -Assembly line_FQC Reject Rate -Assembly line_FQC Reject Rate -Assembly line_FQC Reject Rate -Assembly line" xfId="179" xr:uid="{00000000-0005-0000-0000-0000B2000000}"/>
    <cellStyle name="_FQC LRR-assembly line_FQC LRR-assembly line_Copy of FQC Reject Rate -Assembly line_FQC Reject Rate -Assembly line_FQC Reject Rate -Assembly line_FQC Reject Rate -Assembly line_FQC Reject Rate -Assembly line_FQC Reject Rate -Assembly line 2" xfId="180" xr:uid="{00000000-0005-0000-0000-0000B3000000}"/>
    <cellStyle name="_FQC LRR-assembly line_FQC LRR-assembly line_Copy of FQC Reject Rate -Assembly line_FQC Reject Rate -Assembly line_FQC Reject Rate -Assembly line_FQC Reject Rate -Assembly line_FQC Reject Rate -Assembly line_FQC Reject Rate -Assembly line_FQC Reject Rate " xfId="181" xr:uid="{00000000-0005-0000-0000-0000B4000000}"/>
    <cellStyle name="_FQC LRR-assembly line_FQC LRR-assembly line_database" xfId="182" xr:uid="{00000000-0005-0000-0000-0000B5000000}"/>
    <cellStyle name="_FQC LRR-assembly line_FQC LRR-assembly line_database 2" xfId="183" xr:uid="{00000000-0005-0000-0000-0000B6000000}"/>
    <cellStyle name="_FQC LRR-assembly line_FQC LRR-assembly line_database 2 2" xfId="184" xr:uid="{00000000-0005-0000-0000-0000B7000000}"/>
    <cellStyle name="_FQC LRR-assembly line_FQC LRR-assembly line_database_FQC Reject Rate -Assembly line" xfId="185" xr:uid="{00000000-0005-0000-0000-0000B8000000}"/>
    <cellStyle name="_FQC LRR-assembly line_FQC LRR-assembly line_database_FQC Reject Rate -Assembly line 2" xfId="186" xr:uid="{00000000-0005-0000-0000-0000B9000000}"/>
    <cellStyle name="_FQC LRR-assembly line_FQC LRR-assembly line_database_FQC Reject Rate -Assembly line_FQC Reject Rate -Assembly line" xfId="187" xr:uid="{00000000-0005-0000-0000-0000BA000000}"/>
    <cellStyle name="_FQC LRR-assembly line_FQC LRR-assembly line_database_FQC Reject Rate -Assembly line_FQC Reject Rate -Assembly line 2" xfId="188" xr:uid="{00000000-0005-0000-0000-0000BB000000}"/>
    <cellStyle name="_FQC LRR-assembly line_FQC LRR-assembly line_database_FQC Reject Rate -Assembly line_FQC Reject Rate -Assembly line 2 2" xfId="189" xr:uid="{00000000-0005-0000-0000-0000BC000000}"/>
    <cellStyle name="_FQC LRR-assembly line_FQC LRR-assembly line_database_FQC Reject Rate -Assembly line_FQC Reject Rate -Assembly line 2014" xfId="190" xr:uid="{00000000-0005-0000-0000-0000BD000000}"/>
    <cellStyle name="_FQC LRR-assembly line_FQC LRR-assembly line_database_FQC Reject Rate -Assembly line_FQC Reject Rate -Assembly line 2014 2" xfId="191" xr:uid="{00000000-0005-0000-0000-0000BE000000}"/>
    <cellStyle name="_FQC LRR-assembly line_FQC LRR-assembly line_database_FQC Reject Rate -Assembly line_FQC Reject Rate -Assembly line 2014 2 2" xfId="192" xr:uid="{00000000-0005-0000-0000-0000BF000000}"/>
    <cellStyle name="_FQC LRR-assembly line_FQC LRR-assembly line_database_FQC Reject Rate -Assembly line_FQC Reject Rate -Assembly line 2015" xfId="193" xr:uid="{00000000-0005-0000-0000-0000C0000000}"/>
    <cellStyle name="_FQC LRR-assembly line_FQC LRR-assembly line_database_FQC Reject Rate -Assembly line_FQC Reject Rate -Assembly line 2015 2" xfId="194" xr:uid="{00000000-0005-0000-0000-0000C1000000}"/>
    <cellStyle name="_FQC LRR-assembly line_FQC LRR-assembly line_database_FQC Reject Rate -Assembly line_FQC Reject Rate -Assembly line 2015 2 2" xfId="195" xr:uid="{00000000-0005-0000-0000-0000C2000000}"/>
    <cellStyle name="_FQC LRR-assembly line_FQC LRR-assembly line_database_FQC Reject Rate -Assembly line_FQC Reject Rate -Assembly line_FQC Reject Rate -Assembly line" xfId="196" xr:uid="{00000000-0005-0000-0000-0000C3000000}"/>
    <cellStyle name="_FQC LRR-assembly line_FQC LRR-assembly line_database_FQC Reject Rate -Assembly line_FQC Reject Rate -Assembly line_FQC Reject Rate -Assembly line 2" xfId="197" xr:uid="{00000000-0005-0000-0000-0000C4000000}"/>
    <cellStyle name="_FQC LRR-assembly line_FQC LRR-assembly line_database_FQC Reject Rate -Assembly line_FQC Reject Rate -Assembly line_FQC Reject Rate -Assembly line_FQC Reject Rate -Assembly line" xfId="198" xr:uid="{00000000-0005-0000-0000-0000C5000000}"/>
    <cellStyle name="_FQC LRR-assembly line_FQC LRR-assembly line_database_FQC Reject Rate -Assembly line_FQC Reject Rate -Assembly line_FQC Reject Rate -Assembly line_FQC Reject Rate -Assembly line 2" xfId="199" xr:uid="{00000000-0005-0000-0000-0000C6000000}"/>
    <cellStyle name="_FQC LRR-assembly line_FQC LRR-assembly line_database_FQC Reject Rate -Assembly line_FQC Reject Rate -Assembly line_FQC Reject Rate -Assembly line_FQC Reject Rate -Assembly line 2 2" xfId="200" xr:uid="{00000000-0005-0000-0000-0000C7000000}"/>
    <cellStyle name="_FQC LRR-assembly line_FQC LRR-assembly line_database_FQC Reject Rate -Assembly line_FQC Reject Rate -Assembly line_FQC Reject Rate -Assembly line_FQC Reject Rate -Assembly line 2014" xfId="201" xr:uid="{00000000-0005-0000-0000-0000C8000000}"/>
    <cellStyle name="_FQC LRR-assembly line_FQC LRR-assembly line_database_FQC Reject Rate -Assembly line_FQC Reject Rate -Assembly line_FQC Reject Rate -Assembly line_FQC Reject Rate -Assembly line 2014 2" xfId="202" xr:uid="{00000000-0005-0000-0000-0000C9000000}"/>
    <cellStyle name="_FQC LRR-assembly line_FQC LRR-assembly line_database_FQC Reject Rate -Assembly line_FQC Reject Rate -Assembly line_FQC Reject Rate -Assembly line_FQC Reject Rate -Assembly line 2014 2 2" xfId="203" xr:uid="{00000000-0005-0000-0000-0000CA000000}"/>
    <cellStyle name="_FQC LRR-assembly line_FQC LRR-assembly line_database_FQC Reject Rate -Assembly line_FQC Reject Rate -Assembly line_FQC Reject Rate -Assembly line_FQC Reject Rate -Assembly line 2015" xfId="204" xr:uid="{00000000-0005-0000-0000-0000CB000000}"/>
    <cellStyle name="_FQC LRR-assembly line_FQC LRR-assembly line_database_FQC Reject Rate -Assembly line_FQC Reject Rate -Assembly line_FQC Reject Rate -Assembly line_FQC Reject Rate -Assembly line 2015 2" xfId="205" xr:uid="{00000000-0005-0000-0000-0000CC000000}"/>
    <cellStyle name="_FQC LRR-assembly line_FQC LRR-assembly line_database_FQC Reject Rate -Assembly line_FQC Reject Rate -Assembly line_FQC Reject Rate -Assembly line_FQC Reject Rate -Assembly line 2015 2 2" xfId="206" xr:uid="{00000000-0005-0000-0000-0000CD000000}"/>
    <cellStyle name="_FQC LRR-assembly line_FQC LRR-assembly line_database_FQC Reject Rate -Assembly line_FQC Reject Rate -Assembly line_FQC Reject Rate -Assembly line_FQC Reject Rate -Assembly line_FQC Reject Rate -Assembly line" xfId="207" xr:uid="{00000000-0005-0000-0000-0000CE000000}"/>
    <cellStyle name="_FQC LRR-assembly line_FQC LRR-assembly line_database_FQC Reject Rate -Assembly line_FQC Reject Rate -Assembly line_FQC Reject Rate -Assembly line_FQC Reject Rate -Assembly line_FQC Reject Rate -Assembly line 2" xfId="208" xr:uid="{00000000-0005-0000-0000-0000CF000000}"/>
    <cellStyle name="_FQC LRR-assembly line_FQC LRR-assembly line_database_FQC Reject Rate -Assembly line_FQC Reject Rate -Assembly line_FQC Reject Rate -Assembly line_FQC Reject Rate -Assembly line_FQC Reject Rate -Assembly line_FQC Reject Rate -Assembly line" xfId="209" xr:uid="{00000000-0005-0000-0000-0000D0000000}"/>
    <cellStyle name="_FQC LRR-assembly line_FQC LRR-assembly line_database_FQC Reject Rate -Assembly line_FQC Reject Rate -Assembly line_FQC Reject Rate -Assembly line_FQC Reject Rate -Assembly line_FQC Reject Rate -Assembly line_FQC Reject Rate -Assembly line 2" xfId="210" xr:uid="{00000000-0005-0000-0000-0000D1000000}"/>
    <cellStyle name="_FQC LRR-assembly line_FQC LRR-assembly line_database_FQC Reject Rate -Assembly line_FQC Reject Rate -Assembly line_FQC Reject Rate -Assembly line_FQC Reject Rate -Assembly line_FQC Reject Rate -Assembly line_FQC Reject Rate -Assembly line 2 2" xfId="211" xr:uid="{00000000-0005-0000-0000-0000D2000000}"/>
    <cellStyle name="_FQC LRR-assembly line_FQC LRR-assembly line_database_FQC Reject Rate -Assembly line_FQC Reject Rate -Assembly line_FQC Reject Rate -Assembly line_FQC Reject Rate -Assembly line_FQC Reject Rate -Assembly line_FQC Reject Rate -Assembly line 2014" xfId="212" xr:uid="{00000000-0005-0000-0000-0000D3000000}"/>
    <cellStyle name="_FQC LRR-assembly line_FQC LRR-assembly line_database_FQC Reject Rate -Assembly line_FQC Reject Rate -Assembly line_FQC Reject Rate -Assembly line_FQC Reject Rate -Assembly line_FQC Reject Rate -Assembly line_FQC Reject Rate -Assembly line 2014 2" xfId="213" xr:uid="{00000000-0005-0000-0000-0000D4000000}"/>
    <cellStyle name="_FQC LRR-assembly line_FQC LRR-assembly line_database_FQC Reject Rate -Assembly line_FQC Reject Rate -Assembly line_FQC Reject Rate -Assembly line_FQC Reject Rate -Assembly line_FQC Reject Rate -Assembly line_FQC Reject Rate -Assembly line 2014 2 2" xfId="214" xr:uid="{00000000-0005-0000-0000-0000D5000000}"/>
    <cellStyle name="_FQC LRR-assembly line_FQC LRR-assembly line_database_FQC Reject Rate -Assembly line_FQC Reject Rate -Assembly line_FQC Reject Rate -Assembly line_FQC Reject Rate -Assembly line_FQC Reject Rate -Assembly line_FQC Reject Rate -Assembly line 2015" xfId="215" xr:uid="{00000000-0005-0000-0000-0000D6000000}"/>
    <cellStyle name="_FQC LRR-assembly line_FQC LRR-assembly line_database_FQC Reject Rate -Assembly line_FQC Reject Rate -Assembly line_FQC Reject Rate -Assembly line_FQC Reject Rate -Assembly line_FQC Reject Rate -Assembly line_FQC Reject Rate -Assembly line 2015 2" xfId="216" xr:uid="{00000000-0005-0000-0000-0000D7000000}"/>
    <cellStyle name="_FQC LRR-assembly line_FQC LRR-assembly line_database_FQC Reject Rate -Assembly line_FQC Reject Rate -Assembly line_FQC Reject Rate -Assembly line_FQC Reject Rate -Assembly line_FQC Reject Rate -Assembly line_FQC Reject Rate -Assembly line 2015 2 2" xfId="217" xr:uid="{00000000-0005-0000-0000-0000D8000000}"/>
    <cellStyle name="_FQC LRR-assembly line_FQC LRR-assembly line_FQC Defect Rate -Assembly line" xfId="218" xr:uid="{00000000-0005-0000-0000-0000D9000000}"/>
    <cellStyle name="_FQC LRR-assembly line_FQC LRR-assembly line_FQC Defect Rate -Assembly line 2" xfId="219" xr:uid="{00000000-0005-0000-0000-0000DA000000}"/>
    <cellStyle name="_FQC LRR-assembly line_FQC LRR-assembly line_FQC Defect Rate -Assembly line 2 2" xfId="220" xr:uid="{00000000-0005-0000-0000-0000DB000000}"/>
    <cellStyle name="_FQC LRR-assembly line_FQC LRR-assembly line_FQC Defect Rate -Assembly line_FQC Reject Rate -Assembly line" xfId="221" xr:uid="{00000000-0005-0000-0000-0000DC000000}"/>
    <cellStyle name="_FQC LRR-assembly line_FQC LRR-assembly line_FQC Defect Rate -Assembly line_FQC Reject Rate -Assembly line 2" xfId="222" xr:uid="{00000000-0005-0000-0000-0000DD000000}"/>
    <cellStyle name="_FQC LRR-assembly line_FQC LRR-assembly line_FQC Defect Rate -Assembly line_FQC Reject Rate -Assembly line_FQC Reject Rate -Assembly line" xfId="223" xr:uid="{00000000-0005-0000-0000-0000DE000000}"/>
    <cellStyle name="_FQC LRR-assembly line_FQC LRR-assembly line_FQC Defect Rate -Assembly line_FQC Reject Rate -Assembly line_FQC Reject Rate -Assembly line 2" xfId="224" xr:uid="{00000000-0005-0000-0000-0000DF000000}"/>
    <cellStyle name="_FQC LRR-assembly line_FQC LRR-assembly line_FQC Defect Rate -Assembly line_FQC Reject Rate -Assembly line_FQC Reject Rate -Assembly line 2 2" xfId="225" xr:uid="{00000000-0005-0000-0000-0000E0000000}"/>
    <cellStyle name="_FQC LRR-assembly line_FQC LRR-assembly line_FQC Defect Rate -Assembly line_FQC Reject Rate -Assembly line_FQC Reject Rate -Assembly line 2014" xfId="226" xr:uid="{00000000-0005-0000-0000-0000E1000000}"/>
    <cellStyle name="_FQC LRR-assembly line_FQC LRR-assembly line_FQC Defect Rate -Assembly line_FQC Reject Rate -Assembly line_FQC Reject Rate -Assembly line 2014 2" xfId="227" xr:uid="{00000000-0005-0000-0000-0000E2000000}"/>
    <cellStyle name="_FQC LRR-assembly line_FQC LRR-assembly line_FQC Defect Rate -Assembly line_FQC Reject Rate -Assembly line_FQC Reject Rate -Assembly line 2014 2 2" xfId="228" xr:uid="{00000000-0005-0000-0000-0000E3000000}"/>
    <cellStyle name="_FQC LRR-assembly line_FQC LRR-assembly line_FQC Defect Rate -Assembly line_FQC Reject Rate -Assembly line_FQC Reject Rate -Assembly line 2015" xfId="229" xr:uid="{00000000-0005-0000-0000-0000E4000000}"/>
    <cellStyle name="_FQC LRR-assembly line_FQC LRR-assembly line_FQC Defect Rate -Assembly line_FQC Reject Rate -Assembly line_FQC Reject Rate -Assembly line 2015 2" xfId="230" xr:uid="{00000000-0005-0000-0000-0000E5000000}"/>
    <cellStyle name="_FQC LRR-assembly line_FQC LRR-assembly line_FQC Defect Rate -Assembly line_FQC Reject Rate -Assembly line_FQC Reject Rate -Assembly line 2015 2 2" xfId="231" xr:uid="{00000000-0005-0000-0000-0000E6000000}"/>
    <cellStyle name="_FQC LRR-assembly line_FQC LRR-assembly line_FQC Defect Rate -Assembly line_FQC Reject Rate -Assembly line_FQC Reject Rate -Assembly line_FQC Reject Rate -Assembly line" xfId="232" xr:uid="{00000000-0005-0000-0000-0000E7000000}"/>
    <cellStyle name="_FQC LRR-assembly line_FQC LRR-assembly line_FQC Defect Rate -Assembly line_FQC Reject Rate -Assembly line_FQC Reject Rate -Assembly line_FQC Reject Rate -Assembly line 2" xfId="233" xr:uid="{00000000-0005-0000-0000-0000E8000000}"/>
    <cellStyle name="_FQC LRR-assembly line_FQC LRR-assembly line_FQC Defect Rate -Assembly line_FQC Reject Rate -Assembly line_FQC Reject Rate -Assembly line_FQC Reject Rate -Assembly line_FQC Reject Rate -Assembly line" xfId="234" xr:uid="{00000000-0005-0000-0000-0000E9000000}"/>
    <cellStyle name="_FQC LRR-assembly line_FQC LRR-assembly line_FQC Defect Rate -Assembly line_FQC Reject Rate -Assembly line_FQC Reject Rate -Assembly line_FQC Reject Rate -Assembly line_FQC Reject Rate -Assembly line 2" xfId="235" xr:uid="{00000000-0005-0000-0000-0000EA000000}"/>
    <cellStyle name="_FQC LRR-assembly line_FQC LRR-assembly line_FQC Defect Rate -Assembly line_FQC Reject Rate -Assembly line_FQC Reject Rate -Assembly line_FQC Reject Rate -Assembly line_FQC Reject Rate -Assembly line 2 2" xfId="236" xr:uid="{00000000-0005-0000-0000-0000EB000000}"/>
    <cellStyle name="_FQC LRR-assembly line_FQC LRR-assembly line_FQC Defect Rate -Assembly line_FQC Reject Rate -Assembly line_FQC Reject Rate -Assembly line_FQC Reject Rate -Assembly line_FQC Reject Rate -Assembly line 2014" xfId="237" xr:uid="{00000000-0005-0000-0000-0000EC000000}"/>
    <cellStyle name="_FQC LRR-assembly line_FQC LRR-assembly line_FQC Defect Rate -Assembly line_FQC Reject Rate -Assembly line_FQC Reject Rate -Assembly line_FQC Reject Rate -Assembly line_FQC Reject Rate -Assembly line 2014 2" xfId="238" xr:uid="{00000000-0005-0000-0000-0000ED000000}"/>
    <cellStyle name="_FQC LRR-assembly line_FQC LRR-assembly line_FQC Defect Rate -Assembly line_FQC Reject Rate -Assembly line_FQC Reject Rate -Assembly line_FQC Reject Rate -Assembly line_FQC Reject Rate -Assembly line 2014 2 2" xfId="239" xr:uid="{00000000-0005-0000-0000-0000EE000000}"/>
    <cellStyle name="_FQC LRR-assembly line_FQC LRR-assembly line_FQC Defect Rate -Assembly line_FQC Reject Rate -Assembly line_FQC Reject Rate -Assembly line_FQC Reject Rate -Assembly line_FQC Reject Rate -Assembly line 2015" xfId="240" xr:uid="{00000000-0005-0000-0000-0000EF000000}"/>
    <cellStyle name="_FQC LRR-assembly line_FQC LRR-assembly line_FQC Defect Rate -Assembly line_FQC Reject Rate -Assembly line_FQC Reject Rate -Assembly line_FQC Reject Rate -Assembly line_FQC Reject Rate -Assembly line 2015 2" xfId="241" xr:uid="{00000000-0005-0000-0000-0000F0000000}"/>
    <cellStyle name="_FQC LRR-assembly line_FQC LRR-assembly line_FQC Defect Rate -Assembly line_FQC Reject Rate -Assembly line_FQC Reject Rate -Assembly line_FQC Reject Rate -Assembly line_FQC Reject Rate -Assembly line 2015 2 2" xfId="242" xr:uid="{00000000-0005-0000-0000-0000F1000000}"/>
    <cellStyle name="_FQC LRR-assembly line_FQC LRR-assembly line_FQC Defect Rate -Assembly line_FQC Reject Rate -Assembly line_FQC Reject Rate -Assembly line_FQC Reject Rate -Assembly line_FQC Reject Rate -Assembly line_FQC Reject Rate -Assembly line" xfId="243" xr:uid="{00000000-0005-0000-0000-0000F2000000}"/>
    <cellStyle name="_FQC LRR-assembly line_FQC LRR-assembly line_FQC Defect Rate -Assembly line_FQC Reject Rate -Assembly line_FQC Reject Rate -Assembly line_FQC Reject Rate -Assembly line_FQC Reject Rate -Assembly line_FQC Reject Rate -Assembly line 2" xfId="244" xr:uid="{00000000-0005-0000-0000-0000F3000000}"/>
    <cellStyle name="_FQC LRR-assembly line_FQC LRR-assembly line_FQC Defect Rate -Assembly line_FQC Reject Rate -Assembly line_FQC Reject Rate -Assembly line_FQC Reject Rate -Assembly line_FQC Reject Rate -Assembly line_FQC Reject Rate -Assembly line_FQC Reject Rate -Assembl" xfId="245" xr:uid="{00000000-0005-0000-0000-0000F4000000}"/>
    <cellStyle name="_FQC LRR-assembly line_FQC LRR-assembly line_FQC LRR-assembly line" xfId="246" xr:uid="{00000000-0005-0000-0000-0000F5000000}"/>
    <cellStyle name="_FQC LRR-assembly line_FQC LRR-assembly line_FQC LRR-assembly line 2" xfId="247" xr:uid="{00000000-0005-0000-0000-0000F6000000}"/>
    <cellStyle name="_FQC LRR-assembly line_FQC LRR-assembly line_FQC LRR-assembly line 2 2" xfId="248" xr:uid="{00000000-0005-0000-0000-0000F7000000}"/>
    <cellStyle name="_FQC LRR-assembly line_FQC LRR-assembly line_FQC LRR-assembly line_FQC LRR-assembly line" xfId="249" xr:uid="{00000000-0005-0000-0000-0000F8000000}"/>
    <cellStyle name="_FQC LRR-assembly line_FQC LRR-assembly line_FQC LRR-assembly line_FQC LRR-assembly line 2" xfId="250" xr:uid="{00000000-0005-0000-0000-0000F9000000}"/>
    <cellStyle name="_FQC LRR-assembly line_FQC LRR-assembly line_FQC LRR-assembly line_FQC LRR-assembly line_Copy of FQC Reject Rate -Assembly line" xfId="251" xr:uid="{00000000-0005-0000-0000-0000FA000000}"/>
    <cellStyle name="_FQC LRR-assembly line_FQC LRR-assembly line_FQC LRR-assembly line_FQC LRR-assembly line_Copy of FQC Reject Rate -Assembly line 2" xfId="252" xr:uid="{00000000-0005-0000-0000-0000FB000000}"/>
    <cellStyle name="_FQC LRR-assembly line_FQC LRR-assembly line_FQC LRR-assembly line_FQC LRR-assembly line_Copy of FQC Reject Rate -Assembly line 2 2" xfId="253" xr:uid="{00000000-0005-0000-0000-0000FC000000}"/>
    <cellStyle name="_FQC LRR-assembly line_FQC LRR-assembly line_FQC LRR-assembly line_FQC LRR-assembly line_Copy of FQC Reject Rate -Assembly line_FQC Reject Rate -Assembly line" xfId="254" xr:uid="{00000000-0005-0000-0000-0000FD000000}"/>
    <cellStyle name="_FQC LRR-assembly line_FQC LRR-assembly line_FQC LRR-assembly line_FQC LRR-assembly line_Copy of FQC Reject Rate -Assembly line_FQC Reject Rate -Assembly line 2" xfId="255" xr:uid="{00000000-0005-0000-0000-0000FE000000}"/>
    <cellStyle name="_FQC LRR-assembly line_FQC LRR-assembly line_FQC LRR-assembly line_FQC LRR-assembly line_Copy of FQC Reject Rate -Assembly line_FQC Reject Rate -Assembly line_FQC Reject Rate -Assembly line" xfId="256" xr:uid="{00000000-0005-0000-0000-0000FF000000}"/>
    <cellStyle name="_FQC LRR-assembly line_FQC LRR-assembly line_FQC LRR-assembly line_FQC LRR-assembly line_Copy of FQC Reject Rate -Assembly line_FQC Reject Rate -Assembly line_FQC Reject Rate -Assembly line 2" xfId="257" xr:uid="{00000000-0005-0000-0000-000000010000}"/>
    <cellStyle name="_FQC LRR-assembly line_FQC LRR-assembly line_FQC LRR-assembly line_FQC LRR-assembly line_Copy of FQC Reject Rate -Assembly line_FQC Reject Rate -Assembly line_FQC Reject Rate -Assembly line 2 2" xfId="258" xr:uid="{00000000-0005-0000-0000-000001010000}"/>
    <cellStyle name="_FQC LRR-assembly line_FQC LRR-assembly line_FQC LRR-assembly line_FQC LRR-assembly line_Copy of FQC Reject Rate -Assembly line_FQC Reject Rate -Assembly line_FQC Reject Rate -Assembly line 2014" xfId="259" xr:uid="{00000000-0005-0000-0000-000002010000}"/>
    <cellStyle name="_FQC LRR-assembly line_FQC LRR-assembly line_FQC LRR-assembly line_FQC LRR-assembly line_Copy of FQC Reject Rate -Assembly line_FQC Reject Rate -Assembly line_FQC Reject Rate -Assembly line 2014 2" xfId="260" xr:uid="{00000000-0005-0000-0000-000003010000}"/>
    <cellStyle name="_FQC LRR-assembly line_FQC LRR-assembly line_FQC LRR-assembly line_FQC LRR-assembly line_Copy of FQC Reject Rate -Assembly line_FQC Reject Rate -Assembly line_FQC Reject Rate -Assembly line 2014 2 2" xfId="261" xr:uid="{00000000-0005-0000-0000-000004010000}"/>
    <cellStyle name="_FQC LRR-assembly line_FQC LRR-assembly line_FQC LRR-assembly line_FQC LRR-assembly line_Copy of FQC Reject Rate -Assembly line_FQC Reject Rate -Assembly line_FQC Reject Rate -Assembly line 2015" xfId="262" xr:uid="{00000000-0005-0000-0000-000005010000}"/>
    <cellStyle name="_FQC LRR-assembly line_FQC LRR-assembly line_FQC LRR-assembly line_FQC LRR-assembly line_Copy of FQC Reject Rate -Assembly line_FQC Reject Rate -Assembly line_FQC Reject Rate -Assembly line 2015 2" xfId="263" xr:uid="{00000000-0005-0000-0000-000006010000}"/>
    <cellStyle name="_FQC LRR-assembly line_FQC LRR-assembly line_FQC LRR-assembly line_FQC LRR-assembly line_Copy of FQC Reject Rate -Assembly line_FQC Reject Rate -Assembly line_FQC Reject Rate -Assembly line 2015 2 2" xfId="264" xr:uid="{00000000-0005-0000-0000-000007010000}"/>
    <cellStyle name="_FQC LRR-assembly line_FQC LRR-assembly line_FQC LRR-assembly line_FQC LRR-assembly line_Copy of FQC Reject Rate -Assembly line_FQC Reject Rate -Assembly line_FQC Reject Rate -Assembly line_FQC Reject Rate -Assembly line" xfId="265" xr:uid="{00000000-0005-0000-0000-000008010000}"/>
    <cellStyle name="_FQC LRR-assembly line_FQC LRR-assembly line_FQC LRR-assembly line_FQC LRR-assembly line_Copy of FQC Reject Rate -Assembly line_FQC Reject Rate -Assembly line_FQC Reject Rate -Assembly line_FQC Reject Rate -Assembly line 2" xfId="266" xr:uid="{00000000-0005-0000-0000-000009010000}"/>
    <cellStyle name="_FQC LRR-assembly line_FQC LRR-assembly line_FQC LRR-assembly line_FQC LRR-assembly line_Copy of FQC Reject Rate -Assembly line_FQC Reject Rate -Assembly line_FQC Reject Rate -Assembly line_FQC Reject Rate -Assembly line_FQC Reject Rate -Assembly line" xfId="267" xr:uid="{00000000-0005-0000-0000-00000A010000}"/>
    <cellStyle name="_FQC LRR-assembly line_FQC LRR-assembly line_FQC LRR-assembly line_FQC LRR-assembly line_Copy of FQC Reject Rate -Assembly line_FQC Reject Rate -Assembly line_FQC Reject Rate -Assembly line_FQC Reject Rate -Assembly line_FQC Reject Rate -Assembly line 2" xfId="268" xr:uid="{00000000-0005-0000-0000-00000B010000}"/>
    <cellStyle name="_FQC LRR-assembly line_FQC LRR-assembly line_FQC LRR-assembly line_FQC LRR-assembly line_Copy of FQC Reject Rate -Assembly line_FQC Reject Rate -Assembly line_FQC Reject Rate -Assembly line_FQC Reject Rate -Assembly line_FQC Reject Rate -Assembly line 2 2" xfId="269" xr:uid="{00000000-0005-0000-0000-00000C010000}"/>
    <cellStyle name="_FQC LRR-assembly line_FQC LRR-assembly line_FQC LRR-assembly line_FQC LRR-assembly line_Copy of FQC Reject Rate -Assembly line_FQC Reject Rate -Assembly line_FQC Reject Rate -Assembly line_FQC Reject Rate -Assembly line_FQC Reject Rate -Assembly line 201" xfId="270" xr:uid="{00000000-0005-0000-0000-00000D010000}"/>
    <cellStyle name="_FQC LRR-assembly line_FQC LRR-assembly line_FQC LRR-assembly line_FQC LRR-assembly line_database" xfId="271" xr:uid="{00000000-0005-0000-0000-00000E010000}"/>
    <cellStyle name="_FQC LRR-assembly line_FQC LRR-assembly line_FQC LRR-assembly line_FQC LRR-assembly line_database 2" xfId="272" xr:uid="{00000000-0005-0000-0000-00000F010000}"/>
    <cellStyle name="_FQC LRR-assembly line_FQC LRR-assembly line_FQC LRR-assembly line_FQC LRR-assembly line_database 2 2" xfId="273" xr:uid="{00000000-0005-0000-0000-000010010000}"/>
    <cellStyle name="_FQC LRR-assembly line_FQC LRR-assembly line_FQC LRR-assembly line_FQC LRR-assembly line_database_FQC Reject Rate -Assembly line" xfId="274" xr:uid="{00000000-0005-0000-0000-000011010000}"/>
    <cellStyle name="_FQC LRR-assembly line_FQC LRR-assembly line_FQC LRR-assembly line_FQC LRR-assembly line_database_FQC Reject Rate -Assembly line 2" xfId="275" xr:uid="{00000000-0005-0000-0000-000012010000}"/>
    <cellStyle name="_FQC LRR-assembly line_FQC LRR-assembly line_FQC LRR-assembly line_FQC LRR-assembly line_database_FQC Reject Rate -Assembly line_FQC Reject Rate -Assembly line" xfId="276" xr:uid="{00000000-0005-0000-0000-000013010000}"/>
    <cellStyle name="_FQC LRR-assembly line_FQC LRR-assembly line_FQC LRR-assembly line_FQC LRR-assembly line_database_FQC Reject Rate -Assembly line_FQC Reject Rate -Assembly line 2" xfId="277" xr:uid="{00000000-0005-0000-0000-000014010000}"/>
    <cellStyle name="_FQC LRR-assembly line_FQC LRR-assembly line_FQC LRR-assembly line_FQC LRR-assembly line_database_FQC Reject Rate -Assembly line_FQC Reject Rate -Assembly line 2 2" xfId="278" xr:uid="{00000000-0005-0000-0000-000015010000}"/>
    <cellStyle name="_FQC LRR-assembly line_FQC LRR-assembly line_FQC LRR-assembly line_FQC LRR-assembly line_database_FQC Reject Rate -Assembly line_FQC Reject Rate -Assembly line 2014" xfId="279" xr:uid="{00000000-0005-0000-0000-000016010000}"/>
    <cellStyle name="_FQC LRR-assembly line_FQC LRR-assembly line_FQC LRR-assembly line_FQC LRR-assembly line_database_FQC Reject Rate -Assembly line_FQC Reject Rate -Assembly line 2014 2" xfId="280" xr:uid="{00000000-0005-0000-0000-000017010000}"/>
    <cellStyle name="_FQC LRR-assembly line_FQC LRR-assembly line_FQC LRR-assembly line_FQC LRR-assembly line_database_FQC Reject Rate -Assembly line_FQC Reject Rate -Assembly line 2014 2 2" xfId="281" xr:uid="{00000000-0005-0000-0000-000018010000}"/>
    <cellStyle name="_FQC LRR-assembly line_FQC LRR-assembly line_FQC LRR-assembly line_FQC LRR-assembly line_database_FQC Reject Rate -Assembly line_FQC Reject Rate -Assembly line 2015" xfId="282" xr:uid="{00000000-0005-0000-0000-000019010000}"/>
    <cellStyle name="_FQC LRR-assembly line_FQC LRR-assembly line_FQC LRR-assembly line_FQC LRR-assembly line_database_FQC Reject Rate -Assembly line_FQC Reject Rate -Assembly line 2015 2" xfId="283" xr:uid="{00000000-0005-0000-0000-00001A010000}"/>
    <cellStyle name="_FQC LRR-assembly line_FQC LRR-assembly line_FQC LRR-assembly line_FQC LRR-assembly line_database_FQC Reject Rate -Assembly line_FQC Reject Rate -Assembly line 2015 2 2" xfId="284" xr:uid="{00000000-0005-0000-0000-00001B010000}"/>
    <cellStyle name="_FQC LRR-assembly line_FQC LRR-assembly line_FQC LRR-assembly line_FQC LRR-assembly line_database_FQC Reject Rate -Assembly line_FQC Reject Rate -Assembly line_FQC Reject Rate -Assembly line" xfId="285" xr:uid="{00000000-0005-0000-0000-00001C010000}"/>
    <cellStyle name="_FQC LRR-assembly line_FQC LRR-assembly line_FQC LRR-assembly line_FQC LRR-assembly line_database_FQC Reject Rate -Assembly line_FQC Reject Rate -Assembly line_FQC Reject Rate -Assembly line 2" xfId="286" xr:uid="{00000000-0005-0000-0000-00001D010000}"/>
    <cellStyle name="_FQC LRR-assembly line_FQC LRR-assembly line_FQC LRR-assembly line_FQC LRR-assembly line_database_FQC Reject Rate -Assembly line_FQC Reject Rate -Assembly line_FQC Reject Rate -Assembly line_FQC Reject Rate -Assembly line" xfId="287" xr:uid="{00000000-0005-0000-0000-00001E010000}"/>
    <cellStyle name="_FQC LRR-assembly line_FQC LRR-assembly line_FQC LRR-assembly line_FQC LRR-assembly line_database_FQC Reject Rate -Assembly line_FQC Reject Rate -Assembly line_FQC Reject Rate -Assembly line_FQC Reject Rate -Assembly line 2" xfId="288" xr:uid="{00000000-0005-0000-0000-00001F010000}"/>
    <cellStyle name="_FQC LRR-assembly line_FQC LRR-assembly line_FQC LRR-assembly line_FQC LRR-assembly line_database_FQC Reject Rate -Assembly line_FQC Reject Rate -Assembly line_FQC Reject Rate -Assembly line_FQC Reject Rate -Assembly line 2 2" xfId="289" xr:uid="{00000000-0005-0000-0000-000020010000}"/>
    <cellStyle name="_FQC LRR-assembly line_FQC LRR-assembly line_FQC LRR-assembly line_FQC LRR-assembly line_database_FQC Reject Rate -Assembly line_FQC Reject Rate -Assembly line_FQC Reject Rate -Assembly line_FQC Reject Rate -Assembly line 2014" xfId="290" xr:uid="{00000000-0005-0000-0000-000021010000}"/>
    <cellStyle name="_FQC LRR-assembly line_FQC LRR-assembly line_FQC LRR-assembly line_FQC LRR-assembly line_database_FQC Reject Rate -Assembly line_FQC Reject Rate -Assembly line_FQC Reject Rate -Assembly line_FQC Reject Rate -Assembly line 2014 2" xfId="291" xr:uid="{00000000-0005-0000-0000-000022010000}"/>
    <cellStyle name="_FQC LRR-assembly line_FQC LRR-assembly line_FQC LRR-assembly line_FQC LRR-assembly line_database_FQC Reject Rate -Assembly line_FQC Reject Rate -Assembly line_FQC Reject Rate -Assembly line_FQC Reject Rate -Assembly line 2014 2 2" xfId="292" xr:uid="{00000000-0005-0000-0000-000023010000}"/>
    <cellStyle name="_FQC LRR-assembly line_FQC LRR-assembly line_FQC LRR-assembly line_FQC LRR-assembly line_database_FQC Reject Rate -Assembly line_FQC Reject Rate -Assembly line_FQC Reject Rate -Assembly line_FQC Reject Rate -Assembly line 2015" xfId="293" xr:uid="{00000000-0005-0000-0000-000024010000}"/>
    <cellStyle name="_FQC LRR-assembly line_FQC LRR-assembly line_FQC LRR-assembly line_FQC LRR-assembly line_database_FQC Reject Rate -Assembly line_FQC Reject Rate -Assembly line_FQC Reject Rate -Assembly line_FQC Reject Rate -Assembly line 2015 2" xfId="294" xr:uid="{00000000-0005-0000-0000-000025010000}"/>
    <cellStyle name="_FQC LRR-assembly line_FQC LRR-assembly line_FQC LRR-assembly line_FQC LRR-assembly line_database_FQC Reject Rate -Assembly line_FQC Reject Rate -Assembly line_FQC Reject Rate -Assembly line_FQC Reject Rate -Assembly line 2015 2 2" xfId="295" xr:uid="{00000000-0005-0000-0000-000026010000}"/>
    <cellStyle name="_FQC LRR-assembly line_FQC LRR-assembly line_FQC LRR-assembly line_FQC LRR-assembly line_database_FQC Reject Rate -Assembly line_FQC Reject Rate -Assembly line_FQC Reject Rate -Assembly line_FQC Reject Rate -Assembly line_FQC Reject Rate -Assembly line" xfId="296" xr:uid="{00000000-0005-0000-0000-000027010000}"/>
    <cellStyle name="_FQC LRR-assembly line_FQC LRR-assembly line_FQC LRR-assembly line_FQC LRR-assembly line_database_FQC Reject Rate -Assembly line_FQC Reject Rate -Assembly line_FQC Reject Rate -Assembly line_FQC Reject Rate -Assembly line_FQC Reject Rate -Assembly line 2" xfId="297" xr:uid="{00000000-0005-0000-0000-000028010000}"/>
    <cellStyle name="_FQC LRR-assembly line_FQC LRR-assembly line_FQC LRR-assembly line_FQC LRR-assembly line_database_FQC Reject Rate -Assembly line_FQC Reject Rate -Assembly line_FQC Reject Rate -Assembly line_FQC Reject Rate -Assembly line_FQC Reject Rate -Assembly line_FQ" xfId="298" xr:uid="{00000000-0005-0000-0000-000029010000}"/>
    <cellStyle name="_FQC LRR-assembly line_FQC LRR-assembly line_FQC LRR-assembly line_FQC LRR-assembly line_FQC Defect Rate -Assembly line" xfId="299" xr:uid="{00000000-0005-0000-0000-00002A010000}"/>
    <cellStyle name="_FQC LRR-assembly line_FQC LRR-assembly line_FQC LRR-assembly line_FQC LRR-assembly line_FQC Defect Rate -Assembly line 2" xfId="300" xr:uid="{00000000-0005-0000-0000-00002B010000}"/>
    <cellStyle name="_FQC LRR-assembly line_FQC LRR-assembly line_FQC LRR-assembly line_FQC LRR-assembly line_FQC Defect Rate -Assembly line 2 2" xfId="301" xr:uid="{00000000-0005-0000-0000-00002C010000}"/>
    <cellStyle name="_FQC LRR-assembly line_FQC LRR-assembly line_FQC LRR-assembly line_FQC LRR-assembly line_FQC Defect Rate -Assembly line_FQC Reject Rate -Assembly line" xfId="302" xr:uid="{00000000-0005-0000-0000-00002D010000}"/>
    <cellStyle name="_FQC LRR-assembly line_FQC LRR-assembly line_FQC LRR-assembly line_FQC LRR-assembly line_FQC Defect Rate -Assembly line_FQC Reject Rate -Assembly line 2" xfId="303" xr:uid="{00000000-0005-0000-0000-00002E010000}"/>
    <cellStyle name="_FQC LRR-assembly line_FQC LRR-assembly line_FQC LRR-assembly line_FQC LRR-assembly line_FQC Defect Rate -Assembly line_FQC Reject Rate -Assembly line_FQC Reject Rate -Assembly line" xfId="304" xr:uid="{00000000-0005-0000-0000-00002F010000}"/>
    <cellStyle name="_FQC LRR-assembly line_FQC LRR-assembly line_FQC LRR-assembly line_FQC LRR-assembly line_FQC Defect Rate -Assembly line_FQC Reject Rate -Assembly line_FQC Reject Rate -Assembly line 2" xfId="305" xr:uid="{00000000-0005-0000-0000-000030010000}"/>
    <cellStyle name="_FQC LRR-assembly line_FQC LRR-assembly line_FQC LRR-assembly line_FQC LRR-assembly line_FQC Defect Rate -Assembly line_FQC Reject Rate -Assembly line_FQC Reject Rate -Assembly line 2 2" xfId="306" xr:uid="{00000000-0005-0000-0000-000031010000}"/>
    <cellStyle name="_FQC LRR-assembly line_FQC LRR-assembly line_FQC LRR-assembly line_FQC LRR-assembly line_FQC Defect Rate -Assembly line_FQC Reject Rate -Assembly line_FQC Reject Rate -Assembly line 2014" xfId="307" xr:uid="{00000000-0005-0000-0000-000032010000}"/>
    <cellStyle name="_FQC LRR-assembly line_FQC LRR-assembly line_FQC LRR-assembly line_FQC LRR-assembly line_FQC Defect Rate -Assembly line_FQC Reject Rate -Assembly line_FQC Reject Rate -Assembly line 2014 2" xfId="308" xr:uid="{00000000-0005-0000-0000-000033010000}"/>
    <cellStyle name="_FQC LRR-assembly line_FQC LRR-assembly line_FQC LRR-assembly line_FQC LRR-assembly line_FQC Defect Rate -Assembly line_FQC Reject Rate -Assembly line_FQC Reject Rate -Assembly line 2014 2 2" xfId="309" xr:uid="{00000000-0005-0000-0000-000034010000}"/>
    <cellStyle name="_FQC LRR-assembly line_FQC LRR-assembly line_FQC LRR-assembly line_FQC LRR-assembly line_FQC Defect Rate -Assembly line_FQC Reject Rate -Assembly line_FQC Reject Rate -Assembly line 2015" xfId="310" xr:uid="{00000000-0005-0000-0000-000035010000}"/>
    <cellStyle name="_FQC LRR-assembly line_FQC LRR-assembly line_FQC LRR-assembly line_FQC LRR-assembly line_FQC Defect Rate -Assembly line_FQC Reject Rate -Assembly line_FQC Reject Rate -Assembly line 2015 2" xfId="311" xr:uid="{00000000-0005-0000-0000-000036010000}"/>
    <cellStyle name="_FQC LRR-assembly line_FQC LRR-assembly line_FQC LRR-assembly line_FQC LRR-assembly line_FQC Defect Rate -Assembly line_FQC Reject Rate -Assembly line_FQC Reject Rate -Assembly line 2015 2 2" xfId="312" xr:uid="{00000000-0005-0000-0000-000037010000}"/>
    <cellStyle name="_FQC LRR-assembly line_FQC LRR-assembly line_FQC LRR-assembly line_FQC LRR-assembly line_FQC Defect Rate -Assembly line_FQC Reject Rate -Assembly line_FQC Reject Rate -Assembly line_FQC Reject Rate -Assembly line" xfId="313" xr:uid="{00000000-0005-0000-0000-000038010000}"/>
    <cellStyle name="_FQC LRR-assembly line_FQC LRR-assembly line_FQC LRR-assembly line_FQC LRR-assembly line_FQC Defect Rate -Assembly line_FQC Reject Rate -Assembly line_FQC Reject Rate -Assembly line_FQC Reject Rate -Assembly line 2" xfId="314" xr:uid="{00000000-0005-0000-0000-000039010000}"/>
    <cellStyle name="_FQC LRR-assembly line_FQC LRR-assembly line_FQC LRR-assembly line_FQC LRR-assembly line_FQC Defect Rate -Assembly line_FQC Reject Rate -Assembly line_FQC Reject Rate -Assembly line_FQC Reject Rate -Assembly line_FQC Reject Rate -Assembly line" xfId="315" xr:uid="{00000000-0005-0000-0000-00003A010000}"/>
    <cellStyle name="_FQC LRR-assembly line_FQC LRR-assembly line_FQC LRR-assembly line_FQC LRR-assembly line_FQC Defect Rate -Assembly line_FQC Reject Rate -Assembly line_FQC Reject Rate -Assembly line_FQC Reject Rate -Assembly line_FQC Reject Rate -Assembly line 2" xfId="316" xr:uid="{00000000-0005-0000-0000-00003B010000}"/>
    <cellStyle name="_FQC LRR-assembly line_FQC LRR-assembly line_FQC LRR-assembly line_FQC LRR-assembly line_FQC Defect Rate -Assembly line_FQC Reject Rate -Assembly line_FQC Reject Rate -Assembly line_FQC Reject Rate -Assembly line_FQC Reject Rate -Assembly line 2 2" xfId="317" xr:uid="{00000000-0005-0000-0000-00003C010000}"/>
    <cellStyle name="_FQC LRR-assembly line_FQC LRR-assembly line_FQC LRR-assembly line_FQC LRR-assembly line_FQC Defect Rate -Assembly line_FQC Reject Rate -Assembly line_FQC Reject Rate -Assembly line_FQC Reject Rate -Assembly line_FQC Reject Rate -Assembly line 2014" xfId="318" xr:uid="{00000000-0005-0000-0000-00003D010000}"/>
    <cellStyle name="_FQC LRR-assembly line_FQC LRR-assembly line_FQC LRR-assembly line_FQC LRR-assembly line_FQC Defect Rate -Assembly line_FQC Reject Rate -Assembly line_FQC Reject Rate -Assembly line_FQC Reject Rate -Assembly line_FQC Reject Rate -Assembly line 2014 2" xfId="319" xr:uid="{00000000-0005-0000-0000-00003E010000}"/>
    <cellStyle name="_FQC LRR-assembly line_FQC LRR-assembly line_FQC LRR-assembly line_FQC LRR-assembly line_FQC Defect Rate -Assembly line_FQC Reject Rate -Assembly line_FQC Reject Rate -Assembly line_FQC Reject Rate -Assembly line_FQC Reject Rate -Assembly line 2014 2 2" xfId="320" xr:uid="{00000000-0005-0000-0000-00003F010000}"/>
    <cellStyle name="_FQC LRR-assembly line_FQC LRR-assembly line_FQC LRR-assembly line_FQC LRR-assembly line_FQC Defect Rate -Assembly line_FQC Reject Rate -Assembly line_FQC Reject Rate -Assembly line_FQC Reject Rate -Assembly line_FQC Reject Rate -Assembly line 2015" xfId="321" xr:uid="{00000000-0005-0000-0000-000040010000}"/>
    <cellStyle name="_FQC LRR-assembly line_FQC LRR-assembly line_FQC LRR-assembly line_FQC LRR-assembly line_FQC Defect Rate -Assembly line_FQC Reject Rate -Assembly line_FQC Reject Rate -Assembly line_FQC Reject Rate -Assembly line_FQC Reject Rate -Assembly line 2015 2" xfId="322" xr:uid="{00000000-0005-0000-0000-000041010000}"/>
    <cellStyle name="_FQC LRR-assembly line_FQC LRR-assembly line_FQC LRR-assembly line_FQC LRR-assembly line_FQC Defect Rate -Assembly line_FQC Reject Rate -Assembly line_FQC Reject Rate -Assembly line_FQC Reject Rate -Assembly line_FQC Reject Rate -Assembly line 2015 2 2" xfId="323" xr:uid="{00000000-0005-0000-0000-000042010000}"/>
    <cellStyle name="_FQC LRR-assembly line_FQC LRR-assembly line_FQC LRR-assembly line_FQC LRR-assembly line_FQC LRR-assembly line" xfId="324" xr:uid="{00000000-0005-0000-0000-000043010000}"/>
    <cellStyle name="_FQC LRR-assembly line_FQC LRR-assembly line_FQC LRR-assembly line_FQC LRR-assembly line_FQC LRR-assembly line 2" xfId="325" xr:uid="{00000000-0005-0000-0000-000044010000}"/>
    <cellStyle name="_FQC LRR-assembly line_FQC LRR-assembly line_FQC LRR-assembly line_FQC LRR-assembly line_FQC LRR-assembly line 2 2" xfId="326" xr:uid="{00000000-0005-0000-0000-000045010000}"/>
    <cellStyle name="_FQC LRR-assembly line_FQC LRR-assembly line_FQC LRR-assembly line_FQC LRR-assembly line_FQC LRR-assembly line_FQC Reject Rate -Assembly line" xfId="327" xr:uid="{00000000-0005-0000-0000-000046010000}"/>
    <cellStyle name="_FQC LRR-assembly line_FQC LRR-assembly line_FQC LRR-assembly line_FQC LRR-assembly line_FQC LRR-assembly line_FQC Reject Rate -Assembly line 2" xfId="328" xr:uid="{00000000-0005-0000-0000-000047010000}"/>
    <cellStyle name="_FQC LRR-assembly line_FQC LRR-assembly line_FQC LRR-assembly line_FQC LRR-assembly line_FQC LRR-assembly line_FQC Reject Rate -Assembly line_FQC Reject Rate -Assembly line" xfId="329" xr:uid="{00000000-0005-0000-0000-000048010000}"/>
    <cellStyle name="_FQC LRR-assembly line_FQC LRR-assembly line_FQC LRR-assembly line_FQC LRR-assembly line_FQC LRR-assembly line_FQC Reject Rate -Assembly line_FQC Reject Rate -Assembly line 2" xfId="330" xr:uid="{00000000-0005-0000-0000-000049010000}"/>
    <cellStyle name="_FQC LRR-assembly line_FQC LRR-assembly line_FQC LRR-assembly line_FQC LRR-assembly line_FQC LRR-assembly line_FQC Reject Rate -Assembly line_FQC Reject Rate -Assembly line 2 2" xfId="331" xr:uid="{00000000-0005-0000-0000-00004A010000}"/>
    <cellStyle name="_FQC LRR-assembly line_FQC LRR-assembly line_FQC LRR-assembly line_FQC LRR-assembly line_FQC LRR-assembly line_FQC Reject Rate -Assembly line_FQC Reject Rate -Assembly line 2014" xfId="332" xr:uid="{00000000-0005-0000-0000-00004B010000}"/>
    <cellStyle name="_FQC LRR-assembly line_FQC LRR-assembly line_FQC LRR-assembly line_FQC LRR-assembly line_FQC LRR-assembly line_FQC Reject Rate -Assembly line_FQC Reject Rate -Assembly line 2014 2" xfId="333" xr:uid="{00000000-0005-0000-0000-00004C010000}"/>
    <cellStyle name="_FQC LRR-assembly line_FQC LRR-assembly line_FQC LRR-assembly line_FQC LRR-assembly line_FQC LRR-assembly line_FQC Reject Rate -Assembly line_FQC Reject Rate -Assembly line 2014 2 2" xfId="334" xr:uid="{00000000-0005-0000-0000-00004D010000}"/>
    <cellStyle name="_FQC LRR-assembly line_FQC LRR-assembly line_FQC LRR-assembly line_FQC LRR-assembly line_FQC LRR-assembly line_FQC Reject Rate -Assembly line_FQC Reject Rate -Assembly line 2015" xfId="335" xr:uid="{00000000-0005-0000-0000-00004E010000}"/>
    <cellStyle name="_FQC LRR-assembly line_FQC LRR-assembly line_FQC LRR-assembly line_FQC LRR-assembly line_FQC LRR-assembly line_FQC Reject Rate -Assembly line_FQC Reject Rate -Assembly line 2015 2" xfId="336" xr:uid="{00000000-0005-0000-0000-00004F010000}"/>
    <cellStyle name="_FQC LRR-assembly line_FQC LRR-assembly line_FQC LRR-assembly line_FQC LRR-assembly line_FQC LRR-assembly line_FQC Reject Rate -Assembly line_FQC Reject Rate -Assembly line 2015 2 2" xfId="337" xr:uid="{00000000-0005-0000-0000-000050010000}"/>
    <cellStyle name="_FQC LRR-assembly line_FQC LRR-assembly line_FQC LRR-assembly line_FQC LRR-assembly line_FQC LRR-assembly line_FQC Reject Rate -Assembly line_FQC Reject Rate -Assembly line_FQC Reject Rate -Assembly line" xfId="338" xr:uid="{00000000-0005-0000-0000-000051010000}"/>
    <cellStyle name="_FQC LRR-assembly line_FQC LRR-assembly line_FQC LRR-assembly line_FQC LRR-assembly line_FQC LRR-assembly line_FQC Reject Rate -Assembly line_FQC Reject Rate -Assembly line_FQC Reject Rate -Assembly line 2" xfId="339" xr:uid="{00000000-0005-0000-0000-000052010000}"/>
    <cellStyle name="_FQC LRR-assembly line_FQC LRR-assembly line_FQC LRR-assembly line_FQC LRR-assembly line_FQC LRR-assembly line_FQC Reject Rate -Assembly line_FQC Reject Rate -Assembly line_FQC Reject Rate -Assembly line_FQC Reject Rate -Assembly line" xfId="340" xr:uid="{00000000-0005-0000-0000-000053010000}"/>
    <cellStyle name="_FQC LRR-assembly line_FQC LRR-assembly line_FQC LRR-assembly line_FQC LRR-assembly line_FQC LRR-assembly line_FQC Reject Rate -Assembly line_FQC Reject Rate -Assembly line_FQC Reject Rate -Assembly line_FQC Reject Rate -Assembly line 2" xfId="341" xr:uid="{00000000-0005-0000-0000-000054010000}"/>
    <cellStyle name="_FQC LRR-assembly line_FQC LRR-assembly line_FQC LRR-assembly line_FQC LRR-assembly line_FQC LRR-assembly line_FQC Reject Rate -Assembly line_FQC Reject Rate -Assembly line_FQC Reject Rate -Assembly line_FQC Reject Rate -Assembly line 2 2" xfId="342" xr:uid="{00000000-0005-0000-0000-000055010000}"/>
    <cellStyle name="_FQC LRR-assembly line_FQC LRR-assembly line_FQC LRR-assembly line_FQC LRR-assembly line_FQC LRR-assembly line_FQC Reject Rate -Assembly line_FQC Reject Rate -Assembly line_FQC Reject Rate -Assembly line_FQC Reject Rate -Assembly line 2014" xfId="343" xr:uid="{00000000-0005-0000-0000-000056010000}"/>
    <cellStyle name="_FQC LRR-assembly line_FQC LRR-assembly line_FQC LRR-assembly line_FQC LRR-assembly line_FQC LRR-assembly line_FQC Reject Rate -Assembly line_FQC Reject Rate -Assembly line_FQC Reject Rate -Assembly line_FQC Reject Rate -Assembly line 2014 2" xfId="344" xr:uid="{00000000-0005-0000-0000-000057010000}"/>
    <cellStyle name="_FQC LRR-assembly line_FQC LRR-assembly line_FQC LRR-assembly line_FQC LRR-assembly line_FQC LRR-assembly line_FQC Reject Rate -Assembly line_FQC Reject Rate -Assembly line_FQC Reject Rate -Assembly line_FQC Reject Rate -Assembly line 2014 2 2" xfId="345" xr:uid="{00000000-0005-0000-0000-000058010000}"/>
    <cellStyle name="_FQC LRR-assembly line_FQC LRR-assembly line_FQC LRR-assembly line_FQC LRR-assembly line_FQC LRR-assembly line_FQC Reject Rate -Assembly line_FQC Reject Rate -Assembly line_FQC Reject Rate -Assembly line_FQC Reject Rate -Assembly line 2015" xfId="346" xr:uid="{00000000-0005-0000-0000-000059010000}"/>
    <cellStyle name="_FQC LRR-assembly line_FQC LRR-assembly line_FQC LRR-assembly line_FQC LRR-assembly line_FQC LRR-assembly line_FQC Reject Rate -Assembly line_FQC Reject Rate -Assembly line_FQC Reject Rate -Assembly line_FQC Reject Rate -Assembly line 2015 2" xfId="347" xr:uid="{00000000-0005-0000-0000-00005A010000}"/>
    <cellStyle name="_FQC LRR-assembly line_FQC LRR-assembly line_FQC LRR-assembly line_FQC LRR-assembly line_FQC LRR-assembly line_FQC Reject Rate -Assembly line_FQC Reject Rate -Assembly line_FQC Reject Rate -Assembly line_FQC Reject Rate -Assembly line 2015 2 2" xfId="348" xr:uid="{00000000-0005-0000-0000-00005B010000}"/>
    <cellStyle name="_FQC LRR-assembly line_FQC LRR-assembly line_FQC LRR-assembly line_FQC LRR-assembly line_FQC Reject Rate -Assembly line" xfId="349" xr:uid="{00000000-0005-0000-0000-00005C010000}"/>
    <cellStyle name="_FQC LRR-assembly line_FQC LRR-assembly line_FQC LRR-assembly line_FQC LRR-assembly line_FQC Reject Rate -Assembly line 2" xfId="350" xr:uid="{00000000-0005-0000-0000-00005D010000}"/>
    <cellStyle name="_FQC LRR-assembly line_FQC LRR-assembly line_FQC LRR-assembly line_FQC LRR-assembly line_FQC Reject Rate -Assembly line 2 2" xfId="351" xr:uid="{00000000-0005-0000-0000-00005E010000}"/>
    <cellStyle name="_FQC LRR-assembly line_FQC LRR-assembly line_FQC LRR-assembly line_FQC LRR-assembly line_FQC Reject Rate -Assembly line 2014" xfId="352" xr:uid="{00000000-0005-0000-0000-00005F010000}"/>
    <cellStyle name="_FQC LRR-assembly line_FQC LRR-assembly line_FQC LRR-assembly line_FQC LRR-assembly line_FQC Reject Rate -Assembly line 2014 2" xfId="353" xr:uid="{00000000-0005-0000-0000-000060010000}"/>
    <cellStyle name="_FQC LRR-assembly line_FQC LRR-assembly line_FQC LRR-assembly line_FQC LRR-assembly line_FQC Reject Rate -Assembly line 2014 2 2" xfId="354" xr:uid="{00000000-0005-0000-0000-000061010000}"/>
    <cellStyle name="_FQC LRR-assembly line_FQC LRR-assembly line_FQC LRR-assembly line_FQC LRR-assembly line_FQC Reject Rate -Assembly line 2015" xfId="355" xr:uid="{00000000-0005-0000-0000-000062010000}"/>
    <cellStyle name="_FQC LRR-assembly line_FQC LRR-assembly line_FQC LRR-assembly line_FQC LRR-assembly line_FQC Reject Rate -Assembly line 2015 2" xfId="356" xr:uid="{00000000-0005-0000-0000-000063010000}"/>
    <cellStyle name="_FQC LRR-assembly line_FQC LRR-assembly line_FQC LRR-assembly line_FQC LRR-assembly line_FQC Reject Rate -Assembly line 2015 2 2" xfId="357" xr:uid="{00000000-0005-0000-0000-000064010000}"/>
    <cellStyle name="_FQC LRR-assembly line_FQC LRR-assembly line_FQC LRR-assembly line_FQC LRR-assembly line_FQC Reject Rate -Assembly line_FQC Reject Rate -Assembly line" xfId="358" xr:uid="{00000000-0005-0000-0000-000065010000}"/>
    <cellStyle name="_FQC LRR-assembly line_FQC LRR-assembly line_FQC LRR-assembly line_FQC LRR-assembly line_FQC Reject Rate -Assembly line_FQC Reject Rate -Assembly line 2" xfId="359" xr:uid="{00000000-0005-0000-0000-000066010000}"/>
    <cellStyle name="_FQC LRR-assembly line_FQC LRR-assembly line_FQC LRR-assembly line_FQC LRR-assembly line_FQC Reject Rate -Assembly line_FQC Reject Rate -Assembly line_FQC Reject Rate -Assembly line" xfId="360" xr:uid="{00000000-0005-0000-0000-000067010000}"/>
    <cellStyle name="_FQC LRR-assembly line_FQC LRR-assembly line_FQC LRR-assembly line_FQC LRR-assembly line_FQC Reject Rate -Assembly line_FQC Reject Rate -Assembly line_FQC Reject Rate -Assembly line 2" xfId="361" xr:uid="{00000000-0005-0000-0000-000068010000}"/>
    <cellStyle name="_FQC LRR-assembly line_FQC LRR-assembly line_FQC LRR-assembly line_FQC LRR-assembly line_FQC Reject Rate -Assembly line_FQC Reject Rate -Assembly line_FQC Reject Rate -Assembly line 2 2" xfId="362" xr:uid="{00000000-0005-0000-0000-000069010000}"/>
    <cellStyle name="_FQC LRR-assembly line_FQC LRR-assembly line_FQC LRR-assembly line_FQC LRR-assembly line_FQC Reject Rate -Assembly line_FQC Reject Rate -Assembly line_FQC Reject Rate -Assembly line 2014" xfId="363" xr:uid="{00000000-0005-0000-0000-00006A010000}"/>
    <cellStyle name="_FQC LRR-assembly line_FQC LRR-assembly line_FQC LRR-assembly line_FQC LRR-assembly line_FQC Reject Rate -Assembly line_FQC Reject Rate -Assembly line_FQC Reject Rate -Assembly line 2014 2" xfId="364" xr:uid="{00000000-0005-0000-0000-00006B010000}"/>
    <cellStyle name="_FQC LRR-assembly line_FQC LRR-assembly line_FQC LRR-assembly line_FQC LRR-assembly line_FQC Reject Rate -Assembly line_FQC Reject Rate -Assembly line_FQC Reject Rate -Assembly line 2014 2 2" xfId="365" xr:uid="{00000000-0005-0000-0000-00006C010000}"/>
    <cellStyle name="_FQC LRR-assembly line_FQC LRR-assembly line_FQC LRR-assembly line_FQC LRR-assembly line_FQC Reject Rate -Assembly line_FQC Reject Rate -Assembly line_FQC Reject Rate -Assembly line 2015" xfId="366" xr:uid="{00000000-0005-0000-0000-00006D010000}"/>
    <cellStyle name="_FQC LRR-assembly line_FQC LRR-assembly line_FQC LRR-assembly line_FQC LRR-assembly line_FQC Reject Rate -Assembly line_FQC Reject Rate -Assembly line_FQC Reject Rate -Assembly line 2015 2" xfId="367" xr:uid="{00000000-0005-0000-0000-00006E010000}"/>
    <cellStyle name="_FQC LRR-assembly line_FQC LRR-assembly line_FQC LRR-assembly line_FQC LRR-assembly line_FQC Reject Rate -Assembly line_FQC Reject Rate -Assembly line_FQC Reject Rate -Assembly line 2015 2 2" xfId="368" xr:uid="{00000000-0005-0000-0000-00006F010000}"/>
    <cellStyle name="_FQC LRR-assembly line_FQC LRR-assembly line_FQC LRR-assembly line_FQC LRR-assembly line_FQC Reject Rate -Assembly line_FQC Reject Rate -Assembly line_FQC Reject Rate -Assembly line_FQC Reject Rate -Assembly line" xfId="369" xr:uid="{00000000-0005-0000-0000-000070010000}"/>
    <cellStyle name="_FQC LRR-assembly line_FQC LRR-assembly line_FQC LRR-assembly line_FQC LRR-assembly line_FQC Reject Rate -Assembly line_FQC Reject Rate -Assembly line_FQC Reject Rate -Assembly line_FQC Reject Rate -Assembly line 2" xfId="370" xr:uid="{00000000-0005-0000-0000-000071010000}"/>
    <cellStyle name="_FQC LRR-assembly line_FQC LRR-assembly line_FQC LRR-assembly line_FQC LRR-assembly line_FQC Reject Rate -Assembly line_FQC Reject Rate -Assembly line_FQC Reject Rate -Assembly line_FQC Reject Rate -Assembly line_FQC Reject Rate -Assembly line" xfId="371" xr:uid="{00000000-0005-0000-0000-000072010000}"/>
    <cellStyle name="_FQC LRR-assembly line_FQC LRR-assembly line_FQC LRR-assembly line_FQC LRR-assembly line_FQC Reject Rate -Assembly line_FQC Reject Rate -Assembly line_FQC Reject Rate -Assembly line_FQC Reject Rate -Assembly line_FQC Reject Rate -Assembly line 2" xfId="372" xr:uid="{00000000-0005-0000-0000-000073010000}"/>
    <cellStyle name="_FQC LRR-assembly line_FQC LRR-assembly line_FQC LRR-assembly line_FQC LRR-assembly line_FQC Reject Rate -Assembly line_FQC Reject Rate -Assembly line_FQC Reject Rate -Assembly line_FQC Reject Rate -Assembly line_FQC Reject Rate -Assembly line 2 2" xfId="373" xr:uid="{00000000-0005-0000-0000-000074010000}"/>
    <cellStyle name="_FQC LRR-assembly line_FQC LRR-assembly line_FQC LRR-assembly line_FQC LRR-assembly line_FQC Reject Rate -Assembly line_FQC Reject Rate -Assembly line_FQC Reject Rate -Assembly line_FQC Reject Rate -Assembly line_FQC Reject Rate -Assembly line 2014" xfId="374" xr:uid="{00000000-0005-0000-0000-000075010000}"/>
    <cellStyle name="_FQC LRR-assembly line_FQC LRR-assembly line_FQC LRR-assembly line_FQC LRR-assembly line_FQC Reject Rate -Assembly line_FQC Reject Rate -Assembly line_FQC Reject Rate -Assembly line_FQC Reject Rate -Assembly line_FQC Reject Rate -Assembly line 2014 2" xfId="375" xr:uid="{00000000-0005-0000-0000-000076010000}"/>
    <cellStyle name="_FQC LRR-assembly line_FQC LRR-assembly line_FQC LRR-assembly line_FQC LRR-assembly line_FQC Reject Rate -Assembly line_FQC Reject Rate -Assembly line_FQC Reject Rate -Assembly line_FQC Reject Rate -Assembly line_FQC Reject Rate -Assembly line 2014 2 2" xfId="376" xr:uid="{00000000-0005-0000-0000-000077010000}"/>
    <cellStyle name="_FQC LRR-assembly line_FQC LRR-assembly line_FQC LRR-assembly line_FQC LRR-assembly line_FQC Reject Rate -Assembly line_FQC Reject Rate -Assembly line_FQC Reject Rate -Assembly line_FQC Reject Rate -Assembly line_FQC Reject Rate -Assembly line 2015" xfId="377" xr:uid="{00000000-0005-0000-0000-000078010000}"/>
    <cellStyle name="_FQC LRR-assembly line_FQC LRR-assembly line_FQC LRR-assembly line_FQC LRR-assembly line_FQC Reject Rate -Assembly line_FQC Reject Rate -Assembly line_FQC Reject Rate -Assembly line_FQC Reject Rate -Assembly line_FQC Reject Rate -Assembly line 2015 2" xfId="378" xr:uid="{00000000-0005-0000-0000-000079010000}"/>
    <cellStyle name="_FQC LRR-assembly line_FQC LRR-assembly line_FQC LRR-assembly line_FQC LRR-assembly line_FQC Reject Rate -Assembly line_FQC Reject Rate -Assembly line_FQC Reject Rate -Assembly line_FQC Reject Rate -Assembly line_FQC Reject Rate -Assembly line 2015 2 2" xfId="379" xr:uid="{00000000-0005-0000-0000-00007A010000}"/>
    <cellStyle name="_FQC LRR-assembly line_FQC LRR-assembly line_FQC LRR-assembly line_FQC Reject Rate -Assembly line" xfId="380" xr:uid="{00000000-0005-0000-0000-00007B010000}"/>
    <cellStyle name="_FQC LRR-assembly line_FQC LRR-assembly line_FQC LRR-assembly line_FQC Reject Rate -Assembly line 2" xfId="381" xr:uid="{00000000-0005-0000-0000-00007C010000}"/>
    <cellStyle name="_FQC LRR-assembly line_FQC LRR-assembly line_FQC LRR-assembly line_FQC Reject Rate -Assembly line_FQC Reject Rate -Assembly line" xfId="382" xr:uid="{00000000-0005-0000-0000-00007D010000}"/>
    <cellStyle name="_FQC LRR-assembly line_FQC LRR-assembly line_FQC LRR-assembly line_FQC Reject Rate -Assembly line_FQC Reject Rate -Assembly line 2" xfId="383" xr:uid="{00000000-0005-0000-0000-00007E010000}"/>
    <cellStyle name="_FQC LRR-assembly line_FQC LRR-assembly line_FQC LRR-assembly line_FQC Reject Rate -Assembly line_FQC Reject Rate -Assembly line 2 2" xfId="384" xr:uid="{00000000-0005-0000-0000-00007F010000}"/>
    <cellStyle name="_FQC LRR-assembly line_FQC LRR-assembly line_FQC LRR-assembly line_FQC Reject Rate -Assembly line_FQC Reject Rate -Assembly line 2014" xfId="385" xr:uid="{00000000-0005-0000-0000-000080010000}"/>
    <cellStyle name="_FQC LRR-assembly line_FQC LRR-assembly line_FQC LRR-assembly line_FQC Reject Rate -Assembly line_FQC Reject Rate -Assembly line 2014 2" xfId="386" xr:uid="{00000000-0005-0000-0000-000081010000}"/>
    <cellStyle name="_FQC LRR-assembly line_FQC LRR-assembly line_FQC LRR-assembly line_FQC Reject Rate -Assembly line_FQC Reject Rate -Assembly line 2014 2 2" xfId="387" xr:uid="{00000000-0005-0000-0000-000082010000}"/>
    <cellStyle name="_FQC LRR-assembly line_FQC LRR-assembly line_FQC LRR-assembly line_FQC Reject Rate -Assembly line_FQC Reject Rate -Assembly line 2015" xfId="388" xr:uid="{00000000-0005-0000-0000-000083010000}"/>
    <cellStyle name="_FQC LRR-assembly line_FQC LRR-assembly line_FQC LRR-assembly line_FQC Reject Rate -Assembly line_FQC Reject Rate -Assembly line 2015 2" xfId="389" xr:uid="{00000000-0005-0000-0000-000084010000}"/>
    <cellStyle name="_FQC LRR-assembly line_FQC LRR-assembly line_FQC LRR-assembly line_FQC Reject Rate -Assembly line_FQC Reject Rate -Assembly line 2015 2 2" xfId="390" xr:uid="{00000000-0005-0000-0000-000085010000}"/>
    <cellStyle name="_FQC LRR-assembly line_FQC LRR-assembly line_FQC LRR-assembly line_FQC Reject Rate -Assembly line_FQC Reject Rate -Assembly line_FQC Reject Rate -Assembly line" xfId="391" xr:uid="{00000000-0005-0000-0000-000086010000}"/>
    <cellStyle name="_FQC LRR-assembly line_FQC LRR-assembly line_FQC LRR-assembly line_FQC Reject Rate -Assembly line_FQC Reject Rate -Assembly line_FQC Reject Rate -Assembly line 2" xfId="392" xr:uid="{00000000-0005-0000-0000-000087010000}"/>
    <cellStyle name="_FQC LRR-assembly line_FQC LRR-assembly line_FQC LRR-assembly line_FQC Reject Rate -Assembly line_FQC Reject Rate -Assembly line_FQC Reject Rate -Assembly line_FQC Reject Rate -Assembly line" xfId="393" xr:uid="{00000000-0005-0000-0000-000088010000}"/>
    <cellStyle name="_FQC LRR-assembly line_FQC LRR-assembly line_FQC LRR-assembly line_FQC Reject Rate -Assembly line_FQC Reject Rate -Assembly line_FQC Reject Rate -Assembly line_FQC Reject Rate -Assembly line 2" xfId="394" xr:uid="{00000000-0005-0000-0000-000089010000}"/>
    <cellStyle name="_FQC LRR-assembly line_FQC LRR-assembly line_FQC LRR-assembly line_FQC Reject Rate -Assembly line_FQC Reject Rate -Assembly line_FQC Reject Rate -Assembly line_FQC Reject Rate -Assembly line 2 2" xfId="395" xr:uid="{00000000-0005-0000-0000-00008A010000}"/>
    <cellStyle name="_FQC LRR-assembly line_FQC LRR-assembly line_FQC LRR-assembly line_FQC Reject Rate -Assembly line_FQC Reject Rate -Assembly line_FQC Reject Rate -Assembly line_FQC Reject Rate -Assembly line 2014" xfId="396" xr:uid="{00000000-0005-0000-0000-00008B010000}"/>
    <cellStyle name="_FQC LRR-assembly line_FQC LRR-assembly line_FQC LRR-assembly line_FQC Reject Rate -Assembly line_FQC Reject Rate -Assembly line_FQC Reject Rate -Assembly line_FQC Reject Rate -Assembly line 2014 2" xfId="397" xr:uid="{00000000-0005-0000-0000-00008C010000}"/>
    <cellStyle name="_FQC LRR-assembly line_FQC LRR-assembly line_FQC LRR-assembly line_FQC Reject Rate -Assembly line_FQC Reject Rate -Assembly line_FQC Reject Rate -Assembly line_FQC Reject Rate -Assembly line 2014 2 2" xfId="398" xr:uid="{00000000-0005-0000-0000-00008D010000}"/>
    <cellStyle name="_FQC LRR-assembly line_FQC LRR-assembly line_FQC LRR-assembly line_FQC Reject Rate -Assembly line_FQC Reject Rate -Assembly line_FQC Reject Rate -Assembly line_FQC Reject Rate -Assembly line 2015" xfId="399" xr:uid="{00000000-0005-0000-0000-00008E010000}"/>
    <cellStyle name="_FQC LRR-assembly line_FQC LRR-assembly line_FQC LRR-assembly line_FQC Reject Rate -Assembly line_FQC Reject Rate -Assembly line_FQC Reject Rate -Assembly line_FQC Reject Rate -Assembly line 2015 2" xfId="400" xr:uid="{00000000-0005-0000-0000-00008F010000}"/>
    <cellStyle name="_FQC LRR-assembly line_FQC LRR-assembly line_FQC LRR-assembly line_FQC Reject Rate -Assembly line_FQC Reject Rate -Assembly line_FQC Reject Rate -Assembly line_FQC Reject Rate -Assembly line 2015 2 2" xfId="401" xr:uid="{00000000-0005-0000-0000-000090010000}"/>
    <cellStyle name="_FQC LRR-assembly line_FQC LRR-assembly line_FQC LRR-assembly line_FQC Reject Rate -Assembly line_FQC Reject Rate -Assembly line_FQC Reject Rate -Assembly line_FQC Reject Rate -Assembly line_FQC Reject Rate -Assembly line" xfId="402" xr:uid="{00000000-0005-0000-0000-000091010000}"/>
    <cellStyle name="_FQC LRR-assembly line_FQC LRR-assembly line_FQC LRR-assembly line_FQC Reject Rate -Assembly line_FQC Reject Rate -Assembly line_FQC Reject Rate -Assembly line_FQC Reject Rate -Assembly line_FQC Reject Rate -Assembly line 2" xfId="403" xr:uid="{00000000-0005-0000-0000-000092010000}"/>
    <cellStyle name="_FQC LRR-assembly line_FQC LRR-assembly line_FQC LRR-assembly line_FQC Reject Rate -Assembly line_FQC Reject Rate -Assembly line_FQC Reject Rate -Assembly line_FQC Reject Rate -Assembly line_FQC Reject Rate -Assembly line_FQC Reject Rate -Assembly line" xfId="404" xr:uid="{00000000-0005-0000-0000-000093010000}"/>
    <cellStyle name="_FQC LRR-assembly line_FQC LRR-assembly line_FQC LRR-assembly line_FQC Reject Rate -Assembly line_FQC Reject Rate -Assembly line_FQC Reject Rate -Assembly line_FQC Reject Rate -Assembly line_FQC Reject Rate -Assembly line_FQC Reject Rate -Assembly line 2" xfId="405" xr:uid="{00000000-0005-0000-0000-000094010000}"/>
    <cellStyle name="_FQC LRR-assembly line_FQC LRR-assembly line_FQC LRR-assembly line_FQC Reject Rate -Assembly line_FQC Reject Rate -Assembly line_FQC Reject Rate -Assembly line_FQC Reject Rate -Assembly line_FQC Reject Rate -Assembly line_FQC Reject Rate -Assembly line 2 " xfId="406" xr:uid="{00000000-0005-0000-0000-000095010000}"/>
    <cellStyle name="_FQC LRR-assembly line_FQC LRR-assembly line_FQC LRR-assembly line_FQC Reject Rate -Assembly line_FQC Reject Rate -Assembly line_FQC Reject Rate -Assembly line_FQC Reject Rate -Assembly line_FQC Reject Rate -Assembly line_FQC Reject Rate -Assembly line 20" xfId="407" xr:uid="{00000000-0005-0000-0000-000096010000}"/>
    <cellStyle name="_FQC LRR-assembly line_FQC LRR-assembly line_FQC Reject Rate -Assembly line" xfId="408" xr:uid="{00000000-0005-0000-0000-000097010000}"/>
    <cellStyle name="_FQC LRR-assembly line_FQC LRR-assembly line_FQC Reject Rate -Assembly line 2" xfId="409" xr:uid="{00000000-0005-0000-0000-000098010000}"/>
    <cellStyle name="_FQC LRR-assembly line_FQC LRR-assembly line_FQC Reject Rate -Assembly line 2 2" xfId="410" xr:uid="{00000000-0005-0000-0000-000099010000}"/>
    <cellStyle name="_FQC LRR-assembly line_FQC LRR-assembly line_FQC Reject Rate -Assembly line 2014" xfId="411" xr:uid="{00000000-0005-0000-0000-00009A010000}"/>
    <cellStyle name="_FQC LRR-assembly line_FQC LRR-assembly line_FQC Reject Rate -Assembly line 2014 2" xfId="412" xr:uid="{00000000-0005-0000-0000-00009B010000}"/>
    <cellStyle name="_FQC LRR-assembly line_FQC LRR-assembly line_FQC Reject Rate -Assembly line 2014 2 2" xfId="413" xr:uid="{00000000-0005-0000-0000-00009C010000}"/>
    <cellStyle name="_FQC LRR-assembly line_FQC LRR-assembly line_FQC Reject Rate -Assembly line 2015" xfId="414" xr:uid="{00000000-0005-0000-0000-00009D010000}"/>
    <cellStyle name="_FQC LRR-assembly line_FQC LRR-assembly line_FQC Reject Rate -Assembly line 2015 2" xfId="415" xr:uid="{00000000-0005-0000-0000-00009E010000}"/>
    <cellStyle name="_FQC LRR-assembly line_FQC LRR-assembly line_FQC Reject Rate -Assembly line 2015 2 2" xfId="416" xr:uid="{00000000-0005-0000-0000-00009F010000}"/>
    <cellStyle name="_FQC LRR-assembly line_FQC LRR-assembly line_FQC Reject Rate -Assembly line_FQC Reject Rate -Assembly line" xfId="417" xr:uid="{00000000-0005-0000-0000-0000A0010000}"/>
    <cellStyle name="_FQC LRR-assembly line_FQC LRR-assembly line_FQC Reject Rate -Assembly line_FQC Reject Rate -Assembly line 2" xfId="418" xr:uid="{00000000-0005-0000-0000-0000A1010000}"/>
    <cellStyle name="_FQC LRR-assembly line_FQC LRR-assembly line_FQC Reject Rate -Assembly line_FQC Reject Rate -Assembly line_FQC Reject Rate -Assembly line" xfId="419" xr:uid="{00000000-0005-0000-0000-0000A2010000}"/>
    <cellStyle name="_FQC LRR-assembly line_FQC LRR-assembly line_FQC Reject Rate -Assembly line_FQC Reject Rate -Assembly line_FQC Reject Rate -Assembly line 2" xfId="420" xr:uid="{00000000-0005-0000-0000-0000A3010000}"/>
    <cellStyle name="_FQC LRR-assembly line_FQC LRR-assembly line_FQC Reject Rate -Assembly line_FQC Reject Rate -Assembly line_FQC Reject Rate -Assembly line 2 2" xfId="421" xr:uid="{00000000-0005-0000-0000-0000A4010000}"/>
    <cellStyle name="_FQC LRR-assembly line_FQC LRR-assembly line_FQC Reject Rate -Assembly line_FQC Reject Rate -Assembly line_FQC Reject Rate -Assembly line 2014" xfId="422" xr:uid="{00000000-0005-0000-0000-0000A5010000}"/>
    <cellStyle name="_FQC LRR-assembly line_FQC LRR-assembly line_FQC Reject Rate -Assembly line_FQC Reject Rate -Assembly line_FQC Reject Rate -Assembly line 2014 2" xfId="423" xr:uid="{00000000-0005-0000-0000-0000A6010000}"/>
    <cellStyle name="_FQC LRR-assembly line_FQC LRR-assembly line_FQC Reject Rate -Assembly line_FQC Reject Rate -Assembly line_FQC Reject Rate -Assembly line 2014 2 2" xfId="424" xr:uid="{00000000-0005-0000-0000-0000A7010000}"/>
    <cellStyle name="_FQC LRR-assembly line_FQC LRR-assembly line_FQC Reject Rate -Assembly line_FQC Reject Rate -Assembly line_FQC Reject Rate -Assembly line 2015" xfId="425" xr:uid="{00000000-0005-0000-0000-0000A8010000}"/>
    <cellStyle name="_FQC LRR-assembly line_FQC LRR-assembly line_FQC Reject Rate -Assembly line_FQC Reject Rate -Assembly line_FQC Reject Rate -Assembly line 2015 2" xfId="426" xr:uid="{00000000-0005-0000-0000-0000A9010000}"/>
    <cellStyle name="_FQC LRR-assembly line_FQC LRR-assembly line_FQC Reject Rate -Assembly line_FQC Reject Rate -Assembly line_FQC Reject Rate -Assembly line 2015 2 2" xfId="427" xr:uid="{00000000-0005-0000-0000-0000AA010000}"/>
    <cellStyle name="_FQC LRR-assembly line_FQC LRR-assembly line_FQC Reject Rate -Assembly line_FQC Reject Rate -Assembly line_FQC Reject Rate -Assembly line_FQC Reject Rate -Assembly line" xfId="428" xr:uid="{00000000-0005-0000-0000-0000AB010000}"/>
    <cellStyle name="_FQC LRR-assembly line_FQC LRR-assembly line_FQC Reject Rate -Assembly line_FQC Reject Rate -Assembly line_FQC Reject Rate -Assembly line_FQC Reject Rate -Assembly line 2" xfId="429" xr:uid="{00000000-0005-0000-0000-0000AC010000}"/>
    <cellStyle name="_FQC LRR-assembly line_FQC LRR-assembly line_FQC Reject Rate -Assembly line_FQC Reject Rate -Assembly line_FQC Reject Rate -Assembly line_FQC Reject Rate -Assembly line_FQC Reject Rate -Assembly line" xfId="430" xr:uid="{00000000-0005-0000-0000-0000AD010000}"/>
    <cellStyle name="_FQC LRR-assembly line_FQC LRR-assembly line_FQC Reject Rate -Assembly line_FQC Reject Rate -Assembly line_FQC Reject Rate -Assembly line_FQC Reject Rate -Assembly line_FQC Reject Rate -Assembly line 2" xfId="431" xr:uid="{00000000-0005-0000-0000-0000AE010000}"/>
    <cellStyle name="_FQC LRR-assembly line_FQC LRR-assembly line_FQC Reject Rate -Assembly line_FQC Reject Rate -Assembly line_FQC Reject Rate -Assembly line_FQC Reject Rate -Assembly line_FQC Reject Rate -Assembly line 2 2" xfId="432" xr:uid="{00000000-0005-0000-0000-0000AF010000}"/>
    <cellStyle name="_FQC LRR-assembly line_FQC LRR-assembly line_FQC Reject Rate -Assembly line_FQC Reject Rate -Assembly line_FQC Reject Rate -Assembly line_FQC Reject Rate -Assembly line_FQC Reject Rate -Assembly line 2014" xfId="433" xr:uid="{00000000-0005-0000-0000-0000B0010000}"/>
    <cellStyle name="_FQC LRR-assembly line_FQC LRR-assembly line_FQC Reject Rate -Assembly line_FQC Reject Rate -Assembly line_FQC Reject Rate -Assembly line_FQC Reject Rate -Assembly line_FQC Reject Rate -Assembly line 2014 2" xfId="434" xr:uid="{00000000-0005-0000-0000-0000B1010000}"/>
    <cellStyle name="_FQC LRR-assembly line_FQC LRR-assembly line_FQC Reject Rate -Assembly line_FQC Reject Rate -Assembly line_FQC Reject Rate -Assembly line_FQC Reject Rate -Assembly line_FQC Reject Rate -Assembly line 2014 2 2" xfId="435" xr:uid="{00000000-0005-0000-0000-0000B2010000}"/>
    <cellStyle name="_FQC LRR-assembly line_FQC LRR-assembly line_FQC Reject Rate -Assembly line_FQC Reject Rate -Assembly line_FQC Reject Rate -Assembly line_FQC Reject Rate -Assembly line_FQC Reject Rate -Assembly line 2015" xfId="436" xr:uid="{00000000-0005-0000-0000-0000B3010000}"/>
    <cellStyle name="_FQC LRR-assembly line_FQC LRR-assembly line_FQC Reject Rate -Assembly line_FQC Reject Rate -Assembly line_FQC Reject Rate -Assembly line_FQC Reject Rate -Assembly line_FQC Reject Rate -Assembly line 2015 2" xfId="437" xr:uid="{00000000-0005-0000-0000-0000B4010000}"/>
    <cellStyle name="_FQC LRR-assembly line_FQC LRR-assembly line_FQC Reject Rate -Assembly line_FQC Reject Rate -Assembly line_FQC Reject Rate -Assembly line_FQC Reject Rate -Assembly line_FQC Reject Rate -Assembly line 2015 2 2" xfId="438" xr:uid="{00000000-0005-0000-0000-0000B5010000}"/>
    <cellStyle name="_FQC LRR-assembly line_FQC LRR-assembly line_FQC Reject Rate -Assembly line_FQC Reject Rate -Assembly line_FQC Reject Rate -Assembly line_FQC Reject Rate -Assembly line_FQC Reject Rate -Assembly line_FQC Reject Rate -Assembly line" xfId="439" xr:uid="{00000000-0005-0000-0000-0000B6010000}"/>
    <cellStyle name="_FQC LRR-assembly line_FQC LRR-assembly line_FQC Reject Rate -Assembly line_FQC Reject Rate -Assembly line_FQC Reject Rate -Assembly line_FQC Reject Rate -Assembly line_FQC Reject Rate -Assembly line_FQC Reject Rate -Assembly line 2" xfId="440" xr:uid="{00000000-0005-0000-0000-0000B7010000}"/>
    <cellStyle name="_FQC LRR-assembly line_FQC LRR-assembly line_FQC Reject Rate -Assembly line_FQC Reject Rate -Assembly line_FQC Reject Rate -Assembly line_FQC Reject Rate -Assembly line_FQC Reject Rate -Assembly line_FQC Reject Rate -Assembly line_FQC Reject Rate -Assembl" xfId="441" xr:uid="{00000000-0005-0000-0000-0000B8010000}"/>
    <cellStyle name="_FQC LRR-assembly line_FQC Reject Rate -Assembly line" xfId="442" xr:uid="{00000000-0005-0000-0000-0000B9010000}"/>
    <cellStyle name="_FQC LRR-assembly line_FQC Reject Rate -Assembly line 2" xfId="443" xr:uid="{00000000-0005-0000-0000-0000BA010000}"/>
    <cellStyle name="_FQC LRR-assembly line_FQC Reject Rate -Assembly line_FQC Reject Rate -Assembly line" xfId="444" xr:uid="{00000000-0005-0000-0000-0000BB010000}"/>
    <cellStyle name="_FQC LRR-assembly line_FQC Reject Rate -Assembly line_FQC Reject Rate -Assembly line 2" xfId="445" xr:uid="{00000000-0005-0000-0000-0000BC010000}"/>
    <cellStyle name="_FQC LRR-assembly line_FQC Reject Rate -Assembly line_FQC Reject Rate -Assembly line 2 2" xfId="446" xr:uid="{00000000-0005-0000-0000-0000BD010000}"/>
    <cellStyle name="_FQC LRR-assembly line_FQC Reject Rate -Assembly line_FQC Reject Rate -Assembly line 2014" xfId="447" xr:uid="{00000000-0005-0000-0000-0000BE010000}"/>
    <cellStyle name="_FQC LRR-assembly line_FQC Reject Rate -Assembly line_FQC Reject Rate -Assembly line 2014 2" xfId="448" xr:uid="{00000000-0005-0000-0000-0000BF010000}"/>
    <cellStyle name="_FQC LRR-assembly line_FQC Reject Rate -Assembly line_FQC Reject Rate -Assembly line 2014 2 2" xfId="449" xr:uid="{00000000-0005-0000-0000-0000C0010000}"/>
    <cellStyle name="_FQC LRR-assembly line_FQC Reject Rate -Assembly line_FQC Reject Rate -Assembly line 2015" xfId="450" xr:uid="{00000000-0005-0000-0000-0000C1010000}"/>
    <cellStyle name="_FQC LRR-assembly line_FQC Reject Rate -Assembly line_FQC Reject Rate -Assembly line 2015 2" xfId="451" xr:uid="{00000000-0005-0000-0000-0000C2010000}"/>
    <cellStyle name="_FQC LRR-assembly line_FQC Reject Rate -Assembly line_FQC Reject Rate -Assembly line 2015 2 2" xfId="452" xr:uid="{00000000-0005-0000-0000-0000C3010000}"/>
    <cellStyle name="_FQC LRR-assembly line_FQC Reject Rate -Assembly line_FQC Reject Rate -Assembly line_FQC Reject Rate -Assembly line" xfId="453" xr:uid="{00000000-0005-0000-0000-0000C4010000}"/>
    <cellStyle name="_FQC LRR-assembly line_FQC Reject Rate -Assembly line_FQC Reject Rate -Assembly line_FQC Reject Rate -Assembly line 2" xfId="454" xr:uid="{00000000-0005-0000-0000-0000C5010000}"/>
    <cellStyle name="_FQC LRR-assembly line_FQC Reject Rate -Assembly line_FQC Reject Rate -Assembly line_FQC Reject Rate -Assembly line_FQC Reject Rate -Assembly line" xfId="455" xr:uid="{00000000-0005-0000-0000-0000C6010000}"/>
    <cellStyle name="_FQC LRR-assembly line_FQC Reject Rate -Assembly line_FQC Reject Rate -Assembly line_FQC Reject Rate -Assembly line_FQC Reject Rate -Assembly line 2" xfId="456" xr:uid="{00000000-0005-0000-0000-0000C7010000}"/>
    <cellStyle name="_FQC LRR-assembly line_FQC Reject Rate -Assembly line_FQC Reject Rate -Assembly line_FQC Reject Rate -Assembly line_FQC Reject Rate -Assembly line 2 2" xfId="457" xr:uid="{00000000-0005-0000-0000-0000C8010000}"/>
    <cellStyle name="_FQC LRR-assembly line_FQC Reject Rate -Assembly line_FQC Reject Rate -Assembly line_FQC Reject Rate -Assembly line_FQC Reject Rate -Assembly line 2014" xfId="458" xr:uid="{00000000-0005-0000-0000-0000C9010000}"/>
    <cellStyle name="_FQC LRR-assembly line_FQC Reject Rate -Assembly line_FQC Reject Rate -Assembly line_FQC Reject Rate -Assembly line_FQC Reject Rate -Assembly line 2014 2" xfId="459" xr:uid="{00000000-0005-0000-0000-0000CA010000}"/>
    <cellStyle name="_FQC LRR-assembly line_FQC Reject Rate -Assembly line_FQC Reject Rate -Assembly line_FQC Reject Rate -Assembly line_FQC Reject Rate -Assembly line 2014 2 2" xfId="460" xr:uid="{00000000-0005-0000-0000-0000CB010000}"/>
    <cellStyle name="_FQC LRR-assembly line_FQC Reject Rate -Assembly line_FQC Reject Rate -Assembly line_FQC Reject Rate -Assembly line_FQC Reject Rate -Assembly line 2015" xfId="461" xr:uid="{00000000-0005-0000-0000-0000CC010000}"/>
    <cellStyle name="_FQC LRR-assembly line_FQC Reject Rate -Assembly line_FQC Reject Rate -Assembly line_FQC Reject Rate -Assembly line_FQC Reject Rate -Assembly line 2015 2" xfId="462" xr:uid="{00000000-0005-0000-0000-0000CD010000}"/>
    <cellStyle name="_FQC LRR-assembly line_FQC Reject Rate -Assembly line_FQC Reject Rate -Assembly line_FQC Reject Rate -Assembly line_FQC Reject Rate -Assembly line 2015 2 2" xfId="463" xr:uid="{00000000-0005-0000-0000-0000CE010000}"/>
    <cellStyle name="_FQC LRR-assembly line_FQC Reject Rate -Assembly line_FQC Reject Rate -Assembly line_FQC Reject Rate -Assembly line_FQC Reject Rate -Assembly line_FQC Reject Rate -Assembly line" xfId="464" xr:uid="{00000000-0005-0000-0000-0000CF010000}"/>
    <cellStyle name="_FQC LRR-assembly line_FQC Reject Rate -Assembly line_FQC Reject Rate -Assembly line_FQC Reject Rate -Assembly line_FQC Reject Rate -Assembly line_FQC Reject Rate -Assembly line 2" xfId="465" xr:uid="{00000000-0005-0000-0000-0000D0010000}"/>
    <cellStyle name="_FQC LRR-assembly line_FQC Reject Rate -Assembly line_FQC Reject Rate -Assembly line_FQC Reject Rate -Assembly line_FQC Reject Rate -Assembly line_FQC Reject Rate -Assembly line_FQC Reject Rate -Assembly line" xfId="466" xr:uid="{00000000-0005-0000-0000-0000D1010000}"/>
    <cellStyle name="_FQC LRR-assembly line_FQC Reject Rate -Assembly line_FQC Reject Rate -Assembly line_FQC Reject Rate -Assembly line_FQC Reject Rate -Assembly line_FQC Reject Rate -Assembly line_FQC Reject Rate -Assembly line 2" xfId="467" xr:uid="{00000000-0005-0000-0000-0000D2010000}"/>
    <cellStyle name="_FQC LRR-assembly line_FQC Reject Rate -Assembly line_FQC Reject Rate -Assembly line_FQC Reject Rate -Assembly line_FQC Reject Rate -Assembly line_FQC Reject Rate -Assembly line_FQC Reject Rate -Assembly line 2 2" xfId="468" xr:uid="{00000000-0005-0000-0000-0000D3010000}"/>
    <cellStyle name="_FQC LRR-assembly line_FQC Reject Rate -Assembly line_FQC Reject Rate -Assembly line_FQC Reject Rate -Assembly line_FQC Reject Rate -Assembly line_FQC Reject Rate -Assembly line_FQC Reject Rate -Assembly line 2014" xfId="469" xr:uid="{00000000-0005-0000-0000-0000D4010000}"/>
    <cellStyle name="_FQC LRR-assembly line_FQC Reject Rate -Assembly line_FQC Reject Rate -Assembly line_FQC Reject Rate -Assembly line_FQC Reject Rate -Assembly line_FQC Reject Rate -Assembly line_FQC Reject Rate -Assembly line 2014 2" xfId="470" xr:uid="{00000000-0005-0000-0000-0000D5010000}"/>
    <cellStyle name="_FQC LRR-assembly line_FQC Reject Rate -Assembly line_FQC Reject Rate -Assembly line_FQC Reject Rate -Assembly line_FQC Reject Rate -Assembly line_FQC Reject Rate -Assembly line_FQC Reject Rate -Assembly line 2014 2 2" xfId="471" xr:uid="{00000000-0005-0000-0000-0000D6010000}"/>
    <cellStyle name="_FQC LRR-assembly line_FQC Reject Rate -Assembly line_FQC Reject Rate -Assembly line_FQC Reject Rate -Assembly line_FQC Reject Rate -Assembly line_FQC Reject Rate -Assembly line_FQC Reject Rate -Assembly line 2015" xfId="472" xr:uid="{00000000-0005-0000-0000-0000D7010000}"/>
    <cellStyle name="_FQC LRR-assembly line_FQC Reject Rate -Assembly line_FQC Reject Rate -Assembly line_FQC Reject Rate -Assembly line_FQC Reject Rate -Assembly line_FQC Reject Rate -Assembly line_FQC Reject Rate -Assembly line 2015 2" xfId="473" xr:uid="{00000000-0005-0000-0000-0000D8010000}"/>
    <cellStyle name="_FQC LRR-assembly line_FQC Reject Rate -Assembly line_FQC Reject Rate -Assembly line_FQC Reject Rate -Assembly line_FQC Reject Rate -Assembly line_FQC Reject Rate -Assembly line_FQC Reject Rate -Assembly line 2015 2 2" xfId="474" xr:uid="{00000000-0005-0000-0000-0000D9010000}"/>
    <cellStyle name="_FQC LRR-assembly line_FQC_FQC Reject Rate -Assembly line" xfId="475" xr:uid="{00000000-0005-0000-0000-0000DA010000}"/>
    <cellStyle name="_FQC LRR-assembly line_FQC_FQC Reject Rate -Assembly line 2" xfId="476" xr:uid="{00000000-0005-0000-0000-0000DB010000}"/>
    <cellStyle name="_FQC LRR-assembly line_FQC_FQC Reject Rate -Assembly line 2 2" xfId="477" xr:uid="{00000000-0005-0000-0000-0000DC010000}"/>
    <cellStyle name="_FQC LRR-assembly line_FQC_FQC Reject Rate -Assembly line 2014" xfId="478" xr:uid="{00000000-0005-0000-0000-0000DD010000}"/>
    <cellStyle name="_FQC LRR-assembly line_FQC_FQC Reject Rate -Assembly line 2014 2" xfId="479" xr:uid="{00000000-0005-0000-0000-0000DE010000}"/>
    <cellStyle name="_FQC LRR-assembly line_FQC_FQC Reject Rate -Assembly line 2014 2 2" xfId="480" xr:uid="{00000000-0005-0000-0000-0000DF010000}"/>
    <cellStyle name="_FQC LRR-assembly line_FQC_FQC Reject Rate -Assembly line 2015" xfId="481" xr:uid="{00000000-0005-0000-0000-0000E0010000}"/>
    <cellStyle name="_FQC LRR-assembly line_FQC_FQC Reject Rate -Assembly line 2015 2" xfId="482" xr:uid="{00000000-0005-0000-0000-0000E1010000}"/>
    <cellStyle name="_FQC LRR-assembly line_FQC_FQC Reject Rate -Assembly line 2015 2 2" xfId="483" xr:uid="{00000000-0005-0000-0000-0000E2010000}"/>
    <cellStyle name="_FQC LRR-wheel line" xfId="484" xr:uid="{00000000-0005-0000-0000-0000E3010000}"/>
    <cellStyle name="_FQC LRR-wheel line 2" xfId="485" xr:uid="{00000000-0005-0000-0000-0000E4010000}"/>
    <cellStyle name="_FQC LRR-wheel line 2 2" xfId="486" xr:uid="{00000000-0005-0000-0000-0000E5010000}"/>
    <cellStyle name="_FQC LRR-wheel line_FQC LRR-wheel line" xfId="487" xr:uid="{00000000-0005-0000-0000-0000E6010000}"/>
    <cellStyle name="_FQC LRR-wheel line_FQC LRR-wheel line 2" xfId="488" xr:uid="{00000000-0005-0000-0000-0000E7010000}"/>
    <cellStyle name="_FQC LRR-wheel line_FQC LRR-wheel line 2 2" xfId="489" xr:uid="{00000000-0005-0000-0000-0000E8010000}"/>
    <cellStyle name="_FQC LRR-wheel line_FQC LRR-wheel line_FQC LRR-wheel line" xfId="490" xr:uid="{00000000-0005-0000-0000-0000E9010000}"/>
    <cellStyle name="_FQC LRR-wheel line_FQC LRR-wheel line_FQC LRR-wheel line 2" xfId="491" xr:uid="{00000000-0005-0000-0000-0000EA010000}"/>
    <cellStyle name="_FQC LRR-wheel line_FQC LRR-wheel line_FQC LRR-wheel line 2 2" xfId="492" xr:uid="{00000000-0005-0000-0000-0000EB010000}"/>
    <cellStyle name="_FQC LRR-wheel line_FQC LRR-wheel line_FQC LRR-wheel line_FQC Reject Rate -Assembly line" xfId="493" xr:uid="{00000000-0005-0000-0000-0000EC010000}"/>
    <cellStyle name="_FQC LRR-wheel line_FQC LRR-wheel line_FQC LRR-wheel line_FQC Reject Rate -Assembly line 2" xfId="494" xr:uid="{00000000-0005-0000-0000-0000ED010000}"/>
    <cellStyle name="_FQC LRR-wheel line_FQC LRR-wheel line_FQC LRR-wheel line_FQC Reject Rate -Assembly line_FQC Reject Rate -Assembly line" xfId="495" xr:uid="{00000000-0005-0000-0000-0000EE010000}"/>
    <cellStyle name="_FQC LRR-wheel line_FQC LRR-wheel line_FQC LRR-wheel line_FQC Reject Rate -Assembly line_FQC Reject Rate -Assembly line 2" xfId="496" xr:uid="{00000000-0005-0000-0000-0000EF010000}"/>
    <cellStyle name="_FQC LRR-wheel line_FQC LRR-wheel line_FQC LRR-wheel line_FQC Reject Rate -Assembly line_FQC Reject Rate -Assembly line 2 2" xfId="497" xr:uid="{00000000-0005-0000-0000-0000F0010000}"/>
    <cellStyle name="_FQC LRR-wheel line_FQC LRR-wheel line_FQC LRR-wheel line_FQC Reject Rate -Assembly line_FQC Reject Rate -Assembly line 2014" xfId="498" xr:uid="{00000000-0005-0000-0000-0000F1010000}"/>
    <cellStyle name="_FQC LRR-wheel line_FQC LRR-wheel line_FQC LRR-wheel line_FQC Reject Rate -Assembly line_FQC Reject Rate -Assembly line 2014 2" xfId="499" xr:uid="{00000000-0005-0000-0000-0000F2010000}"/>
    <cellStyle name="_FQC LRR-wheel line_FQC LRR-wheel line_FQC LRR-wheel line_FQC Reject Rate -Assembly line_FQC Reject Rate -Assembly line 2014 2 2" xfId="500" xr:uid="{00000000-0005-0000-0000-0000F3010000}"/>
    <cellStyle name="_FQC LRR-wheel line_FQC LRR-wheel line_FQC LRR-wheel line_FQC Reject Rate -Assembly line_FQC Reject Rate -Assembly line 2015" xfId="501" xr:uid="{00000000-0005-0000-0000-0000F4010000}"/>
    <cellStyle name="_FQC LRR-wheel line_FQC LRR-wheel line_FQC LRR-wheel line_FQC Reject Rate -Assembly line_FQC Reject Rate -Assembly line 2015 2" xfId="502" xr:uid="{00000000-0005-0000-0000-0000F5010000}"/>
    <cellStyle name="_FQC LRR-wheel line_FQC LRR-wheel line_FQC LRR-wheel line_FQC Reject Rate -Assembly line_FQC Reject Rate -Assembly line 2015 2 2" xfId="503" xr:uid="{00000000-0005-0000-0000-0000F6010000}"/>
    <cellStyle name="_FQC LRR-wheel line_FQC LRR-wheel line_FQC LRR-wheel line_FQC Reject Rate -Assembly line_FQC Reject Rate -Assembly line_FQC Reject Rate -Assembly line" xfId="504" xr:uid="{00000000-0005-0000-0000-0000F7010000}"/>
    <cellStyle name="_FQC LRR-wheel line_FQC LRR-wheel line_FQC LRR-wheel line_FQC Reject Rate -Assembly line_FQC Reject Rate -Assembly line_FQC Reject Rate -Assembly line 2" xfId="505" xr:uid="{00000000-0005-0000-0000-0000F8010000}"/>
    <cellStyle name="_FQC LRR-wheel line_FQC LRR-wheel line_FQC LRR-wheel line_FQC Reject Rate -Assembly line_FQC Reject Rate -Assembly line_FQC Reject Rate -Assembly line_FQC Reject Rate -Assembly line" xfId="506" xr:uid="{00000000-0005-0000-0000-0000F9010000}"/>
    <cellStyle name="_FQC LRR-wheel line_FQC LRR-wheel line_FQC LRR-wheel line_FQC Reject Rate -Assembly line_FQC Reject Rate -Assembly line_FQC Reject Rate -Assembly line_FQC Reject Rate -Assembly line 2" xfId="507" xr:uid="{00000000-0005-0000-0000-0000FA010000}"/>
    <cellStyle name="_FQC LRR-wheel line_FQC LRR-wheel line_FQC LRR-wheel line_FQC Reject Rate -Assembly line_FQC Reject Rate -Assembly line_FQC Reject Rate -Assembly line_FQC Reject Rate -Assembly line 2 2" xfId="508" xr:uid="{00000000-0005-0000-0000-0000FB010000}"/>
    <cellStyle name="_FQC LRR-wheel line_FQC LRR-wheel line_FQC LRR-wheel line_FQC Reject Rate -Assembly line_FQC Reject Rate -Assembly line_FQC Reject Rate -Assembly line_FQC Reject Rate -Assembly line 2014" xfId="509" xr:uid="{00000000-0005-0000-0000-0000FC010000}"/>
    <cellStyle name="_FQC LRR-wheel line_FQC LRR-wheel line_FQC LRR-wheel line_FQC Reject Rate -Assembly line_FQC Reject Rate -Assembly line_FQC Reject Rate -Assembly line_FQC Reject Rate -Assembly line 2014 2" xfId="510" xr:uid="{00000000-0005-0000-0000-0000FD010000}"/>
    <cellStyle name="_FQC LRR-wheel line_FQC LRR-wheel line_FQC LRR-wheel line_FQC Reject Rate -Assembly line_FQC Reject Rate -Assembly line_FQC Reject Rate -Assembly line_FQC Reject Rate -Assembly line 2014 2 2" xfId="511" xr:uid="{00000000-0005-0000-0000-0000FE010000}"/>
    <cellStyle name="_FQC LRR-wheel line_FQC LRR-wheel line_FQC LRR-wheel line_FQC Reject Rate -Assembly line_FQC Reject Rate -Assembly line_FQC Reject Rate -Assembly line_FQC Reject Rate -Assembly line 2015" xfId="512" xr:uid="{00000000-0005-0000-0000-0000FF010000}"/>
    <cellStyle name="_FQC LRR-wheel line_FQC LRR-wheel line_FQC LRR-wheel line_FQC Reject Rate -Assembly line_FQC Reject Rate -Assembly line_FQC Reject Rate -Assembly line_FQC Reject Rate -Assembly line 2015 2" xfId="513" xr:uid="{00000000-0005-0000-0000-000000020000}"/>
    <cellStyle name="_FQC LRR-wheel line_FQC LRR-wheel line_FQC LRR-wheel line_FQC Reject Rate -Assembly line_FQC Reject Rate -Assembly line_FQC Reject Rate -Assembly line_FQC Reject Rate -Assembly line 2015 2 2" xfId="514" xr:uid="{00000000-0005-0000-0000-000001020000}"/>
    <cellStyle name="_FQC LRR-wheel line_FQC LRR-wheel line_FQC LRR-wheel line_FQC Reject Rate -Assembly line_FQC Reject Rate -Assembly line_FQC Reject Rate -Assembly line_FQC Reject Rate -Assembly line_FQC Reject Rate -Assembly line" xfId="515" xr:uid="{00000000-0005-0000-0000-000002020000}"/>
    <cellStyle name="_FQC LRR-wheel line_FQC LRR-wheel line_FQC LRR-wheel line_FQC Reject Rate -Assembly line_FQC Reject Rate -Assembly line_FQC Reject Rate -Assembly line_FQC Reject Rate -Assembly line_FQC Reject Rate -Assembly line 2" xfId="516" xr:uid="{00000000-0005-0000-0000-000003020000}"/>
    <cellStyle name="_FQC LRR-wheel line_FQC LRR-wheel line_FQC LRR-wheel line_FQC Reject Rate -Assembly line_FQC Reject Rate -Assembly line_FQC Reject Rate -Assembly line_FQC Reject Rate -Assembly line_FQC Reject Rate -Assembly line_FQC Reject Rate -Assembly line" xfId="517" xr:uid="{00000000-0005-0000-0000-000004020000}"/>
    <cellStyle name="_FQC LRR-wheel line_FQC LRR-wheel line_FQC LRR-wheel line_FQC Reject Rate -Assembly line_FQC Reject Rate -Assembly line_FQC Reject Rate -Assembly line_FQC Reject Rate -Assembly line_FQC Reject Rate -Assembly line_FQC Reject Rate -Assembly line 2" xfId="518" xr:uid="{00000000-0005-0000-0000-000005020000}"/>
    <cellStyle name="_FQC LRR-wheel line_FQC LRR-wheel line_FQC LRR-wheel line_FQC Reject Rate -Assembly line_FQC Reject Rate -Assembly line_FQC Reject Rate -Assembly line_FQC Reject Rate -Assembly line_FQC Reject Rate -Assembly line_FQC Reject Rate -Assembly line 2 2" xfId="519" xr:uid="{00000000-0005-0000-0000-000006020000}"/>
    <cellStyle name="_FQC LRR-wheel line_FQC LRR-wheel line_FQC LRR-wheel line_FQC Reject Rate -Assembly line_FQC Reject Rate -Assembly line_FQC Reject Rate -Assembly line_FQC Reject Rate -Assembly line_FQC Reject Rate -Assembly line_FQC Reject Rate -Assembly line 2014" xfId="520" xr:uid="{00000000-0005-0000-0000-000007020000}"/>
    <cellStyle name="_FQC LRR-wheel line_FQC LRR-wheel line_FQC LRR-wheel line_FQC Reject Rate -Assembly line_FQC Reject Rate -Assembly line_FQC Reject Rate -Assembly line_FQC Reject Rate -Assembly line_FQC Reject Rate -Assembly line_FQC Reject Rate -Assembly line 2014 2" xfId="521" xr:uid="{00000000-0005-0000-0000-000008020000}"/>
    <cellStyle name="_FQC LRR-wheel line_FQC LRR-wheel line_FQC LRR-wheel line_FQC Reject Rate -Assembly line_FQC Reject Rate -Assembly line_FQC Reject Rate -Assembly line_FQC Reject Rate -Assembly line_FQC Reject Rate -Assembly line_FQC Reject Rate -Assembly line 2014 2 2" xfId="522" xr:uid="{00000000-0005-0000-0000-000009020000}"/>
    <cellStyle name="_FQC LRR-wheel line_FQC LRR-wheel line_FQC LRR-wheel line_FQC Reject Rate -Assembly line_FQC Reject Rate -Assembly line_FQC Reject Rate -Assembly line_FQC Reject Rate -Assembly line_FQC Reject Rate -Assembly line_FQC Reject Rate -Assembly line 2015" xfId="523" xr:uid="{00000000-0005-0000-0000-00000A020000}"/>
    <cellStyle name="_FQC LRR-wheel line_FQC LRR-wheel line_FQC LRR-wheel line_FQC Reject Rate -Assembly line_FQC Reject Rate -Assembly line_FQC Reject Rate -Assembly line_FQC Reject Rate -Assembly line_FQC Reject Rate -Assembly line_FQC Reject Rate -Assembly line 2015 2" xfId="524" xr:uid="{00000000-0005-0000-0000-00000B020000}"/>
    <cellStyle name="_FQC LRR-wheel line_FQC LRR-wheel line_FQC LRR-wheel line_FQC Reject Rate -Assembly line_FQC Reject Rate -Assembly line_FQC Reject Rate -Assembly line_FQC Reject Rate -Assembly line_FQC Reject Rate -Assembly line_FQC Reject Rate -Assembly line 2015 2 2" xfId="525" xr:uid="{00000000-0005-0000-0000-00000C020000}"/>
    <cellStyle name="_FQC LRR-wheel line_FQC LRR-wheel line_FQC Reject Rate -Assembly line" xfId="526" xr:uid="{00000000-0005-0000-0000-00000D020000}"/>
    <cellStyle name="_FQC LRR-wheel line_FQC LRR-wheel line_FQC Reject Rate -Assembly line 2" xfId="527" xr:uid="{00000000-0005-0000-0000-00000E020000}"/>
    <cellStyle name="_FQC LRR-wheel line_FQC LRR-wheel line_FQC Reject Rate -Assembly line_FQC Reject Rate -Assembly line" xfId="528" xr:uid="{00000000-0005-0000-0000-00000F020000}"/>
    <cellStyle name="_FQC LRR-wheel line_FQC LRR-wheel line_FQC Reject Rate -Assembly line_FQC Reject Rate -Assembly line 2" xfId="529" xr:uid="{00000000-0005-0000-0000-000010020000}"/>
    <cellStyle name="_FQC LRR-wheel line_FQC LRR-wheel line_FQC Reject Rate -Assembly line_FQC Reject Rate -Assembly line 2 2" xfId="530" xr:uid="{00000000-0005-0000-0000-000011020000}"/>
    <cellStyle name="_FQC LRR-wheel line_FQC LRR-wheel line_FQC Reject Rate -Assembly line_FQC Reject Rate -Assembly line 2014" xfId="531" xr:uid="{00000000-0005-0000-0000-000012020000}"/>
    <cellStyle name="_FQC LRR-wheel line_FQC LRR-wheel line_FQC Reject Rate -Assembly line_FQC Reject Rate -Assembly line 2014 2" xfId="532" xr:uid="{00000000-0005-0000-0000-000013020000}"/>
    <cellStyle name="_FQC LRR-wheel line_FQC LRR-wheel line_FQC Reject Rate -Assembly line_FQC Reject Rate -Assembly line 2014 2 2" xfId="533" xr:uid="{00000000-0005-0000-0000-000014020000}"/>
    <cellStyle name="_FQC LRR-wheel line_FQC LRR-wheel line_FQC Reject Rate -Assembly line_FQC Reject Rate -Assembly line 2015" xfId="534" xr:uid="{00000000-0005-0000-0000-000015020000}"/>
    <cellStyle name="_FQC LRR-wheel line_FQC LRR-wheel line_FQC Reject Rate -Assembly line_FQC Reject Rate -Assembly line 2015 2" xfId="535" xr:uid="{00000000-0005-0000-0000-000016020000}"/>
    <cellStyle name="_FQC LRR-wheel line_FQC LRR-wheel line_FQC Reject Rate -Assembly line_FQC Reject Rate -Assembly line 2015 2 2" xfId="536" xr:uid="{00000000-0005-0000-0000-000017020000}"/>
    <cellStyle name="_FQC LRR-wheel line_FQC LRR-wheel line_FQC Reject Rate -Assembly line_FQC Reject Rate -Assembly line_FQC Reject Rate -Assembly line" xfId="537" xr:uid="{00000000-0005-0000-0000-000018020000}"/>
    <cellStyle name="_FQC LRR-wheel line_FQC LRR-wheel line_FQC Reject Rate -Assembly line_FQC Reject Rate -Assembly line_FQC Reject Rate -Assembly line 2" xfId="538" xr:uid="{00000000-0005-0000-0000-000019020000}"/>
    <cellStyle name="_FQC LRR-wheel line_FQC LRR-wheel line_FQC Reject Rate -Assembly line_FQC Reject Rate -Assembly line_FQC Reject Rate -Assembly line_FQC Reject Rate -Assembly line" xfId="539" xr:uid="{00000000-0005-0000-0000-00001A020000}"/>
    <cellStyle name="_FQC LRR-wheel line_FQC LRR-wheel line_FQC Reject Rate -Assembly line_FQC Reject Rate -Assembly line_FQC Reject Rate -Assembly line_FQC Reject Rate -Assembly line 2" xfId="540" xr:uid="{00000000-0005-0000-0000-00001B020000}"/>
    <cellStyle name="_FQC LRR-wheel line_FQC LRR-wheel line_FQC Reject Rate -Assembly line_FQC Reject Rate -Assembly line_FQC Reject Rate -Assembly line_FQC Reject Rate -Assembly line 2 2" xfId="541" xr:uid="{00000000-0005-0000-0000-00001C020000}"/>
    <cellStyle name="_FQC LRR-wheel line_FQC LRR-wheel line_FQC Reject Rate -Assembly line_FQC Reject Rate -Assembly line_FQC Reject Rate -Assembly line_FQC Reject Rate -Assembly line 2014" xfId="542" xr:uid="{00000000-0005-0000-0000-00001D020000}"/>
    <cellStyle name="_FQC LRR-wheel line_FQC LRR-wheel line_FQC Reject Rate -Assembly line_FQC Reject Rate -Assembly line_FQC Reject Rate -Assembly line_FQC Reject Rate -Assembly line 2014 2" xfId="543" xr:uid="{00000000-0005-0000-0000-00001E020000}"/>
    <cellStyle name="_FQC LRR-wheel line_FQC LRR-wheel line_FQC Reject Rate -Assembly line_FQC Reject Rate -Assembly line_FQC Reject Rate -Assembly line_FQC Reject Rate -Assembly line 2014 2 2" xfId="544" xr:uid="{00000000-0005-0000-0000-00001F020000}"/>
    <cellStyle name="_FQC LRR-wheel line_FQC LRR-wheel line_FQC Reject Rate -Assembly line_FQC Reject Rate -Assembly line_FQC Reject Rate -Assembly line_FQC Reject Rate -Assembly line 2015" xfId="545" xr:uid="{00000000-0005-0000-0000-000020020000}"/>
    <cellStyle name="_FQC LRR-wheel line_FQC LRR-wheel line_FQC Reject Rate -Assembly line_FQC Reject Rate -Assembly line_FQC Reject Rate -Assembly line_FQC Reject Rate -Assembly line 2015 2" xfId="546" xr:uid="{00000000-0005-0000-0000-000021020000}"/>
    <cellStyle name="_FQC LRR-wheel line_FQC LRR-wheel line_FQC Reject Rate -Assembly line_FQC Reject Rate -Assembly line_FQC Reject Rate -Assembly line_FQC Reject Rate -Assembly line 2015 2 2" xfId="547" xr:uid="{00000000-0005-0000-0000-000022020000}"/>
    <cellStyle name="_FQC LRR-wheel line_FQC LRR-wheel line_FQC Reject Rate -Assembly line_FQC Reject Rate -Assembly line_FQC Reject Rate -Assembly line_FQC Reject Rate -Assembly line_FQC Reject Rate -Assembly line" xfId="548" xr:uid="{00000000-0005-0000-0000-000023020000}"/>
    <cellStyle name="_FQC LRR-wheel line_FQC LRR-wheel line_FQC Reject Rate -Assembly line_FQC Reject Rate -Assembly line_FQC Reject Rate -Assembly line_FQC Reject Rate -Assembly line_FQC Reject Rate -Assembly line 2" xfId="549" xr:uid="{00000000-0005-0000-0000-000024020000}"/>
    <cellStyle name="_FQC LRR-wheel line_FQC LRR-wheel line_FQC Reject Rate -Assembly line_FQC Reject Rate -Assembly line_FQC Reject Rate -Assembly line_FQC Reject Rate -Assembly line_FQC Reject Rate -Assembly line_FQC Reject Rate -Assembly line" xfId="550" xr:uid="{00000000-0005-0000-0000-000025020000}"/>
    <cellStyle name="_FQC LRR-wheel line_FQC LRR-wheel line_FQC Reject Rate -Assembly line_FQC Reject Rate -Assembly line_FQC Reject Rate -Assembly line_FQC Reject Rate -Assembly line_FQC Reject Rate -Assembly line_FQC Reject Rate -Assembly line 2" xfId="551" xr:uid="{00000000-0005-0000-0000-000026020000}"/>
    <cellStyle name="_FQC LRR-wheel line_FQC LRR-wheel line_FQC Reject Rate -Assembly line_FQC Reject Rate -Assembly line_FQC Reject Rate -Assembly line_FQC Reject Rate -Assembly line_FQC Reject Rate -Assembly line_FQC Reject Rate -Assembly line 2 2" xfId="552" xr:uid="{00000000-0005-0000-0000-000027020000}"/>
    <cellStyle name="_FQC LRR-wheel line_FQC LRR-wheel line_FQC Reject Rate -Assembly line_FQC Reject Rate -Assembly line_FQC Reject Rate -Assembly line_FQC Reject Rate -Assembly line_FQC Reject Rate -Assembly line_FQC Reject Rate -Assembly line 2014" xfId="553" xr:uid="{00000000-0005-0000-0000-000028020000}"/>
    <cellStyle name="_FQC LRR-wheel line_FQC LRR-wheel line_FQC Reject Rate -Assembly line_FQC Reject Rate -Assembly line_FQC Reject Rate -Assembly line_FQC Reject Rate -Assembly line_FQC Reject Rate -Assembly line_FQC Reject Rate -Assembly line 2014 2" xfId="554" xr:uid="{00000000-0005-0000-0000-000029020000}"/>
    <cellStyle name="_FQC LRR-wheel line_FQC LRR-wheel line_FQC Reject Rate -Assembly line_FQC Reject Rate -Assembly line_FQC Reject Rate -Assembly line_FQC Reject Rate -Assembly line_FQC Reject Rate -Assembly line_FQC Reject Rate -Assembly line 2014 2 2" xfId="555" xr:uid="{00000000-0005-0000-0000-00002A020000}"/>
    <cellStyle name="_FQC LRR-wheel line_FQC LRR-wheel line_FQC Reject Rate -Assembly line_FQC Reject Rate -Assembly line_FQC Reject Rate -Assembly line_FQC Reject Rate -Assembly line_FQC Reject Rate -Assembly line_FQC Reject Rate -Assembly line 2015" xfId="556" xr:uid="{00000000-0005-0000-0000-00002B020000}"/>
    <cellStyle name="_FQC LRR-wheel line_FQC LRR-wheel line_FQC Reject Rate -Assembly line_FQC Reject Rate -Assembly line_FQC Reject Rate -Assembly line_FQC Reject Rate -Assembly line_FQC Reject Rate -Assembly line_FQC Reject Rate -Assembly line 2015 2" xfId="557" xr:uid="{00000000-0005-0000-0000-00002C020000}"/>
    <cellStyle name="_FQC LRR-wheel line_FQC LRR-wheel line_FQC Reject Rate -Assembly line_FQC Reject Rate -Assembly line_FQC Reject Rate -Assembly line_FQC Reject Rate -Assembly line_FQC Reject Rate -Assembly line_FQC Reject Rate -Assembly line 2015 2 2" xfId="558" xr:uid="{00000000-0005-0000-0000-00002D020000}"/>
    <cellStyle name="_FQC LRR-wheel line_FQC Reject Rate -Assembly line" xfId="559" xr:uid="{00000000-0005-0000-0000-00002E020000}"/>
    <cellStyle name="_FQC LRR-wheel line_FQC Reject Rate -Assembly line 2" xfId="560" xr:uid="{00000000-0005-0000-0000-00002F020000}"/>
    <cellStyle name="_FQC LRR-wheel line_FQC Reject Rate -Assembly line_FQC Reject Rate -Assembly line" xfId="561" xr:uid="{00000000-0005-0000-0000-000030020000}"/>
    <cellStyle name="_FQC LRR-wheel line_FQC Reject Rate -Assembly line_FQC Reject Rate -Assembly line 2" xfId="562" xr:uid="{00000000-0005-0000-0000-000031020000}"/>
    <cellStyle name="_FQC LRR-wheel line_FQC Reject Rate -Assembly line_FQC Reject Rate -Assembly line 2 2" xfId="563" xr:uid="{00000000-0005-0000-0000-000032020000}"/>
    <cellStyle name="_FQC LRR-wheel line_FQC Reject Rate -Assembly line_FQC Reject Rate -Assembly line 2014" xfId="564" xr:uid="{00000000-0005-0000-0000-000033020000}"/>
    <cellStyle name="_FQC LRR-wheel line_FQC Reject Rate -Assembly line_FQC Reject Rate -Assembly line 2014 2" xfId="565" xr:uid="{00000000-0005-0000-0000-000034020000}"/>
    <cellStyle name="_FQC LRR-wheel line_FQC Reject Rate -Assembly line_FQC Reject Rate -Assembly line 2014 2 2" xfId="566" xr:uid="{00000000-0005-0000-0000-000035020000}"/>
    <cellStyle name="_FQC LRR-wheel line_FQC Reject Rate -Assembly line_FQC Reject Rate -Assembly line 2015" xfId="567" xr:uid="{00000000-0005-0000-0000-000036020000}"/>
    <cellStyle name="_FQC LRR-wheel line_FQC Reject Rate -Assembly line_FQC Reject Rate -Assembly line 2015 2" xfId="568" xr:uid="{00000000-0005-0000-0000-000037020000}"/>
    <cellStyle name="_FQC LRR-wheel line_FQC Reject Rate -Assembly line_FQC Reject Rate -Assembly line 2015 2 2" xfId="569" xr:uid="{00000000-0005-0000-0000-000038020000}"/>
    <cellStyle name="_FQC LRR-wheel line_FQC Reject Rate -Assembly line_FQC Reject Rate -Assembly line_FQC Reject Rate -Assembly line" xfId="570" xr:uid="{00000000-0005-0000-0000-000039020000}"/>
    <cellStyle name="_FQC LRR-wheel line_FQC Reject Rate -Assembly line_FQC Reject Rate -Assembly line_FQC Reject Rate -Assembly line 2" xfId="571" xr:uid="{00000000-0005-0000-0000-00003A020000}"/>
    <cellStyle name="_FQC LRR-wheel line_FQC Reject Rate -Assembly line_FQC Reject Rate -Assembly line_FQC Reject Rate -Assembly line_FQC Reject Rate -Assembly line" xfId="572" xr:uid="{00000000-0005-0000-0000-00003B020000}"/>
    <cellStyle name="_FQC LRR-wheel line_FQC Reject Rate -Assembly line_FQC Reject Rate -Assembly line_FQC Reject Rate -Assembly line_FQC Reject Rate -Assembly line 2" xfId="573" xr:uid="{00000000-0005-0000-0000-00003C020000}"/>
    <cellStyle name="_FQC LRR-wheel line_FQC Reject Rate -Assembly line_FQC Reject Rate -Assembly line_FQC Reject Rate -Assembly line_FQC Reject Rate -Assembly line 2 2" xfId="574" xr:uid="{00000000-0005-0000-0000-00003D020000}"/>
    <cellStyle name="_FQC LRR-wheel line_FQC Reject Rate -Assembly line_FQC Reject Rate -Assembly line_FQC Reject Rate -Assembly line_FQC Reject Rate -Assembly line 2014" xfId="575" xr:uid="{00000000-0005-0000-0000-00003E020000}"/>
    <cellStyle name="_FQC LRR-wheel line_FQC Reject Rate -Assembly line_FQC Reject Rate -Assembly line_FQC Reject Rate -Assembly line_FQC Reject Rate -Assembly line 2014 2" xfId="576" xr:uid="{00000000-0005-0000-0000-00003F020000}"/>
    <cellStyle name="_FQC LRR-wheel line_FQC Reject Rate -Assembly line_FQC Reject Rate -Assembly line_FQC Reject Rate -Assembly line_FQC Reject Rate -Assembly line 2014 2 2" xfId="577" xr:uid="{00000000-0005-0000-0000-000040020000}"/>
    <cellStyle name="_FQC LRR-wheel line_FQC Reject Rate -Assembly line_FQC Reject Rate -Assembly line_FQC Reject Rate -Assembly line_FQC Reject Rate -Assembly line 2015" xfId="578" xr:uid="{00000000-0005-0000-0000-000041020000}"/>
    <cellStyle name="_FQC LRR-wheel line_FQC Reject Rate -Assembly line_FQC Reject Rate -Assembly line_FQC Reject Rate -Assembly line_FQC Reject Rate -Assembly line 2015 2" xfId="579" xr:uid="{00000000-0005-0000-0000-000042020000}"/>
    <cellStyle name="_FQC LRR-wheel line_FQC Reject Rate -Assembly line_FQC Reject Rate -Assembly line_FQC Reject Rate -Assembly line_FQC Reject Rate -Assembly line 2015 2 2" xfId="580" xr:uid="{00000000-0005-0000-0000-000043020000}"/>
    <cellStyle name="_FQC LRR-wheel line_FQC Reject Rate -Assembly line_FQC Reject Rate -Assembly line_FQC Reject Rate -Assembly line_FQC Reject Rate -Assembly line_FQC Reject Rate -Assembly line" xfId="581" xr:uid="{00000000-0005-0000-0000-000044020000}"/>
    <cellStyle name="_FQC LRR-wheel line_FQC Reject Rate -Assembly line_FQC Reject Rate -Assembly line_FQC Reject Rate -Assembly line_FQC Reject Rate -Assembly line_FQC Reject Rate -Assembly line 2" xfId="582" xr:uid="{00000000-0005-0000-0000-000045020000}"/>
    <cellStyle name="_FQC LRR-wheel line_FQC Reject Rate -Assembly line_FQC Reject Rate -Assembly line_FQC Reject Rate -Assembly line_FQC Reject Rate -Assembly line_FQC Reject Rate -Assembly line_FQC Reject Rate -Assembly line" xfId="583" xr:uid="{00000000-0005-0000-0000-000046020000}"/>
    <cellStyle name="_FQC LRR-wheel line_FQC Reject Rate -Assembly line_FQC Reject Rate -Assembly line_FQC Reject Rate -Assembly line_FQC Reject Rate -Assembly line_FQC Reject Rate -Assembly line_FQC Reject Rate -Assembly line 2" xfId="584" xr:uid="{00000000-0005-0000-0000-000047020000}"/>
    <cellStyle name="_FQC LRR-wheel line_FQC Reject Rate -Assembly line_FQC Reject Rate -Assembly line_FQC Reject Rate -Assembly line_FQC Reject Rate -Assembly line_FQC Reject Rate -Assembly line_FQC Reject Rate -Assembly line 2 2" xfId="585" xr:uid="{00000000-0005-0000-0000-000048020000}"/>
    <cellStyle name="_FQC LRR-wheel line_FQC Reject Rate -Assembly line_FQC Reject Rate -Assembly line_FQC Reject Rate -Assembly line_FQC Reject Rate -Assembly line_FQC Reject Rate -Assembly line_FQC Reject Rate -Assembly line 2014" xfId="586" xr:uid="{00000000-0005-0000-0000-000049020000}"/>
    <cellStyle name="_FQC LRR-wheel line_FQC Reject Rate -Assembly line_FQC Reject Rate -Assembly line_FQC Reject Rate -Assembly line_FQC Reject Rate -Assembly line_FQC Reject Rate -Assembly line_FQC Reject Rate -Assembly line 2014 2" xfId="587" xr:uid="{00000000-0005-0000-0000-00004A020000}"/>
    <cellStyle name="_FQC LRR-wheel line_FQC Reject Rate -Assembly line_FQC Reject Rate -Assembly line_FQC Reject Rate -Assembly line_FQC Reject Rate -Assembly line_FQC Reject Rate -Assembly line_FQC Reject Rate -Assembly line 2014 2 2" xfId="588" xr:uid="{00000000-0005-0000-0000-00004B020000}"/>
    <cellStyle name="_FQC LRR-wheel line_FQC Reject Rate -Assembly line_FQC Reject Rate -Assembly line_FQC Reject Rate -Assembly line_FQC Reject Rate -Assembly line_FQC Reject Rate -Assembly line_FQC Reject Rate -Assembly line 2015" xfId="589" xr:uid="{00000000-0005-0000-0000-00004C020000}"/>
    <cellStyle name="_FQC LRR-wheel line_FQC Reject Rate -Assembly line_FQC Reject Rate -Assembly line_FQC Reject Rate -Assembly line_FQC Reject Rate -Assembly line_FQC Reject Rate -Assembly line_FQC Reject Rate -Assembly line 2015 2" xfId="590" xr:uid="{00000000-0005-0000-0000-00004D020000}"/>
    <cellStyle name="_FQC LRR-wheel line_FQC Reject Rate -Assembly line_FQC Reject Rate -Assembly line_FQC Reject Rate -Assembly line_FQC Reject Rate -Assembly line_FQC Reject Rate -Assembly line_FQC Reject Rate -Assembly line 2015 2 2" xfId="591" xr:uid="{00000000-0005-0000-0000-00004E020000}"/>
    <cellStyle name="_FQC Reject Rate -Assembly line" xfId="592" xr:uid="{00000000-0005-0000-0000-00004F020000}"/>
    <cellStyle name="_FQC Reject Rate -Assembly line 2" xfId="593" xr:uid="{00000000-0005-0000-0000-000050020000}"/>
    <cellStyle name="_FQC Reject Rate -Assembly line 2 2" xfId="594" xr:uid="{00000000-0005-0000-0000-000051020000}"/>
    <cellStyle name="_FQC Reject Rate -Assembly line 2014" xfId="595" xr:uid="{00000000-0005-0000-0000-000052020000}"/>
    <cellStyle name="_FQC Reject Rate -Assembly line 2014 2" xfId="596" xr:uid="{00000000-0005-0000-0000-000053020000}"/>
    <cellStyle name="_FQC Reject Rate -Assembly line 2014 2 2" xfId="597" xr:uid="{00000000-0005-0000-0000-000054020000}"/>
    <cellStyle name="_FQC Reject Rate -Assembly line_FQC Reject Rate -Assembly line" xfId="598" xr:uid="{00000000-0005-0000-0000-000055020000}"/>
    <cellStyle name="_FQC Reject Rate -Assembly line_FQC Reject Rate -Assembly line 2" xfId="599" xr:uid="{00000000-0005-0000-0000-000056020000}"/>
    <cellStyle name="_FQC Reject Rate -Assembly line_FQC Reject Rate -Assembly line_FQC Reject Rate -Assembly line" xfId="600" xr:uid="{00000000-0005-0000-0000-000057020000}"/>
    <cellStyle name="_FQC Reject Rate -Assembly line_FQC Reject Rate -Assembly line_FQC Reject Rate -Assembly line 2" xfId="601" xr:uid="{00000000-0005-0000-0000-000058020000}"/>
    <cellStyle name="_FQC Reject Rate -Assembly line_FQC Reject Rate -Assembly line_FQC Reject Rate -Assembly line 2 2" xfId="602" xr:uid="{00000000-0005-0000-0000-000059020000}"/>
    <cellStyle name="_FQC Reject Rate -Assembly line_FQC Reject Rate -Assembly line_FQC Reject Rate -Assembly line 2014" xfId="603" xr:uid="{00000000-0005-0000-0000-00005A020000}"/>
    <cellStyle name="_FQC Reject Rate -Assembly line_FQC Reject Rate -Assembly line_FQC Reject Rate -Assembly line 2014 2" xfId="604" xr:uid="{00000000-0005-0000-0000-00005B020000}"/>
    <cellStyle name="_FQC Reject Rate -Assembly line_FQC Reject Rate -Assembly line_FQC Reject Rate -Assembly line 2014 2 2" xfId="605" xr:uid="{00000000-0005-0000-0000-00005C020000}"/>
    <cellStyle name="_FQC Reject Rate -Assembly line_FQC Reject Rate -Assembly line_FQC Reject Rate -Assembly line 2015" xfId="606" xr:uid="{00000000-0005-0000-0000-00005D020000}"/>
    <cellStyle name="_FQC Reject Rate -Assembly line_FQC Reject Rate -Assembly line_FQC Reject Rate -Assembly line 2015 2" xfId="607" xr:uid="{00000000-0005-0000-0000-00005E020000}"/>
    <cellStyle name="_FQC Reject Rate -Assembly line_FQC Reject Rate -Assembly line_FQC Reject Rate -Assembly line 2015 2 2" xfId="608" xr:uid="{00000000-0005-0000-0000-00005F020000}"/>
    <cellStyle name="_FQC Reject Rate -Assembly line_FQC Reject Rate -Assembly line_FQC Reject Rate -Assembly line_FQC Reject Rate -Assembly line" xfId="609" xr:uid="{00000000-0005-0000-0000-000060020000}"/>
    <cellStyle name="_FQC Reject Rate -Assembly line_FQC Reject Rate -Assembly line_FQC Reject Rate -Assembly line_FQC Reject Rate -Assembly line 2" xfId="610" xr:uid="{00000000-0005-0000-0000-000061020000}"/>
    <cellStyle name="_FQC Reject Rate -Assembly line_FQC Reject Rate -Assembly line_FQC Reject Rate -Assembly line_FQC Reject Rate -Assembly line_FQC Reject Rate -Assembly line" xfId="611" xr:uid="{00000000-0005-0000-0000-000062020000}"/>
    <cellStyle name="_FQC Reject Rate -Assembly line_FQC Reject Rate -Assembly line_FQC Reject Rate -Assembly line_FQC Reject Rate -Assembly line_FQC Reject Rate -Assembly line 2" xfId="612" xr:uid="{00000000-0005-0000-0000-000063020000}"/>
    <cellStyle name="_FQC Reject Rate -Assembly line_FQC Reject Rate -Assembly line_FQC Reject Rate -Assembly line_FQC Reject Rate -Assembly line_FQC Reject Rate -Assembly line 2 2" xfId="613" xr:uid="{00000000-0005-0000-0000-000064020000}"/>
    <cellStyle name="_FQC Reject Rate -Assembly line_FQC Reject Rate -Assembly line_FQC Reject Rate -Assembly line_FQC Reject Rate -Assembly line_FQC Reject Rate -Assembly line 2014" xfId="614" xr:uid="{00000000-0005-0000-0000-000065020000}"/>
    <cellStyle name="_FQC Reject Rate -Assembly line_FQC Reject Rate -Assembly line_FQC Reject Rate -Assembly line_FQC Reject Rate -Assembly line_FQC Reject Rate -Assembly line 2014 2" xfId="615" xr:uid="{00000000-0005-0000-0000-000066020000}"/>
    <cellStyle name="_FQC Reject Rate -Assembly line_FQC Reject Rate -Assembly line_FQC Reject Rate -Assembly line_FQC Reject Rate -Assembly line_FQC Reject Rate -Assembly line 2014 2 2" xfId="616" xr:uid="{00000000-0005-0000-0000-000067020000}"/>
    <cellStyle name="_FQC Reject Rate -Assembly line_FQC Reject Rate -Assembly line_FQC Reject Rate -Assembly line_FQC Reject Rate -Assembly line_FQC Reject Rate -Assembly line 2015" xfId="617" xr:uid="{00000000-0005-0000-0000-000068020000}"/>
    <cellStyle name="_FQC Reject Rate -Assembly line_FQC Reject Rate -Assembly line_FQC Reject Rate -Assembly line_FQC Reject Rate -Assembly line_FQC Reject Rate -Assembly line 2015 2" xfId="618" xr:uid="{00000000-0005-0000-0000-000069020000}"/>
    <cellStyle name="_FQC Reject Rate -Assembly line_FQC Reject Rate -Assembly line_FQC Reject Rate -Assembly line_FQC Reject Rate -Assembly line_FQC Reject Rate -Assembly line 2015 2 2" xfId="619" xr:uid="{00000000-0005-0000-0000-00006A020000}"/>
    <cellStyle name="_FQC Reject Rate -Assembly line_FQC Reject Rate -Assembly line_FQC Reject Rate -Assembly line_FQC Reject Rate -Assembly line_FQC Reject Rate -Assembly line_FQC Reject Rate -Assembly line" xfId="620" xr:uid="{00000000-0005-0000-0000-00006B020000}"/>
    <cellStyle name="_FQC Reject Rate -Assembly line_FQC Reject Rate -Assembly line_FQC Reject Rate -Assembly line_FQC Reject Rate -Assembly line_FQC Reject Rate -Assembly line_FQC Reject Rate -Assembly line 2" xfId="621" xr:uid="{00000000-0005-0000-0000-00006C020000}"/>
    <cellStyle name="_FQC Reject Rate -Assembly line_FQC Reject Rate -Assembly line_FQC Reject Rate -Assembly line_FQC Reject Rate -Assembly line_FQC Reject Rate -Assembly line_FQC Reject Rate -Assembly line_FQC Reject Rate -Assembly line" xfId="622" xr:uid="{00000000-0005-0000-0000-00006D020000}"/>
    <cellStyle name="_FQC Reject Rate -Assembly line_FQC Reject Rate -Assembly line_FQC Reject Rate -Assembly line_FQC Reject Rate -Assembly line_FQC Reject Rate -Assembly line_FQC Reject Rate -Assembly line_FQC Reject Rate -Assembly line 2" xfId="623" xr:uid="{00000000-0005-0000-0000-00006E020000}"/>
    <cellStyle name="_FQC Reject Rate -Assembly line_FQC Reject Rate -Assembly line_FQC Reject Rate -Assembly line_FQC Reject Rate -Assembly line_FQC Reject Rate -Assembly line_FQC Reject Rate -Assembly line_FQC Reject Rate -Assembly line 2 2" xfId="624" xr:uid="{00000000-0005-0000-0000-00006F020000}"/>
    <cellStyle name="_FQC Reject Rate -Assembly line_FQC Reject Rate -Assembly line_FQC Reject Rate -Assembly line_FQC Reject Rate -Assembly line_FQC Reject Rate -Assembly line_FQC Reject Rate -Assembly line_FQC Reject Rate -Assembly line 2014" xfId="625" xr:uid="{00000000-0005-0000-0000-000070020000}"/>
    <cellStyle name="_FQC Reject Rate -Assembly line_FQC Reject Rate -Assembly line_FQC Reject Rate -Assembly line_FQC Reject Rate -Assembly line_FQC Reject Rate -Assembly line_FQC Reject Rate -Assembly line_FQC Reject Rate -Assembly line 2014 2" xfId="626" xr:uid="{00000000-0005-0000-0000-000071020000}"/>
    <cellStyle name="_FQC Reject Rate -Assembly line_FQC Reject Rate -Assembly line_FQC Reject Rate -Assembly line_FQC Reject Rate -Assembly line_FQC Reject Rate -Assembly line_FQC Reject Rate -Assembly line_FQC Reject Rate -Assembly line 2014 2 2" xfId="627" xr:uid="{00000000-0005-0000-0000-000072020000}"/>
    <cellStyle name="_FQC Reject Rate -Assembly line_FQC Reject Rate -Assembly line_FQC Reject Rate -Assembly line_FQC Reject Rate -Assembly line_FQC Reject Rate -Assembly line_FQC Reject Rate -Assembly line_FQC Reject Rate -Assembly line 2015" xfId="628" xr:uid="{00000000-0005-0000-0000-000073020000}"/>
    <cellStyle name="_FQC Reject Rate -Assembly line_FQC Reject Rate -Assembly line_FQC Reject Rate -Assembly line_FQC Reject Rate -Assembly line_FQC Reject Rate -Assembly line_FQC Reject Rate -Assembly line_FQC Reject Rate -Assembly line 2015 2" xfId="629" xr:uid="{00000000-0005-0000-0000-000074020000}"/>
    <cellStyle name="_FQC Reject Rate -Assembly line_FQC Reject Rate -Assembly line_FQC Reject Rate -Assembly line_FQC Reject Rate -Assembly line_FQC Reject Rate -Assembly line_FQC Reject Rate -Assembly line_FQC Reject Rate -Assembly line 2015 2 2" xfId="630" xr:uid="{00000000-0005-0000-0000-000075020000}"/>
    <cellStyle name="_Rework Database" xfId="631" xr:uid="{00000000-0005-0000-0000-000076020000}"/>
    <cellStyle name="Indefinido" xfId="632" xr:uid="{00000000-0005-0000-0000-000077020000}"/>
    <cellStyle name="No" xfId="633" xr:uid="{00000000-0005-0000-0000-000078020000}"/>
    <cellStyle name="No 2" xfId="634" xr:uid="{00000000-0005-0000-0000-000079020000}"/>
    <cellStyle name="No 2 2" xfId="635" xr:uid="{00000000-0005-0000-0000-00007A020000}"/>
    <cellStyle name="Normal" xfId="0" builtinId="0"/>
    <cellStyle name="Normal 2" xfId="636" xr:uid="{00000000-0005-0000-0000-00007C020000}"/>
    <cellStyle name="Normal 2 2" xfId="637" xr:uid="{00000000-0005-0000-0000-00007D020000}"/>
    <cellStyle name="Normal 3" xfId="638" xr:uid="{00000000-0005-0000-0000-00007E020000}"/>
    <cellStyle name="Normal_Assembly line daily report2009 12" xfId="639" xr:uid="{00000000-0005-0000-0000-00007F020000}"/>
    <cellStyle name="Normal_database" xfId="640" xr:uid="{00000000-0005-0000-0000-000080020000}"/>
    <cellStyle name="Normal_Rework Database" xfId="641" xr:uid="{00000000-0005-0000-0000-000081020000}"/>
    <cellStyle name="Style 1" xfId="642" xr:uid="{00000000-0005-0000-0000-000082020000}"/>
    <cellStyle name="Style 1 2" xfId="643" xr:uid="{00000000-0005-0000-0000-000083020000}"/>
    <cellStyle name="Style 1 2 2" xfId="644" xr:uid="{00000000-0005-0000-0000-000084020000}"/>
    <cellStyle name="Style 2" xfId="645" xr:uid="{00000000-0005-0000-0000-000085020000}"/>
    <cellStyle name="Style 2 2" xfId="646" xr:uid="{00000000-0005-0000-0000-000086020000}"/>
    <cellStyle name="Style 2 2 2" xfId="647" xr:uid="{00000000-0005-0000-0000-000087020000}"/>
    <cellStyle name="Style 3" xfId="648" xr:uid="{00000000-0005-0000-0000-000088020000}"/>
    <cellStyle name="Style 3 2" xfId="649" xr:uid="{00000000-0005-0000-0000-000089020000}"/>
    <cellStyle name="Style 3 2 2" xfId="650" xr:uid="{00000000-0005-0000-0000-00008A020000}"/>
    <cellStyle name="Style 4" xfId="651" xr:uid="{00000000-0005-0000-0000-00008B020000}"/>
    <cellStyle name="Style 4 2" xfId="652" xr:uid="{00000000-0005-0000-0000-00008C020000}"/>
    <cellStyle name="Style 4 2 2" xfId="653" xr:uid="{00000000-0005-0000-0000-00008D020000}"/>
    <cellStyle name="Style 5" xfId="654" xr:uid="{00000000-0005-0000-0000-00008E020000}"/>
    <cellStyle name="Style 5 2" xfId="655" xr:uid="{00000000-0005-0000-0000-00008F020000}"/>
    <cellStyle name="Style 5 2 2" xfId="656" xr:uid="{00000000-0005-0000-0000-000090020000}"/>
    <cellStyle name="Style 6" xfId="657" xr:uid="{00000000-0005-0000-0000-000091020000}"/>
    <cellStyle name="Style 6 2" xfId="658" xr:uid="{00000000-0005-0000-0000-000092020000}"/>
    <cellStyle name="Style 6 2 2" xfId="659" xr:uid="{00000000-0005-0000-0000-000093020000}"/>
    <cellStyle name="Style 7" xfId="660" xr:uid="{00000000-0005-0000-0000-000094020000}"/>
    <cellStyle name="Style 7 2" xfId="661" xr:uid="{00000000-0005-0000-0000-000095020000}"/>
    <cellStyle name="Style 7 2 2" xfId="662" xr:uid="{00000000-0005-0000-0000-000096020000}"/>
    <cellStyle name="Style 8" xfId="663" xr:uid="{00000000-0005-0000-0000-000097020000}"/>
    <cellStyle name="Style 8 2" xfId="664" xr:uid="{00000000-0005-0000-0000-000098020000}"/>
    <cellStyle name="Style 8 2 2" xfId="665" xr:uid="{00000000-0005-0000-0000-000099020000}"/>
    <cellStyle name="Style 9" xfId="666" xr:uid="{00000000-0005-0000-0000-00009A020000}"/>
    <cellStyle name="Style 9 2" xfId="667" xr:uid="{00000000-0005-0000-0000-00009B020000}"/>
    <cellStyle name="Style 9 2 2" xfId="668" xr:uid="{00000000-0005-0000-0000-00009C020000}"/>
  </cellStyles>
  <dxfs count="2">
    <dxf>
      <font>
        <b val="0"/>
        <i val="0"/>
        <strike val="0"/>
        <u val="none"/>
        <sz val="10"/>
        <color indexed="10"/>
      </font>
    </dxf>
    <dxf>
      <font>
        <b val="0"/>
        <i val="0"/>
        <strike val="0"/>
        <u val="none"/>
        <sz val="10"/>
        <color indexed="1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1"/>
              <a:t>FQC</a:t>
            </a:r>
            <a:r>
              <a:rPr lang="en-US" sz="1100" b="1" i="1" baseline="0"/>
              <a:t> REJECTED TIMES 2026</a:t>
            </a:r>
            <a:endParaRPr lang="en-US" sz="1100" b="1" i="1"/>
          </a:p>
        </c:rich>
      </c:tx>
      <c:layout>
        <c:manualLayout>
          <c:xMode val="edge"/>
          <c:yMode val="edge"/>
          <c:x val="0.39940876656472984"/>
          <c:y val="6.4705882352941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770289034971548E-2"/>
          <c:y val="0.13911764705882354"/>
          <c:w val="0.91150023678232883"/>
          <c:h val="0.72442195460861503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10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FPY!$H$2:$S$2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FPY!$H$8:$S$8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F8-4D7D-A2B5-0FFB64097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938752"/>
        <c:axId val="220962048"/>
      </c:lineChart>
      <c:catAx>
        <c:axId val="220938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rgbClr val="FF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62048"/>
        <c:crosses val="autoZero"/>
        <c:auto val="1"/>
        <c:lblAlgn val="ctr"/>
        <c:lblOffset val="100"/>
        <c:noMultiLvlLbl val="0"/>
      </c:catAx>
      <c:valAx>
        <c:axId val="220962048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rgbClr val="FF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38752"/>
        <c:crosses val="autoZero"/>
        <c:crossBetween val="between"/>
        <c:minorUnit val="1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8</xdr:row>
      <xdr:rowOff>50800</xdr:rowOff>
    </xdr:from>
    <xdr:to>
      <xdr:col>14</xdr:col>
      <xdr:colOff>158750</xdr:colOff>
      <xdr:row>15</xdr:row>
      <xdr:rowOff>209550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12"/>
  </sheetPr>
  <dimension ref="A1:W666"/>
  <sheetViews>
    <sheetView showGridLines="0" tabSelected="1" zoomScale="93" zoomScaleNormal="93" zoomScaleSheetLayoutView="75" workbookViewId="0">
      <pane xSplit="3" ySplit="3" topLeftCell="D659" activePane="bottomRight" state="frozen"/>
      <selection pane="topRight"/>
      <selection pane="bottomLeft"/>
      <selection pane="bottomRight" activeCell="F672" sqref="F672"/>
    </sheetView>
  </sheetViews>
  <sheetFormatPr defaultColWidth="9" defaultRowHeight="13.75" customHeight="1"/>
  <cols>
    <col min="1" max="1" width="5.08984375" style="56" customWidth="1"/>
    <col min="2" max="2" width="6.08984375" style="57" customWidth="1"/>
    <col min="3" max="3" width="10.6328125" style="58" customWidth="1"/>
    <col min="4" max="4" width="11.1796875" style="2" customWidth="1"/>
    <col min="5" max="5" width="11.08984375" style="2" customWidth="1"/>
    <col min="6" max="6" width="28.08984375" style="2" customWidth="1"/>
    <col min="7" max="7" width="5.54296875" style="2" customWidth="1"/>
    <col min="8" max="8" width="9.90625" style="59" customWidth="1"/>
    <col min="9" max="9" width="15.7265625" style="59" customWidth="1"/>
    <col min="10" max="13" width="6.26953125" style="59" customWidth="1"/>
    <col min="14" max="14" width="6.26953125" style="2" customWidth="1"/>
    <col min="15" max="16" width="10" style="2" customWidth="1"/>
    <col min="17" max="17" width="33.453125" style="60" customWidth="1"/>
    <col min="18" max="18" width="8.08984375" style="2" customWidth="1"/>
    <col min="19" max="19" width="7.26953125" style="2" customWidth="1"/>
    <col min="20" max="20" width="11.26953125" style="2" customWidth="1"/>
    <col min="21" max="21" width="16.90625" style="2" customWidth="1"/>
    <col min="22" max="23" width="10.1796875" style="2" customWidth="1"/>
    <col min="24" max="16384" width="9" style="2"/>
  </cols>
  <sheetData>
    <row r="1" spans="1:23" s="54" customFormat="1" ht="27" customHeight="1" thickBot="1">
      <c r="A1" s="83">
        <f ca="1">SUM((COUNTIF($N$4:$N$829,"NOK")-COUNTIFS($N$4:$N$829,"NOK",$S$4:$S$829,'Index-Data'!$D$4)),1)/(MONTH(TODAY()))</f>
        <v>1.125</v>
      </c>
      <c r="B1" s="1272" t="s">
        <v>0</v>
      </c>
      <c r="C1" s="1272"/>
      <c r="D1" s="1272"/>
      <c r="E1" s="1272"/>
      <c r="F1" s="1272"/>
      <c r="G1" s="1272"/>
      <c r="H1" s="1272"/>
      <c r="I1" s="1272"/>
      <c r="J1" s="1272"/>
      <c r="K1" s="1272"/>
      <c r="L1" s="1272"/>
      <c r="M1" s="1272"/>
      <c r="N1" s="1272"/>
      <c r="O1" s="1272"/>
      <c r="P1" s="1272"/>
      <c r="Q1" s="1272"/>
      <c r="R1" s="1272"/>
      <c r="S1" s="1272"/>
      <c r="T1" s="1272"/>
      <c r="U1" s="1260" t="s">
        <v>264</v>
      </c>
      <c r="V1" s="1260"/>
      <c r="W1" s="1260"/>
    </row>
    <row r="2" spans="1:23" s="55" customFormat="1" ht="17.5" customHeight="1" thickBot="1">
      <c r="A2" s="1261" t="s">
        <v>1</v>
      </c>
      <c r="B2" s="1263" t="s">
        <v>2</v>
      </c>
      <c r="C2" s="1265" t="s">
        <v>3</v>
      </c>
      <c r="D2" s="1257" t="s">
        <v>4</v>
      </c>
      <c r="E2" s="1257" t="s">
        <v>5</v>
      </c>
      <c r="F2" s="1257" t="s">
        <v>6</v>
      </c>
      <c r="G2" s="1257" t="s">
        <v>7</v>
      </c>
      <c r="H2" s="1267" t="s">
        <v>8</v>
      </c>
      <c r="I2" s="1267" t="s">
        <v>9</v>
      </c>
      <c r="J2" s="1267" t="s">
        <v>10</v>
      </c>
      <c r="K2" s="1267" t="s">
        <v>11</v>
      </c>
      <c r="L2" s="1267" t="s">
        <v>12</v>
      </c>
      <c r="M2" s="1267" t="s">
        <v>13</v>
      </c>
      <c r="N2" s="1257" t="s">
        <v>14</v>
      </c>
      <c r="O2" s="1259" t="s">
        <v>15</v>
      </c>
      <c r="P2" s="1259"/>
      <c r="Q2" s="1271" t="s">
        <v>16</v>
      </c>
      <c r="R2" s="1257" t="s">
        <v>17</v>
      </c>
      <c r="S2" s="1257" t="s">
        <v>18</v>
      </c>
      <c r="T2" s="1257" t="s">
        <v>19</v>
      </c>
      <c r="U2" s="1257" t="s">
        <v>235</v>
      </c>
      <c r="V2" s="1257" t="s">
        <v>21</v>
      </c>
      <c r="W2" s="1269" t="s">
        <v>22</v>
      </c>
    </row>
    <row r="3" spans="1:23" s="55" customFormat="1" ht="17.5" customHeight="1" thickBot="1">
      <c r="A3" s="1262"/>
      <c r="B3" s="1264"/>
      <c r="C3" s="1266"/>
      <c r="D3" s="1258"/>
      <c r="E3" s="1258"/>
      <c r="F3" s="1258"/>
      <c r="G3" s="1258"/>
      <c r="H3" s="1268"/>
      <c r="I3" s="1268"/>
      <c r="J3" s="1268"/>
      <c r="K3" s="1268"/>
      <c r="L3" s="1268"/>
      <c r="M3" s="1268"/>
      <c r="N3" s="1258"/>
      <c r="O3" s="61" t="s">
        <v>23</v>
      </c>
      <c r="P3" s="62" t="s">
        <v>24</v>
      </c>
      <c r="Q3" s="1258"/>
      <c r="R3" s="1258"/>
      <c r="S3" s="1258"/>
      <c r="T3" s="1258"/>
      <c r="U3" s="1258"/>
      <c r="V3" s="1258"/>
      <c r="W3" s="1270"/>
    </row>
    <row r="4" spans="1:23" ht="17.5" customHeight="1" thickBot="1">
      <c r="A4" s="67" t="s">
        <v>141</v>
      </c>
      <c r="B4" s="68">
        <v>1</v>
      </c>
      <c r="C4" s="69">
        <v>46024</v>
      </c>
      <c r="D4" s="70" t="s">
        <v>142</v>
      </c>
      <c r="E4" s="71" t="s">
        <v>265</v>
      </c>
      <c r="F4" s="71" t="s">
        <v>270</v>
      </c>
      <c r="G4" s="71" t="s">
        <v>37</v>
      </c>
      <c r="H4" s="88">
        <v>5447763</v>
      </c>
      <c r="I4" s="71" t="s">
        <v>276</v>
      </c>
      <c r="J4" s="71">
        <v>180</v>
      </c>
      <c r="K4" s="71">
        <v>1</v>
      </c>
      <c r="L4" s="71">
        <v>5</v>
      </c>
      <c r="M4" s="71">
        <v>1</v>
      </c>
      <c r="N4" s="71" t="s">
        <v>149</v>
      </c>
      <c r="O4" s="71" t="s">
        <v>29</v>
      </c>
      <c r="P4" s="71" t="s">
        <v>30</v>
      </c>
      <c r="Q4" s="71" t="s">
        <v>252</v>
      </c>
      <c r="R4" s="71" t="s">
        <v>31</v>
      </c>
      <c r="S4" s="71" t="s">
        <v>184</v>
      </c>
      <c r="T4" s="71" t="s">
        <v>185</v>
      </c>
      <c r="U4" s="71"/>
      <c r="V4" s="71" t="s">
        <v>149</v>
      </c>
      <c r="W4" s="72">
        <v>1</v>
      </c>
    </row>
    <row r="5" spans="1:23" ht="17.5" customHeight="1" thickBot="1">
      <c r="A5" s="91" t="s">
        <v>141</v>
      </c>
      <c r="B5" s="92">
        <v>1</v>
      </c>
      <c r="C5" s="93">
        <v>46025</v>
      </c>
      <c r="D5" s="94" t="s">
        <v>142</v>
      </c>
      <c r="E5" s="124" t="s">
        <v>265</v>
      </c>
      <c r="F5" s="124" t="s">
        <v>270</v>
      </c>
      <c r="G5" s="124" t="s">
        <v>37</v>
      </c>
      <c r="H5" s="128">
        <v>5447763</v>
      </c>
      <c r="I5" s="124" t="s">
        <v>276</v>
      </c>
      <c r="J5" s="124">
        <v>210</v>
      </c>
      <c r="K5" s="124">
        <v>1</v>
      </c>
      <c r="L5" s="124">
        <v>2</v>
      </c>
      <c r="M5" s="124">
        <v>33</v>
      </c>
      <c r="N5" s="146" t="s">
        <v>187</v>
      </c>
      <c r="O5" s="124" t="s">
        <v>67</v>
      </c>
      <c r="P5" s="124" t="s">
        <v>30</v>
      </c>
      <c r="Q5" s="124" t="s">
        <v>279</v>
      </c>
      <c r="R5" s="124" t="s">
        <v>31</v>
      </c>
      <c r="S5" s="124" t="s">
        <v>184</v>
      </c>
      <c r="T5" s="124" t="s">
        <v>185</v>
      </c>
      <c r="U5" s="147" t="s">
        <v>280</v>
      </c>
      <c r="V5" s="124" t="s">
        <v>149</v>
      </c>
      <c r="W5" s="127">
        <v>33</v>
      </c>
    </row>
    <row r="6" spans="1:23" ht="17.5" customHeight="1">
      <c r="A6" s="63" t="s">
        <v>141</v>
      </c>
      <c r="B6" s="149">
        <v>2</v>
      </c>
      <c r="C6" s="150">
        <v>46027</v>
      </c>
      <c r="D6" s="151" t="s">
        <v>142</v>
      </c>
      <c r="E6" s="152" t="s">
        <v>265</v>
      </c>
      <c r="F6" s="152" t="s">
        <v>270</v>
      </c>
      <c r="G6" s="152" t="s">
        <v>37</v>
      </c>
      <c r="H6" s="153">
        <v>5447763</v>
      </c>
      <c r="I6" s="152" t="s">
        <v>276</v>
      </c>
      <c r="J6" s="152">
        <v>110</v>
      </c>
      <c r="K6" s="1255">
        <v>1</v>
      </c>
      <c r="L6" s="1255">
        <v>5</v>
      </c>
      <c r="M6" s="1255">
        <v>1</v>
      </c>
      <c r="N6" s="1255" t="s">
        <v>149</v>
      </c>
      <c r="O6" s="1255" t="s">
        <v>29</v>
      </c>
      <c r="P6" s="1255" t="s">
        <v>30</v>
      </c>
      <c r="Q6" s="1255" t="s">
        <v>281</v>
      </c>
      <c r="R6" s="1255" t="s">
        <v>31</v>
      </c>
      <c r="S6" s="1255" t="s">
        <v>184</v>
      </c>
      <c r="T6" s="1255" t="s">
        <v>185</v>
      </c>
      <c r="U6" s="1255"/>
      <c r="V6" s="1255" t="s">
        <v>149</v>
      </c>
      <c r="W6" s="1256">
        <v>1</v>
      </c>
    </row>
    <row r="7" spans="1:23" ht="17.5" customHeight="1" thickBot="1">
      <c r="A7" s="116" t="s">
        <v>141</v>
      </c>
      <c r="B7" s="141">
        <v>2</v>
      </c>
      <c r="C7" s="142">
        <v>46027</v>
      </c>
      <c r="D7" s="143" t="s">
        <v>142</v>
      </c>
      <c r="E7" s="144" t="s">
        <v>265</v>
      </c>
      <c r="F7" s="144" t="s">
        <v>271</v>
      </c>
      <c r="G7" s="144" t="s">
        <v>37</v>
      </c>
      <c r="H7" s="145">
        <v>5447762</v>
      </c>
      <c r="I7" s="144" t="s">
        <v>278</v>
      </c>
      <c r="J7" s="144">
        <v>100</v>
      </c>
      <c r="K7" s="1147"/>
      <c r="L7" s="1147"/>
      <c r="M7" s="1147"/>
      <c r="N7" s="1147"/>
      <c r="O7" s="1147"/>
      <c r="P7" s="1147"/>
      <c r="Q7" s="1147"/>
      <c r="R7" s="1147"/>
      <c r="S7" s="1147"/>
      <c r="T7" s="1147"/>
      <c r="U7" s="1147"/>
      <c r="V7" s="1147"/>
      <c r="W7" s="1149"/>
    </row>
    <row r="8" spans="1:23" ht="17.5" customHeight="1" thickBot="1">
      <c r="A8" s="158" t="s">
        <v>141</v>
      </c>
      <c r="B8" s="159">
        <v>2</v>
      </c>
      <c r="C8" s="160">
        <v>46029</v>
      </c>
      <c r="D8" s="161" t="s">
        <v>142</v>
      </c>
      <c r="E8" s="155" t="s">
        <v>265</v>
      </c>
      <c r="F8" s="155" t="s">
        <v>271</v>
      </c>
      <c r="G8" s="155" t="s">
        <v>37</v>
      </c>
      <c r="H8" s="162">
        <v>5447762</v>
      </c>
      <c r="I8" s="155" t="s">
        <v>278</v>
      </c>
      <c r="J8" s="155">
        <v>300</v>
      </c>
      <c r="K8" s="155">
        <v>1</v>
      </c>
      <c r="L8" s="155"/>
      <c r="M8" s="155">
        <v>0</v>
      </c>
      <c r="N8" s="155" t="s">
        <v>149</v>
      </c>
      <c r="O8" s="155"/>
      <c r="P8" s="155"/>
      <c r="Q8" s="155"/>
      <c r="R8" s="155"/>
      <c r="S8" s="155"/>
      <c r="T8" s="155"/>
      <c r="U8" s="155"/>
      <c r="V8" s="155"/>
      <c r="W8" s="156"/>
    </row>
    <row r="9" spans="1:23" ht="17.5" customHeight="1">
      <c r="A9" s="63" t="s">
        <v>141</v>
      </c>
      <c r="B9" s="64">
        <v>2</v>
      </c>
      <c r="C9" s="65">
        <v>46030</v>
      </c>
      <c r="D9" s="66" t="s">
        <v>142</v>
      </c>
      <c r="E9" s="157" t="s">
        <v>265</v>
      </c>
      <c r="F9" s="157" t="s">
        <v>271</v>
      </c>
      <c r="G9" s="157" t="s">
        <v>37</v>
      </c>
      <c r="H9" s="163">
        <v>5447762</v>
      </c>
      <c r="I9" s="157" t="s">
        <v>278</v>
      </c>
      <c r="J9" s="157">
        <v>100</v>
      </c>
      <c r="K9" s="157">
        <v>1</v>
      </c>
      <c r="L9" s="157"/>
      <c r="M9" s="157">
        <v>0</v>
      </c>
      <c r="N9" s="157" t="s">
        <v>149</v>
      </c>
      <c r="O9" s="157"/>
      <c r="P9" s="157"/>
      <c r="Q9" s="157"/>
      <c r="R9" s="157"/>
      <c r="S9" s="157"/>
      <c r="T9" s="157"/>
      <c r="U9" s="157"/>
      <c r="V9" s="157"/>
      <c r="W9" s="154"/>
    </row>
    <row r="10" spans="1:23" customFormat="1" ht="16.5" customHeight="1">
      <c r="A10" s="134" t="s">
        <v>141</v>
      </c>
      <c r="B10" s="135">
        <v>2</v>
      </c>
      <c r="C10" s="136">
        <v>46030</v>
      </c>
      <c r="D10" s="137" t="s">
        <v>145</v>
      </c>
      <c r="E10" s="138" t="s">
        <v>50</v>
      </c>
      <c r="F10" s="138" t="s">
        <v>234</v>
      </c>
      <c r="G10" s="138" t="s">
        <v>32</v>
      </c>
      <c r="H10" s="139">
        <v>5463838</v>
      </c>
      <c r="I10" s="138">
        <v>1110165730</v>
      </c>
      <c r="J10" s="138">
        <v>10</v>
      </c>
      <c r="K10" s="1143">
        <v>1</v>
      </c>
      <c r="L10" s="1143">
        <v>5</v>
      </c>
      <c r="M10" s="1143">
        <v>1</v>
      </c>
      <c r="N10" s="1143" t="s">
        <v>149</v>
      </c>
      <c r="O10" s="1143" t="s">
        <v>61</v>
      </c>
      <c r="P10" s="1143" t="s">
        <v>62</v>
      </c>
      <c r="Q10" s="1143" t="s">
        <v>295</v>
      </c>
      <c r="R10" s="1143" t="s">
        <v>31</v>
      </c>
      <c r="S10" s="1143" t="s">
        <v>184</v>
      </c>
      <c r="T10" s="1143" t="s">
        <v>185</v>
      </c>
      <c r="U10" s="1143"/>
      <c r="V10" s="1143" t="s">
        <v>149</v>
      </c>
      <c r="W10" s="1145">
        <v>1</v>
      </c>
    </row>
    <row r="11" spans="1:23" customFormat="1" ht="16.5" customHeight="1">
      <c r="A11" s="134" t="s">
        <v>141</v>
      </c>
      <c r="B11" s="135">
        <v>2</v>
      </c>
      <c r="C11" s="136">
        <v>46030</v>
      </c>
      <c r="D11" s="137" t="s">
        <v>145</v>
      </c>
      <c r="E11" s="138" t="s">
        <v>50</v>
      </c>
      <c r="F11" s="138" t="s">
        <v>233</v>
      </c>
      <c r="G11" s="138" t="s">
        <v>36</v>
      </c>
      <c r="H11" s="139">
        <v>5463835</v>
      </c>
      <c r="I11" s="138">
        <v>4522891651</v>
      </c>
      <c r="J11" s="138">
        <v>13</v>
      </c>
      <c r="K11" s="1143"/>
      <c r="L11" s="1143"/>
      <c r="M11" s="1143"/>
      <c r="N11" s="1143"/>
      <c r="O11" s="1143"/>
      <c r="P11" s="1143"/>
      <c r="Q11" s="1143"/>
      <c r="R11" s="1143"/>
      <c r="S11" s="1143"/>
      <c r="T11" s="1143"/>
      <c r="U11" s="1143"/>
      <c r="V11" s="1143"/>
      <c r="W11" s="1145"/>
    </row>
    <row r="12" spans="1:23" customFormat="1" ht="16.5" customHeight="1" thickBot="1">
      <c r="A12" s="164" t="s">
        <v>141</v>
      </c>
      <c r="B12" s="165">
        <v>2</v>
      </c>
      <c r="C12" s="166">
        <v>46030</v>
      </c>
      <c r="D12" s="167" t="s">
        <v>142</v>
      </c>
      <c r="E12" s="168" t="s">
        <v>232</v>
      </c>
      <c r="F12" s="168" t="s">
        <v>230</v>
      </c>
      <c r="G12" s="168" t="s">
        <v>37</v>
      </c>
      <c r="H12" s="169">
        <v>4821348</v>
      </c>
      <c r="I12" s="168" t="s">
        <v>294</v>
      </c>
      <c r="J12" s="168">
        <v>207</v>
      </c>
      <c r="K12" s="168">
        <v>1</v>
      </c>
      <c r="L12" s="168">
        <v>5</v>
      </c>
      <c r="M12" s="168">
        <v>1</v>
      </c>
      <c r="N12" s="168" t="s">
        <v>149</v>
      </c>
      <c r="O12" s="168" t="s">
        <v>299</v>
      </c>
      <c r="P12" s="168" t="s">
        <v>64</v>
      </c>
      <c r="Q12" s="168" t="s">
        <v>298</v>
      </c>
      <c r="R12" s="168" t="s">
        <v>49</v>
      </c>
      <c r="S12" s="168" t="s">
        <v>184</v>
      </c>
      <c r="T12" s="168" t="s">
        <v>185</v>
      </c>
      <c r="U12" s="168"/>
      <c r="V12" s="168" t="s">
        <v>149</v>
      </c>
      <c r="W12" s="170">
        <v>1</v>
      </c>
    </row>
    <row r="13" spans="1:23" customFormat="1" ht="16.5" customHeight="1">
      <c r="A13" s="63" t="s">
        <v>141</v>
      </c>
      <c r="B13" s="149">
        <v>2</v>
      </c>
      <c r="C13" s="150">
        <v>46031</v>
      </c>
      <c r="D13" s="151" t="s">
        <v>142</v>
      </c>
      <c r="E13" s="152" t="s">
        <v>232</v>
      </c>
      <c r="F13" s="152" t="s">
        <v>272</v>
      </c>
      <c r="G13" s="152" t="s">
        <v>37</v>
      </c>
      <c r="H13" s="153">
        <v>5823327</v>
      </c>
      <c r="I13" s="152">
        <v>4523331343</v>
      </c>
      <c r="J13" s="152">
        <v>64</v>
      </c>
      <c r="K13" s="1152">
        <v>1</v>
      </c>
      <c r="L13" s="1152">
        <v>5</v>
      </c>
      <c r="M13" s="1152">
        <v>1</v>
      </c>
      <c r="N13" s="1152" t="s">
        <v>149</v>
      </c>
      <c r="O13" s="1152" t="s">
        <v>29</v>
      </c>
      <c r="P13" s="1152" t="s">
        <v>30</v>
      </c>
      <c r="Q13" s="1152" t="s">
        <v>300</v>
      </c>
      <c r="R13" s="1152" t="s">
        <v>31</v>
      </c>
      <c r="S13" s="1152" t="s">
        <v>301</v>
      </c>
      <c r="T13" s="1152" t="s">
        <v>185</v>
      </c>
      <c r="U13" s="1152"/>
      <c r="V13" s="1152" t="s">
        <v>149</v>
      </c>
      <c r="W13" s="1153">
        <v>1</v>
      </c>
    </row>
    <row r="14" spans="1:23" customFormat="1" ht="16.5" customHeight="1">
      <c r="A14" s="134" t="s">
        <v>141</v>
      </c>
      <c r="B14" s="135">
        <v>2</v>
      </c>
      <c r="C14" s="136">
        <v>46031</v>
      </c>
      <c r="D14" s="137" t="s">
        <v>142</v>
      </c>
      <c r="E14" s="171" t="s">
        <v>232</v>
      </c>
      <c r="F14" s="171" t="s">
        <v>272</v>
      </c>
      <c r="G14" s="171" t="s">
        <v>37</v>
      </c>
      <c r="H14" s="139">
        <v>5823327</v>
      </c>
      <c r="I14" s="171">
        <v>4523322070</v>
      </c>
      <c r="J14" s="171">
        <v>32</v>
      </c>
      <c r="K14" s="1143"/>
      <c r="L14" s="1143"/>
      <c r="M14" s="1143"/>
      <c r="N14" s="1143"/>
      <c r="O14" s="1143"/>
      <c r="P14" s="1143"/>
      <c r="Q14" s="1143"/>
      <c r="R14" s="1143"/>
      <c r="S14" s="1143"/>
      <c r="T14" s="1143"/>
      <c r="U14" s="1143"/>
      <c r="V14" s="1143"/>
      <c r="W14" s="1145"/>
    </row>
    <row r="15" spans="1:23" customFormat="1" ht="16.5" customHeight="1" thickBot="1">
      <c r="A15" s="116" t="s">
        <v>141</v>
      </c>
      <c r="B15" s="141">
        <v>2</v>
      </c>
      <c r="C15" s="142">
        <v>46031</v>
      </c>
      <c r="D15" s="143" t="s">
        <v>142</v>
      </c>
      <c r="E15" s="172" t="s">
        <v>232</v>
      </c>
      <c r="F15" s="172" t="s">
        <v>272</v>
      </c>
      <c r="G15" s="172" t="s">
        <v>37</v>
      </c>
      <c r="H15" s="145">
        <v>5823327</v>
      </c>
      <c r="I15" s="172">
        <v>4523376696</v>
      </c>
      <c r="J15" s="172">
        <v>120</v>
      </c>
      <c r="K15" s="1156"/>
      <c r="L15" s="1156"/>
      <c r="M15" s="1156"/>
      <c r="N15" s="1156"/>
      <c r="O15" s="1156"/>
      <c r="P15" s="1156"/>
      <c r="Q15" s="1156"/>
      <c r="R15" s="1156"/>
      <c r="S15" s="1156"/>
      <c r="T15" s="1156"/>
      <c r="U15" s="1156"/>
      <c r="V15" s="1156"/>
      <c r="W15" s="1158"/>
    </row>
    <row r="16" spans="1:23" customFormat="1" ht="16.5" customHeight="1">
      <c r="A16" s="63" t="s">
        <v>141</v>
      </c>
      <c r="B16" s="149">
        <v>2</v>
      </c>
      <c r="C16" s="150">
        <v>46032</v>
      </c>
      <c r="D16" s="151" t="s">
        <v>142</v>
      </c>
      <c r="E16" s="176" t="s">
        <v>232</v>
      </c>
      <c r="F16" s="176" t="s">
        <v>272</v>
      </c>
      <c r="G16" s="176" t="s">
        <v>37</v>
      </c>
      <c r="H16" s="153">
        <v>5823327</v>
      </c>
      <c r="I16" s="176">
        <v>4523376696</v>
      </c>
      <c r="J16" s="176">
        <v>267</v>
      </c>
      <c r="K16" s="1152">
        <v>1</v>
      </c>
      <c r="L16" s="1152"/>
      <c r="M16" s="1152">
        <v>0</v>
      </c>
      <c r="N16" s="1152" t="s">
        <v>149</v>
      </c>
      <c r="O16" s="1152"/>
      <c r="P16" s="1152"/>
      <c r="Q16" s="1152"/>
      <c r="R16" s="1152"/>
      <c r="S16" s="1152"/>
      <c r="T16" s="1152"/>
      <c r="U16" s="1152"/>
      <c r="V16" s="1152"/>
      <c r="W16" s="1153"/>
    </row>
    <row r="17" spans="1:23" customFormat="1" ht="16.5" customHeight="1" thickBot="1">
      <c r="A17" s="116" t="s">
        <v>141</v>
      </c>
      <c r="B17" s="141">
        <v>2</v>
      </c>
      <c r="C17" s="142">
        <v>46032</v>
      </c>
      <c r="D17" s="143" t="s">
        <v>142</v>
      </c>
      <c r="E17" s="177" t="s">
        <v>232</v>
      </c>
      <c r="F17" s="177" t="s">
        <v>275</v>
      </c>
      <c r="G17" s="177" t="s">
        <v>37</v>
      </c>
      <c r="H17" s="145">
        <v>5823326</v>
      </c>
      <c r="I17" s="177">
        <v>4523453396</v>
      </c>
      <c r="J17" s="177">
        <v>2</v>
      </c>
      <c r="K17" s="1156"/>
      <c r="L17" s="1156"/>
      <c r="M17" s="1156"/>
      <c r="N17" s="1156"/>
      <c r="O17" s="1156"/>
      <c r="P17" s="1156"/>
      <c r="Q17" s="1156"/>
      <c r="R17" s="1156"/>
      <c r="S17" s="1156"/>
      <c r="T17" s="1156"/>
      <c r="U17" s="1156"/>
      <c r="V17" s="1156"/>
      <c r="W17" s="1158"/>
    </row>
    <row r="18" spans="1:23" customFormat="1" ht="16.5" customHeight="1" thickBot="1">
      <c r="A18" s="91" t="s">
        <v>141</v>
      </c>
      <c r="B18" s="92">
        <v>3</v>
      </c>
      <c r="C18" s="93">
        <v>46034</v>
      </c>
      <c r="D18" s="94" t="s">
        <v>142</v>
      </c>
      <c r="E18" s="174" t="s">
        <v>232</v>
      </c>
      <c r="F18" s="174" t="s">
        <v>268</v>
      </c>
      <c r="G18" s="174" t="s">
        <v>176</v>
      </c>
      <c r="H18" s="128">
        <v>5771802</v>
      </c>
      <c r="I18" s="174" t="s">
        <v>302</v>
      </c>
      <c r="J18" s="174">
        <v>250</v>
      </c>
      <c r="K18" s="174">
        <v>1</v>
      </c>
      <c r="L18" s="174">
        <v>5</v>
      </c>
      <c r="M18" s="174">
        <v>1</v>
      </c>
      <c r="N18" s="182" t="s">
        <v>149</v>
      </c>
      <c r="O18" s="174" t="s">
        <v>96</v>
      </c>
      <c r="P18" s="174" t="s">
        <v>40</v>
      </c>
      <c r="Q18" s="174" t="s">
        <v>304</v>
      </c>
      <c r="R18" s="174" t="s">
        <v>31</v>
      </c>
      <c r="S18" s="174" t="s">
        <v>184</v>
      </c>
      <c r="T18" s="174" t="s">
        <v>185</v>
      </c>
      <c r="U18" s="174"/>
      <c r="V18" s="174" t="s">
        <v>149</v>
      </c>
      <c r="W18" s="175">
        <v>1</v>
      </c>
    </row>
    <row r="19" spans="1:23" customFormat="1" ht="16.5" customHeight="1">
      <c r="A19" s="63" t="s">
        <v>141</v>
      </c>
      <c r="B19" s="149">
        <v>3</v>
      </c>
      <c r="C19" s="150">
        <v>46035</v>
      </c>
      <c r="D19" s="151" t="s">
        <v>142</v>
      </c>
      <c r="E19" s="180" t="s">
        <v>232</v>
      </c>
      <c r="F19" s="180" t="s">
        <v>268</v>
      </c>
      <c r="G19" s="180" t="s">
        <v>176</v>
      </c>
      <c r="H19" s="153">
        <v>5771802</v>
      </c>
      <c r="I19" s="180" t="s">
        <v>302</v>
      </c>
      <c r="J19" s="180">
        <v>150</v>
      </c>
      <c r="K19" s="1152">
        <v>1</v>
      </c>
      <c r="L19" s="1152">
        <v>5</v>
      </c>
      <c r="M19" s="1152">
        <v>1</v>
      </c>
      <c r="N19" s="1152" t="s">
        <v>149</v>
      </c>
      <c r="O19" s="1152" t="s">
        <v>65</v>
      </c>
      <c r="P19" s="1152" t="s">
        <v>57</v>
      </c>
      <c r="Q19" s="1152" t="s">
        <v>314</v>
      </c>
      <c r="R19" s="1152" t="s">
        <v>31</v>
      </c>
      <c r="S19" s="1152" t="s">
        <v>184</v>
      </c>
      <c r="T19" s="1152" t="s">
        <v>185</v>
      </c>
      <c r="U19" s="1152"/>
      <c r="V19" s="1152" t="s">
        <v>149</v>
      </c>
      <c r="W19" s="1153">
        <v>1</v>
      </c>
    </row>
    <row r="20" spans="1:23" customFormat="1" ht="16.5" customHeight="1" thickBot="1">
      <c r="A20" s="116" t="s">
        <v>141</v>
      </c>
      <c r="B20" s="141">
        <v>3</v>
      </c>
      <c r="C20" s="142">
        <v>46035</v>
      </c>
      <c r="D20" s="143" t="s">
        <v>142</v>
      </c>
      <c r="E20" s="181" t="s">
        <v>232</v>
      </c>
      <c r="F20" s="181" t="s">
        <v>269</v>
      </c>
      <c r="G20" s="181" t="s">
        <v>176</v>
      </c>
      <c r="H20" s="145">
        <v>5773217</v>
      </c>
      <c r="I20" s="181" t="s">
        <v>303</v>
      </c>
      <c r="J20" s="181">
        <v>150</v>
      </c>
      <c r="K20" s="1156"/>
      <c r="L20" s="1156"/>
      <c r="M20" s="1156"/>
      <c r="N20" s="1156"/>
      <c r="O20" s="1156"/>
      <c r="P20" s="1156"/>
      <c r="Q20" s="1156"/>
      <c r="R20" s="1156"/>
      <c r="S20" s="1156"/>
      <c r="T20" s="1156"/>
      <c r="U20" s="1156"/>
      <c r="V20" s="1156"/>
      <c r="W20" s="1158"/>
    </row>
    <row r="21" spans="1:23" customFormat="1" ht="16.5" customHeight="1" thickBot="1">
      <c r="A21" s="158" t="s">
        <v>141</v>
      </c>
      <c r="B21" s="159">
        <v>3</v>
      </c>
      <c r="C21" s="160">
        <v>46036</v>
      </c>
      <c r="D21" s="161" t="s">
        <v>142</v>
      </c>
      <c r="E21" s="183" t="s">
        <v>232</v>
      </c>
      <c r="F21" s="183" t="s">
        <v>269</v>
      </c>
      <c r="G21" s="183" t="s">
        <v>176</v>
      </c>
      <c r="H21" s="162">
        <v>5773217</v>
      </c>
      <c r="I21" s="183" t="s">
        <v>303</v>
      </c>
      <c r="J21" s="183">
        <v>250</v>
      </c>
      <c r="K21" s="183">
        <v>1</v>
      </c>
      <c r="L21" s="183">
        <v>5</v>
      </c>
      <c r="M21" s="183">
        <v>1</v>
      </c>
      <c r="N21" s="183" t="s">
        <v>149</v>
      </c>
      <c r="O21" s="183" t="s">
        <v>29</v>
      </c>
      <c r="P21" s="183" t="s">
        <v>30</v>
      </c>
      <c r="Q21" s="183" t="s">
        <v>300</v>
      </c>
      <c r="R21" s="183" t="s">
        <v>31</v>
      </c>
      <c r="S21" s="183" t="s">
        <v>301</v>
      </c>
      <c r="T21" s="183" t="s">
        <v>185</v>
      </c>
      <c r="U21" s="183"/>
      <c r="V21" s="191" t="s">
        <v>149</v>
      </c>
      <c r="W21" s="192">
        <v>1</v>
      </c>
    </row>
    <row r="22" spans="1:23" customFormat="1" ht="16.5" customHeight="1">
      <c r="A22" s="63" t="s">
        <v>141</v>
      </c>
      <c r="B22" s="64">
        <v>3</v>
      </c>
      <c r="C22" s="65">
        <v>46037</v>
      </c>
      <c r="D22" s="66" t="s">
        <v>142</v>
      </c>
      <c r="E22" s="187" t="s">
        <v>44</v>
      </c>
      <c r="F22" s="187" t="s">
        <v>59</v>
      </c>
      <c r="G22" s="187" t="s">
        <v>28</v>
      </c>
      <c r="H22" s="163">
        <v>2879759</v>
      </c>
      <c r="I22" s="187" t="s">
        <v>311</v>
      </c>
      <c r="J22" s="187">
        <v>7</v>
      </c>
      <c r="K22" s="1255">
        <v>1</v>
      </c>
      <c r="L22" s="1255">
        <v>5</v>
      </c>
      <c r="M22" s="1255">
        <v>1</v>
      </c>
      <c r="N22" s="1255" t="s">
        <v>149</v>
      </c>
      <c r="O22" s="1255" t="s">
        <v>48</v>
      </c>
      <c r="P22" s="1255" t="s">
        <v>30</v>
      </c>
      <c r="Q22" s="1255" t="s">
        <v>315</v>
      </c>
      <c r="R22" s="1255" t="s">
        <v>49</v>
      </c>
      <c r="S22" s="1255" t="s">
        <v>184</v>
      </c>
      <c r="T22" s="1255" t="s">
        <v>185</v>
      </c>
      <c r="U22" s="1255"/>
      <c r="V22" s="1255" t="s">
        <v>149</v>
      </c>
      <c r="W22" s="1256">
        <v>1</v>
      </c>
    </row>
    <row r="23" spans="1:23" customFormat="1" ht="16.5" customHeight="1">
      <c r="A23" s="134" t="s">
        <v>141</v>
      </c>
      <c r="B23" s="135">
        <v>3</v>
      </c>
      <c r="C23" s="136">
        <v>46037</v>
      </c>
      <c r="D23" s="137" t="s">
        <v>142</v>
      </c>
      <c r="E23" s="184" t="s">
        <v>44</v>
      </c>
      <c r="F23" s="184" t="s">
        <v>59</v>
      </c>
      <c r="G23" s="184" t="s">
        <v>32</v>
      </c>
      <c r="H23" s="139">
        <v>2879760</v>
      </c>
      <c r="I23" s="184" t="s">
        <v>312</v>
      </c>
      <c r="J23" s="184">
        <v>8</v>
      </c>
      <c r="K23" s="1165"/>
      <c r="L23" s="1165"/>
      <c r="M23" s="1165"/>
      <c r="N23" s="1165"/>
      <c r="O23" s="1165"/>
      <c r="P23" s="1165"/>
      <c r="Q23" s="1165"/>
      <c r="R23" s="1165"/>
      <c r="S23" s="1165"/>
      <c r="T23" s="1165"/>
      <c r="U23" s="1165"/>
      <c r="V23" s="1165"/>
      <c r="W23" s="1167"/>
    </row>
    <row r="24" spans="1:23" customFormat="1" ht="16.5" customHeight="1" thickBot="1">
      <c r="A24" s="116" t="s">
        <v>141</v>
      </c>
      <c r="B24" s="141">
        <v>3</v>
      </c>
      <c r="C24" s="142">
        <v>46037</v>
      </c>
      <c r="D24" s="143" t="s">
        <v>142</v>
      </c>
      <c r="E24" s="185" t="s">
        <v>232</v>
      </c>
      <c r="F24" s="185" t="s">
        <v>267</v>
      </c>
      <c r="G24" s="185" t="s">
        <v>37</v>
      </c>
      <c r="H24" s="145">
        <v>5771962</v>
      </c>
      <c r="I24" s="185" t="s">
        <v>313</v>
      </c>
      <c r="J24" s="185">
        <v>350</v>
      </c>
      <c r="K24" s="185">
        <v>1</v>
      </c>
      <c r="L24" s="185"/>
      <c r="M24" s="185">
        <v>0</v>
      </c>
      <c r="N24" s="185" t="s">
        <v>149</v>
      </c>
      <c r="O24" s="185"/>
      <c r="P24" s="185"/>
      <c r="Q24" s="185"/>
      <c r="R24" s="185"/>
      <c r="S24" s="185"/>
      <c r="T24" s="185"/>
      <c r="U24" s="185"/>
      <c r="V24" s="185"/>
      <c r="W24" s="186"/>
    </row>
    <row r="25" spans="1:23" customFormat="1" ht="16.5" customHeight="1">
      <c r="A25" s="63" t="s">
        <v>141</v>
      </c>
      <c r="B25" s="64">
        <v>3</v>
      </c>
      <c r="C25" s="65">
        <v>46038</v>
      </c>
      <c r="D25" s="66" t="s">
        <v>142</v>
      </c>
      <c r="E25" s="201" t="s">
        <v>232</v>
      </c>
      <c r="F25" s="201" t="s">
        <v>267</v>
      </c>
      <c r="G25" s="201" t="s">
        <v>37</v>
      </c>
      <c r="H25" s="163">
        <v>5771962</v>
      </c>
      <c r="I25" s="201" t="s">
        <v>313</v>
      </c>
      <c r="J25" s="201">
        <v>150</v>
      </c>
      <c r="K25" s="1255">
        <v>1</v>
      </c>
      <c r="L25" s="1255">
        <v>5</v>
      </c>
      <c r="M25" s="1255">
        <v>1</v>
      </c>
      <c r="N25" s="1255" t="s">
        <v>149</v>
      </c>
      <c r="O25" s="1255" t="s">
        <v>39</v>
      </c>
      <c r="P25" s="1255" t="s">
        <v>40</v>
      </c>
      <c r="Q25" s="1255" t="s">
        <v>316</v>
      </c>
      <c r="R25" s="1255" t="s">
        <v>31</v>
      </c>
      <c r="S25" s="1255" t="s">
        <v>184</v>
      </c>
      <c r="T25" s="1255" t="s">
        <v>185</v>
      </c>
      <c r="U25" s="1255"/>
      <c r="V25" s="1255" t="s">
        <v>149</v>
      </c>
      <c r="W25" s="1256">
        <v>1</v>
      </c>
    </row>
    <row r="26" spans="1:23" customFormat="1" ht="16.5" customHeight="1" thickBot="1">
      <c r="A26" s="134" t="s">
        <v>141</v>
      </c>
      <c r="B26" s="135">
        <v>3</v>
      </c>
      <c r="C26" s="136">
        <v>46038</v>
      </c>
      <c r="D26" s="137" t="s">
        <v>142</v>
      </c>
      <c r="E26" s="200" t="s">
        <v>232</v>
      </c>
      <c r="F26" s="200" t="s">
        <v>266</v>
      </c>
      <c r="G26" s="200" t="s">
        <v>37</v>
      </c>
      <c r="H26" s="139">
        <v>5766065</v>
      </c>
      <c r="I26" s="200" t="s">
        <v>317</v>
      </c>
      <c r="J26" s="200">
        <v>350</v>
      </c>
      <c r="K26" s="1165"/>
      <c r="L26" s="1165"/>
      <c r="M26" s="1165"/>
      <c r="N26" s="1165" t="s">
        <v>149</v>
      </c>
      <c r="O26" s="1165" t="s">
        <v>39</v>
      </c>
      <c r="P26" s="1165" t="s">
        <v>40</v>
      </c>
      <c r="Q26" s="1165" t="s">
        <v>316</v>
      </c>
      <c r="R26" s="1165" t="s">
        <v>31</v>
      </c>
      <c r="S26" s="1165" t="s">
        <v>184</v>
      </c>
      <c r="T26" s="1165" t="s">
        <v>185</v>
      </c>
      <c r="U26" s="1165"/>
      <c r="V26" s="1165" t="s">
        <v>149</v>
      </c>
      <c r="W26" s="1167">
        <v>1</v>
      </c>
    </row>
    <row r="27" spans="1:23" customFormat="1" ht="16.5" customHeight="1">
      <c r="A27" s="63" t="s">
        <v>141</v>
      </c>
      <c r="B27" s="149">
        <v>3</v>
      </c>
      <c r="C27" s="150">
        <v>46039</v>
      </c>
      <c r="D27" s="151" t="s">
        <v>142</v>
      </c>
      <c r="E27" s="193" t="s">
        <v>232</v>
      </c>
      <c r="F27" s="193" t="s">
        <v>266</v>
      </c>
      <c r="G27" s="193" t="s">
        <v>37</v>
      </c>
      <c r="H27" s="153">
        <v>5766065</v>
      </c>
      <c r="I27" s="193" t="s">
        <v>317</v>
      </c>
      <c r="J27" s="193">
        <v>150</v>
      </c>
      <c r="K27" s="1152">
        <v>1</v>
      </c>
      <c r="L27" s="1152">
        <v>5</v>
      </c>
      <c r="M27" s="1152">
        <v>1</v>
      </c>
      <c r="N27" s="1152" t="s">
        <v>149</v>
      </c>
      <c r="O27" s="1152" t="s">
        <v>46</v>
      </c>
      <c r="P27" s="1152" t="s">
        <v>104</v>
      </c>
      <c r="Q27" s="1152" t="s">
        <v>319</v>
      </c>
      <c r="R27" s="1152" t="s">
        <v>31</v>
      </c>
      <c r="S27" s="1152" t="s">
        <v>184</v>
      </c>
      <c r="T27" s="1152" t="s">
        <v>185</v>
      </c>
      <c r="U27" s="1152"/>
      <c r="V27" s="1152" t="s">
        <v>149</v>
      </c>
      <c r="W27" s="1153">
        <v>1</v>
      </c>
    </row>
    <row r="28" spans="1:23" customFormat="1" ht="16.5" customHeight="1" thickBot="1">
      <c r="A28" s="218" t="s">
        <v>141</v>
      </c>
      <c r="B28" s="209">
        <v>3</v>
      </c>
      <c r="C28" s="210">
        <v>46039</v>
      </c>
      <c r="D28" s="211" t="s">
        <v>142</v>
      </c>
      <c r="E28" s="212" t="s">
        <v>232</v>
      </c>
      <c r="F28" s="212" t="s">
        <v>266</v>
      </c>
      <c r="G28" s="212" t="s">
        <v>37</v>
      </c>
      <c r="H28" s="213">
        <v>5766065</v>
      </c>
      <c r="I28" s="212" t="s">
        <v>318</v>
      </c>
      <c r="J28" s="212">
        <v>350</v>
      </c>
      <c r="K28" s="1273"/>
      <c r="L28" s="1273"/>
      <c r="M28" s="1273"/>
      <c r="N28" s="1273"/>
      <c r="O28" s="1273"/>
      <c r="P28" s="1273"/>
      <c r="Q28" s="1273"/>
      <c r="R28" s="1273"/>
      <c r="S28" s="1273"/>
      <c r="T28" s="1273"/>
      <c r="U28" s="1273"/>
      <c r="V28" s="1273"/>
      <c r="W28" s="1274"/>
    </row>
    <row r="29" spans="1:23" customFormat="1" ht="16.5" customHeight="1">
      <c r="A29" s="63" t="s">
        <v>141</v>
      </c>
      <c r="B29" s="64">
        <v>4</v>
      </c>
      <c r="C29" s="65">
        <v>46041</v>
      </c>
      <c r="D29" s="66" t="s">
        <v>142</v>
      </c>
      <c r="E29" s="204" t="s">
        <v>232</v>
      </c>
      <c r="F29" s="204" t="s">
        <v>266</v>
      </c>
      <c r="G29" s="204" t="s">
        <v>37</v>
      </c>
      <c r="H29" s="163">
        <v>5766065</v>
      </c>
      <c r="I29" s="204" t="s">
        <v>318</v>
      </c>
      <c r="J29" s="1142">
        <v>400</v>
      </c>
      <c r="K29" s="1142">
        <v>1</v>
      </c>
      <c r="L29" s="204">
        <v>5</v>
      </c>
      <c r="M29" s="1142">
        <v>1</v>
      </c>
      <c r="N29" s="1142" t="s">
        <v>149</v>
      </c>
      <c r="O29" s="204" t="s">
        <v>39</v>
      </c>
      <c r="P29" s="204" t="s">
        <v>40</v>
      </c>
      <c r="Q29" s="204" t="s">
        <v>316</v>
      </c>
      <c r="R29" s="204" t="s">
        <v>31</v>
      </c>
      <c r="S29" s="204" t="s">
        <v>184</v>
      </c>
      <c r="T29" s="204" t="s">
        <v>185</v>
      </c>
      <c r="U29" s="1142"/>
      <c r="V29" s="1142" t="s">
        <v>149</v>
      </c>
      <c r="W29" s="1144">
        <v>1</v>
      </c>
    </row>
    <row r="30" spans="1:23" customFormat="1" ht="16.5" customHeight="1" thickBot="1">
      <c r="A30" s="116" t="s">
        <v>141</v>
      </c>
      <c r="B30" s="141">
        <v>4</v>
      </c>
      <c r="C30" s="142">
        <v>46041</v>
      </c>
      <c r="D30" s="143" t="s">
        <v>142</v>
      </c>
      <c r="E30" s="202" t="s">
        <v>232</v>
      </c>
      <c r="F30" s="202" t="s">
        <v>266</v>
      </c>
      <c r="G30" s="202" t="s">
        <v>37</v>
      </c>
      <c r="H30" s="145">
        <v>5766065</v>
      </c>
      <c r="I30" s="202" t="s">
        <v>318</v>
      </c>
      <c r="J30" s="1156"/>
      <c r="K30" s="1156"/>
      <c r="L30" s="202">
        <v>5</v>
      </c>
      <c r="M30" s="1156"/>
      <c r="N30" s="1156" t="s">
        <v>149</v>
      </c>
      <c r="O30" s="202" t="s">
        <v>29</v>
      </c>
      <c r="P30" s="202" t="s">
        <v>30</v>
      </c>
      <c r="Q30" s="202" t="s">
        <v>300</v>
      </c>
      <c r="R30" s="202" t="s">
        <v>31</v>
      </c>
      <c r="S30" s="202" t="s">
        <v>301</v>
      </c>
      <c r="T30" s="202" t="s">
        <v>185</v>
      </c>
      <c r="U30" s="1156"/>
      <c r="V30" s="1156"/>
      <c r="W30" s="1158"/>
    </row>
    <row r="31" spans="1:23" customFormat="1" ht="16.5" customHeight="1">
      <c r="A31" s="219" t="s">
        <v>141</v>
      </c>
      <c r="B31" s="214">
        <v>4</v>
      </c>
      <c r="C31" s="215">
        <v>46042</v>
      </c>
      <c r="D31" s="216" t="s">
        <v>142</v>
      </c>
      <c r="E31" s="203" t="s">
        <v>232</v>
      </c>
      <c r="F31" s="203" t="s">
        <v>266</v>
      </c>
      <c r="G31" s="203" t="s">
        <v>37</v>
      </c>
      <c r="H31" s="217">
        <v>5766065</v>
      </c>
      <c r="I31" s="203" t="s">
        <v>318</v>
      </c>
      <c r="J31" s="203">
        <v>250</v>
      </c>
      <c r="K31" s="1165">
        <v>1</v>
      </c>
      <c r="L31" s="1165"/>
      <c r="M31" s="1165">
        <v>0</v>
      </c>
      <c r="N31" s="1165" t="s">
        <v>149</v>
      </c>
      <c r="O31" s="1165"/>
      <c r="P31" s="1165"/>
      <c r="Q31" s="1165"/>
      <c r="R31" s="1165"/>
      <c r="S31" s="1165"/>
      <c r="T31" s="1165"/>
      <c r="U31" s="1165"/>
      <c r="V31" s="1165"/>
      <c r="W31" s="1167"/>
    </row>
    <row r="32" spans="1:23" customFormat="1" ht="16.5" customHeight="1" thickBot="1">
      <c r="A32" s="220" t="s">
        <v>141</v>
      </c>
      <c r="B32" s="221">
        <v>4</v>
      </c>
      <c r="C32" s="222">
        <v>46042</v>
      </c>
      <c r="D32" s="223" t="s">
        <v>142</v>
      </c>
      <c r="E32" s="224" t="s">
        <v>232</v>
      </c>
      <c r="F32" s="224" t="s">
        <v>266</v>
      </c>
      <c r="G32" s="224" t="s">
        <v>37</v>
      </c>
      <c r="H32" s="225">
        <v>5766065</v>
      </c>
      <c r="I32" s="224" t="s">
        <v>320</v>
      </c>
      <c r="J32" s="224">
        <v>200</v>
      </c>
      <c r="K32" s="1275"/>
      <c r="L32" s="1275"/>
      <c r="M32" s="1275"/>
      <c r="N32" s="1275"/>
      <c r="O32" s="1275"/>
      <c r="P32" s="1275"/>
      <c r="Q32" s="1275"/>
      <c r="R32" s="1275"/>
      <c r="S32" s="1275"/>
      <c r="T32" s="1275"/>
      <c r="U32" s="1275"/>
      <c r="V32" s="1275"/>
      <c r="W32" s="1276"/>
    </row>
    <row r="33" spans="1:23" customFormat="1" ht="16.5" customHeight="1">
      <c r="A33" s="63" t="s">
        <v>141</v>
      </c>
      <c r="B33" s="149">
        <v>4</v>
      </c>
      <c r="C33" s="150">
        <v>46043</v>
      </c>
      <c r="D33" s="151" t="s">
        <v>142</v>
      </c>
      <c r="E33" s="205" t="s">
        <v>232</v>
      </c>
      <c r="F33" s="205" t="s">
        <v>266</v>
      </c>
      <c r="G33" s="205" t="s">
        <v>37</v>
      </c>
      <c r="H33" s="153">
        <v>5766065</v>
      </c>
      <c r="I33" s="205" t="s">
        <v>320</v>
      </c>
      <c r="J33" s="205">
        <v>200</v>
      </c>
      <c r="K33" s="205">
        <v>1</v>
      </c>
      <c r="L33" s="205">
        <v>5</v>
      </c>
      <c r="M33" s="205">
        <v>1</v>
      </c>
      <c r="N33" s="205" t="s">
        <v>149</v>
      </c>
      <c r="O33" s="205" t="s">
        <v>29</v>
      </c>
      <c r="P33" s="205" t="s">
        <v>30</v>
      </c>
      <c r="Q33" s="205" t="s">
        <v>300</v>
      </c>
      <c r="R33" s="205" t="s">
        <v>31</v>
      </c>
      <c r="S33" s="205" t="s">
        <v>301</v>
      </c>
      <c r="T33" s="205" t="s">
        <v>185</v>
      </c>
      <c r="U33" s="205"/>
      <c r="V33" s="205" t="s">
        <v>149</v>
      </c>
      <c r="W33" s="207">
        <v>1</v>
      </c>
    </row>
    <row r="34" spans="1:23" customFormat="1" ht="16.5" customHeight="1" thickBot="1">
      <c r="A34" s="116" t="s">
        <v>141</v>
      </c>
      <c r="B34" s="141">
        <v>4</v>
      </c>
      <c r="C34" s="142">
        <v>46043</v>
      </c>
      <c r="D34" s="143" t="s">
        <v>142</v>
      </c>
      <c r="E34" s="206" t="s">
        <v>265</v>
      </c>
      <c r="F34" s="206" t="s">
        <v>271</v>
      </c>
      <c r="G34" s="206" t="s">
        <v>37</v>
      </c>
      <c r="H34" s="145">
        <v>5447762</v>
      </c>
      <c r="I34" s="206" t="s">
        <v>322</v>
      </c>
      <c r="J34" s="206">
        <v>250</v>
      </c>
      <c r="K34" s="206">
        <v>1</v>
      </c>
      <c r="L34" s="206">
        <v>5</v>
      </c>
      <c r="M34" s="206">
        <v>1</v>
      </c>
      <c r="N34" s="206" t="s">
        <v>149</v>
      </c>
      <c r="O34" s="206" t="s">
        <v>29</v>
      </c>
      <c r="P34" s="206" t="s">
        <v>30</v>
      </c>
      <c r="Q34" s="206" t="s">
        <v>323</v>
      </c>
      <c r="R34" s="206" t="s">
        <v>31</v>
      </c>
      <c r="S34" s="206" t="s">
        <v>184</v>
      </c>
      <c r="T34" s="206" t="s">
        <v>185</v>
      </c>
      <c r="U34" s="206"/>
      <c r="V34" s="206" t="s">
        <v>149</v>
      </c>
      <c r="W34" s="208">
        <v>1</v>
      </c>
    </row>
    <row r="35" spans="1:23" customFormat="1" ht="16.5" customHeight="1">
      <c r="A35" s="63" t="s">
        <v>141</v>
      </c>
      <c r="B35" s="149">
        <v>4</v>
      </c>
      <c r="C35" s="150">
        <v>46044</v>
      </c>
      <c r="D35" s="151" t="s">
        <v>142</v>
      </c>
      <c r="E35" s="232" t="s">
        <v>265</v>
      </c>
      <c r="F35" s="232" t="s">
        <v>271</v>
      </c>
      <c r="G35" s="232" t="s">
        <v>37</v>
      </c>
      <c r="H35" s="153">
        <v>5447762</v>
      </c>
      <c r="I35" s="232" t="s">
        <v>322</v>
      </c>
      <c r="J35" s="232">
        <v>50</v>
      </c>
      <c r="K35" s="1152">
        <v>1</v>
      </c>
      <c r="L35" s="1152">
        <v>5</v>
      </c>
      <c r="M35" s="1152">
        <v>1</v>
      </c>
      <c r="N35" s="1152" t="s">
        <v>149</v>
      </c>
      <c r="O35" s="1152" t="s">
        <v>103</v>
      </c>
      <c r="P35" s="1152" t="s">
        <v>30</v>
      </c>
      <c r="Q35" s="1152" t="s">
        <v>329</v>
      </c>
      <c r="R35" s="1152" t="s">
        <v>31</v>
      </c>
      <c r="S35" s="1152" t="s">
        <v>184</v>
      </c>
      <c r="T35" s="1152" t="s">
        <v>185</v>
      </c>
      <c r="U35" s="1152"/>
      <c r="V35" s="1152" t="s">
        <v>149</v>
      </c>
      <c r="W35" s="1153">
        <v>1</v>
      </c>
    </row>
    <row r="36" spans="1:23" customFormat="1" ht="16.5" customHeight="1" thickBot="1">
      <c r="A36" s="116" t="s">
        <v>141</v>
      </c>
      <c r="B36" s="141">
        <v>4</v>
      </c>
      <c r="C36" s="142">
        <v>46044</v>
      </c>
      <c r="D36" s="143" t="s">
        <v>142</v>
      </c>
      <c r="E36" s="231" t="s">
        <v>265</v>
      </c>
      <c r="F36" s="231" t="s">
        <v>270</v>
      </c>
      <c r="G36" s="231" t="s">
        <v>37</v>
      </c>
      <c r="H36" s="145">
        <v>5447763</v>
      </c>
      <c r="I36" s="231" t="s">
        <v>324</v>
      </c>
      <c r="J36" s="231">
        <v>420</v>
      </c>
      <c r="K36" s="1156"/>
      <c r="L36" s="1156"/>
      <c r="M36" s="1156"/>
      <c r="N36" s="1156"/>
      <c r="O36" s="1156"/>
      <c r="P36" s="1156"/>
      <c r="Q36" s="1156"/>
      <c r="R36" s="1156"/>
      <c r="S36" s="1156"/>
      <c r="T36" s="1156"/>
      <c r="U36" s="1156"/>
      <c r="V36" s="1156"/>
      <c r="W36" s="1158"/>
    </row>
    <row r="37" spans="1:23" customFormat="1" ht="16.5" customHeight="1">
      <c r="A37" s="63" t="s">
        <v>141</v>
      </c>
      <c r="B37" s="149">
        <v>4</v>
      </c>
      <c r="C37" s="150">
        <v>46045</v>
      </c>
      <c r="D37" s="151" t="s">
        <v>142</v>
      </c>
      <c r="E37" s="232" t="s">
        <v>265</v>
      </c>
      <c r="F37" s="232" t="s">
        <v>270</v>
      </c>
      <c r="G37" s="232" t="s">
        <v>37</v>
      </c>
      <c r="H37" s="153">
        <v>5447763</v>
      </c>
      <c r="I37" s="232" t="s">
        <v>324</v>
      </c>
      <c r="J37" s="232">
        <v>180</v>
      </c>
      <c r="K37" s="232">
        <v>1</v>
      </c>
      <c r="L37" s="232"/>
      <c r="M37" s="232">
        <v>0</v>
      </c>
      <c r="N37" s="232" t="s">
        <v>149</v>
      </c>
      <c r="O37" s="232"/>
      <c r="P37" s="232"/>
      <c r="Q37" s="232"/>
      <c r="R37" s="232"/>
      <c r="S37" s="232"/>
      <c r="T37" s="232"/>
      <c r="U37" s="232"/>
      <c r="V37" s="232"/>
      <c r="W37" s="233"/>
    </row>
    <row r="38" spans="1:23" customFormat="1" ht="16.5" customHeight="1" thickBot="1">
      <c r="A38" s="251" t="s">
        <v>141</v>
      </c>
      <c r="B38" s="252">
        <v>4</v>
      </c>
      <c r="C38" s="253">
        <v>46045</v>
      </c>
      <c r="D38" s="254" t="s">
        <v>142</v>
      </c>
      <c r="E38" s="255" t="s">
        <v>232</v>
      </c>
      <c r="F38" s="255" t="s">
        <v>268</v>
      </c>
      <c r="G38" s="255" t="s">
        <v>176</v>
      </c>
      <c r="H38" s="256">
        <v>5771802</v>
      </c>
      <c r="I38" s="255" t="s">
        <v>330</v>
      </c>
      <c r="J38" s="255">
        <v>250</v>
      </c>
      <c r="K38" s="255">
        <v>1</v>
      </c>
      <c r="L38" s="255">
        <v>5</v>
      </c>
      <c r="M38" s="255">
        <v>1</v>
      </c>
      <c r="N38" s="255" t="s">
        <v>149</v>
      </c>
      <c r="O38" s="255" t="s">
        <v>96</v>
      </c>
      <c r="P38" s="255" t="s">
        <v>40</v>
      </c>
      <c r="Q38" s="255" t="s">
        <v>333</v>
      </c>
      <c r="R38" s="255" t="s">
        <v>31</v>
      </c>
      <c r="S38" s="255" t="s">
        <v>184</v>
      </c>
      <c r="T38" s="255" t="s">
        <v>185</v>
      </c>
      <c r="U38" s="255"/>
      <c r="V38" s="255" t="s">
        <v>149</v>
      </c>
      <c r="W38" s="257">
        <v>1</v>
      </c>
    </row>
    <row r="39" spans="1:23" customFormat="1" ht="16.5" customHeight="1">
      <c r="A39" s="63" t="s">
        <v>141</v>
      </c>
      <c r="B39" s="149">
        <v>4</v>
      </c>
      <c r="C39" s="150">
        <v>46046</v>
      </c>
      <c r="D39" s="151" t="s">
        <v>142</v>
      </c>
      <c r="E39" s="242" t="s">
        <v>232</v>
      </c>
      <c r="F39" s="242" t="s">
        <v>268</v>
      </c>
      <c r="G39" s="242" t="s">
        <v>176</v>
      </c>
      <c r="H39" s="153">
        <v>5771802</v>
      </c>
      <c r="I39" s="242" t="s">
        <v>330</v>
      </c>
      <c r="J39" s="242">
        <v>50</v>
      </c>
      <c r="K39" s="1152">
        <v>1</v>
      </c>
      <c r="L39" s="1152">
        <v>5</v>
      </c>
      <c r="M39" s="1152">
        <v>1</v>
      </c>
      <c r="N39" s="1152" t="s">
        <v>149</v>
      </c>
      <c r="O39" s="1152" t="s">
        <v>67</v>
      </c>
      <c r="P39" s="1152" t="s">
        <v>57</v>
      </c>
      <c r="Q39" s="1152" t="s">
        <v>334</v>
      </c>
      <c r="R39" s="1152" t="s">
        <v>58</v>
      </c>
      <c r="S39" s="1152" t="s">
        <v>184</v>
      </c>
      <c r="T39" s="1152" t="s">
        <v>185</v>
      </c>
      <c r="U39" s="1152"/>
      <c r="V39" s="1152" t="s">
        <v>149</v>
      </c>
      <c r="W39" s="1153">
        <v>1</v>
      </c>
    </row>
    <row r="40" spans="1:23" customFormat="1" ht="16.5" customHeight="1">
      <c r="A40" s="134" t="s">
        <v>141</v>
      </c>
      <c r="B40" s="135">
        <v>4</v>
      </c>
      <c r="C40" s="136">
        <v>46046</v>
      </c>
      <c r="D40" s="137" t="s">
        <v>142</v>
      </c>
      <c r="E40" s="243" t="s">
        <v>232</v>
      </c>
      <c r="F40" s="243" t="s">
        <v>269</v>
      </c>
      <c r="G40" s="243" t="s">
        <v>176</v>
      </c>
      <c r="H40" s="139">
        <v>5773217</v>
      </c>
      <c r="I40" s="243" t="s">
        <v>332</v>
      </c>
      <c r="J40" s="243">
        <v>300</v>
      </c>
      <c r="K40" s="1143"/>
      <c r="L40" s="1143"/>
      <c r="M40" s="1143"/>
      <c r="N40" s="1143"/>
      <c r="O40" s="1143"/>
      <c r="P40" s="1143"/>
      <c r="Q40" s="1143"/>
      <c r="R40" s="1143"/>
      <c r="S40" s="1143"/>
      <c r="T40" s="1143"/>
      <c r="U40" s="1143"/>
      <c r="V40" s="1143"/>
      <c r="W40" s="1145"/>
    </row>
    <row r="41" spans="1:23" customFormat="1" ht="16.5" customHeight="1" thickBot="1">
      <c r="A41" s="116" t="s">
        <v>141</v>
      </c>
      <c r="B41" s="141">
        <v>4</v>
      </c>
      <c r="C41" s="142">
        <v>46046</v>
      </c>
      <c r="D41" s="143" t="s">
        <v>142</v>
      </c>
      <c r="E41" s="240" t="s">
        <v>265</v>
      </c>
      <c r="F41" s="240" t="s">
        <v>270</v>
      </c>
      <c r="G41" s="240" t="s">
        <v>37</v>
      </c>
      <c r="H41" s="145">
        <v>5447763</v>
      </c>
      <c r="I41" s="240" t="s">
        <v>335</v>
      </c>
      <c r="J41" s="240">
        <v>100</v>
      </c>
      <c r="K41" s="240">
        <v>1</v>
      </c>
      <c r="L41" s="240">
        <v>5</v>
      </c>
      <c r="M41" s="240">
        <v>1</v>
      </c>
      <c r="N41" s="240" t="s">
        <v>149</v>
      </c>
      <c r="O41" s="240" t="s">
        <v>29</v>
      </c>
      <c r="P41" s="240" t="s">
        <v>30</v>
      </c>
      <c r="Q41" s="240" t="s">
        <v>340</v>
      </c>
      <c r="R41" s="240" t="s">
        <v>31</v>
      </c>
      <c r="S41" s="240" t="s">
        <v>184</v>
      </c>
      <c r="T41" s="240" t="s">
        <v>185</v>
      </c>
      <c r="U41" s="240"/>
      <c r="V41" s="240" t="s">
        <v>149</v>
      </c>
      <c r="W41" s="241">
        <v>1</v>
      </c>
    </row>
    <row r="42" spans="1:23" customFormat="1" ht="16.5" customHeight="1">
      <c r="A42" s="63" t="s">
        <v>141</v>
      </c>
      <c r="B42" s="64">
        <v>5</v>
      </c>
      <c r="C42" s="65">
        <v>46048</v>
      </c>
      <c r="D42" s="66" t="s">
        <v>142</v>
      </c>
      <c r="E42" s="250" t="s">
        <v>265</v>
      </c>
      <c r="F42" s="250" t="s">
        <v>271</v>
      </c>
      <c r="G42" s="250" t="s">
        <v>37</v>
      </c>
      <c r="H42" s="163">
        <v>5447762</v>
      </c>
      <c r="I42" s="250" t="s">
        <v>336</v>
      </c>
      <c r="J42" s="1142">
        <v>550</v>
      </c>
      <c r="K42" s="1142">
        <v>1</v>
      </c>
      <c r="L42" s="250">
        <v>5</v>
      </c>
      <c r="M42" s="1142">
        <v>1</v>
      </c>
      <c r="N42" s="1142" t="s">
        <v>149</v>
      </c>
      <c r="O42" s="250" t="s">
        <v>299</v>
      </c>
      <c r="P42" s="250" t="s">
        <v>62</v>
      </c>
      <c r="Q42" s="250" t="s">
        <v>341</v>
      </c>
      <c r="R42" s="250" t="s">
        <v>31</v>
      </c>
      <c r="S42" s="250" t="s">
        <v>301</v>
      </c>
      <c r="T42" s="250" t="s">
        <v>185</v>
      </c>
      <c r="U42" s="1142"/>
      <c r="V42" s="1142" t="s">
        <v>149</v>
      </c>
      <c r="W42" s="1144">
        <v>1</v>
      </c>
    </row>
    <row r="43" spans="1:23" customFormat="1" ht="16.5" customHeight="1" thickBot="1">
      <c r="A43" s="116" t="s">
        <v>141</v>
      </c>
      <c r="B43" s="141">
        <v>5</v>
      </c>
      <c r="C43" s="142">
        <v>46048</v>
      </c>
      <c r="D43" s="143" t="s">
        <v>142</v>
      </c>
      <c r="E43" s="247" t="s">
        <v>265</v>
      </c>
      <c r="F43" s="247" t="s">
        <v>271</v>
      </c>
      <c r="G43" s="247" t="s">
        <v>37</v>
      </c>
      <c r="H43" s="145">
        <v>5447762</v>
      </c>
      <c r="I43" s="247" t="s">
        <v>336</v>
      </c>
      <c r="J43" s="1156"/>
      <c r="K43" s="1156"/>
      <c r="L43" s="247">
        <v>5</v>
      </c>
      <c r="M43" s="1156"/>
      <c r="N43" s="1156"/>
      <c r="O43" s="247" t="s">
        <v>39</v>
      </c>
      <c r="P43" s="247" t="s">
        <v>40</v>
      </c>
      <c r="Q43" s="247" t="s">
        <v>316</v>
      </c>
      <c r="R43" s="247" t="s">
        <v>31</v>
      </c>
      <c r="S43" s="247" t="s">
        <v>184</v>
      </c>
      <c r="T43" s="247" t="s">
        <v>185</v>
      </c>
      <c r="U43" s="1156"/>
      <c r="V43" s="1156"/>
      <c r="W43" s="1158"/>
    </row>
    <row r="44" spans="1:23" customFormat="1" ht="16.5" customHeight="1">
      <c r="A44" s="134" t="s">
        <v>141</v>
      </c>
      <c r="B44" s="135">
        <v>5</v>
      </c>
      <c r="C44" s="136">
        <v>46049</v>
      </c>
      <c r="D44" s="137" t="s">
        <v>145</v>
      </c>
      <c r="E44" s="243" t="s">
        <v>50</v>
      </c>
      <c r="F44" s="243" t="s">
        <v>234</v>
      </c>
      <c r="G44" s="243" t="s">
        <v>52</v>
      </c>
      <c r="H44" s="139">
        <v>5463841</v>
      </c>
      <c r="I44" s="243">
        <v>4521569428</v>
      </c>
      <c r="J44" s="243">
        <v>2</v>
      </c>
      <c r="K44" s="1253">
        <v>1</v>
      </c>
      <c r="L44" s="1253">
        <v>5</v>
      </c>
      <c r="M44" s="1253">
        <v>1</v>
      </c>
      <c r="N44" s="1253" t="s">
        <v>149</v>
      </c>
      <c r="O44" s="1253" t="s">
        <v>61</v>
      </c>
      <c r="P44" s="1253" t="s">
        <v>62</v>
      </c>
      <c r="Q44" s="1253" t="s">
        <v>343</v>
      </c>
      <c r="R44" s="1253" t="s">
        <v>31</v>
      </c>
      <c r="S44" s="1253" t="s">
        <v>184</v>
      </c>
      <c r="T44" s="1253" t="s">
        <v>185</v>
      </c>
      <c r="U44" s="1253"/>
      <c r="V44" s="1253" t="s">
        <v>149</v>
      </c>
      <c r="W44" s="1254">
        <v>1</v>
      </c>
    </row>
    <row r="45" spans="1:23" customFormat="1" ht="16.5" customHeight="1">
      <c r="A45" s="134" t="s">
        <v>141</v>
      </c>
      <c r="B45" s="135">
        <v>5</v>
      </c>
      <c r="C45" s="136">
        <v>46049</v>
      </c>
      <c r="D45" s="137" t="s">
        <v>145</v>
      </c>
      <c r="E45" s="243" t="s">
        <v>50</v>
      </c>
      <c r="F45" s="243" t="s">
        <v>234</v>
      </c>
      <c r="G45" s="243" t="s">
        <v>36</v>
      </c>
      <c r="H45" s="139">
        <v>5463840</v>
      </c>
      <c r="I45" s="243">
        <v>1110163175</v>
      </c>
      <c r="J45" s="243">
        <v>15</v>
      </c>
      <c r="K45" s="1150"/>
      <c r="L45" s="1150"/>
      <c r="M45" s="1150"/>
      <c r="N45" s="1150"/>
      <c r="O45" s="1150"/>
      <c r="P45" s="1150"/>
      <c r="Q45" s="1150"/>
      <c r="R45" s="1150"/>
      <c r="S45" s="1150"/>
      <c r="T45" s="1150"/>
      <c r="U45" s="1150"/>
      <c r="V45" s="1150"/>
      <c r="W45" s="1151"/>
    </row>
    <row r="46" spans="1:23" customFormat="1" ht="16.5" customHeight="1">
      <c r="A46" s="134" t="s">
        <v>141</v>
      </c>
      <c r="B46" s="135">
        <v>5</v>
      </c>
      <c r="C46" s="136">
        <v>46049</v>
      </c>
      <c r="D46" s="137" t="s">
        <v>145</v>
      </c>
      <c r="E46" s="243" t="s">
        <v>50</v>
      </c>
      <c r="F46" s="243" t="s">
        <v>234</v>
      </c>
      <c r="G46" s="243" t="s">
        <v>36</v>
      </c>
      <c r="H46" s="139">
        <v>5463840</v>
      </c>
      <c r="I46" s="243">
        <v>1110163176</v>
      </c>
      <c r="J46" s="243">
        <v>1</v>
      </c>
      <c r="K46" s="1150"/>
      <c r="L46" s="1150"/>
      <c r="M46" s="1150"/>
      <c r="N46" s="1150"/>
      <c r="O46" s="1150"/>
      <c r="P46" s="1150"/>
      <c r="Q46" s="1150"/>
      <c r="R46" s="1150"/>
      <c r="S46" s="1150"/>
      <c r="T46" s="1150"/>
      <c r="U46" s="1150"/>
      <c r="V46" s="1150"/>
      <c r="W46" s="1151"/>
    </row>
    <row r="47" spans="1:23" customFormat="1" ht="16.5" customHeight="1">
      <c r="A47" s="134" t="s">
        <v>141</v>
      </c>
      <c r="B47" s="135">
        <v>5</v>
      </c>
      <c r="C47" s="136">
        <v>46049</v>
      </c>
      <c r="D47" s="137" t="s">
        <v>145</v>
      </c>
      <c r="E47" s="243" t="s">
        <v>50</v>
      </c>
      <c r="F47" s="243" t="s">
        <v>234</v>
      </c>
      <c r="G47" s="243" t="s">
        <v>36</v>
      </c>
      <c r="H47" s="139">
        <v>5463840</v>
      </c>
      <c r="I47" s="243">
        <v>4521569428</v>
      </c>
      <c r="J47" s="243">
        <v>4</v>
      </c>
      <c r="K47" s="1150"/>
      <c r="L47" s="1150"/>
      <c r="M47" s="1150"/>
      <c r="N47" s="1150"/>
      <c r="O47" s="1150"/>
      <c r="P47" s="1150"/>
      <c r="Q47" s="1150"/>
      <c r="R47" s="1150"/>
      <c r="S47" s="1150"/>
      <c r="T47" s="1150"/>
      <c r="U47" s="1150"/>
      <c r="V47" s="1150"/>
      <c r="W47" s="1151"/>
    </row>
    <row r="48" spans="1:23" customFormat="1" ht="16.5" customHeight="1">
      <c r="A48" s="134" t="s">
        <v>141</v>
      </c>
      <c r="B48" s="135">
        <v>5</v>
      </c>
      <c r="C48" s="136">
        <v>46049</v>
      </c>
      <c r="D48" s="137" t="s">
        <v>145</v>
      </c>
      <c r="E48" s="243" t="s">
        <v>50</v>
      </c>
      <c r="F48" s="243" t="s">
        <v>234</v>
      </c>
      <c r="G48" s="243" t="s">
        <v>28</v>
      </c>
      <c r="H48" s="139">
        <v>5463839</v>
      </c>
      <c r="I48" s="243">
        <v>4521569428</v>
      </c>
      <c r="J48" s="243">
        <v>5</v>
      </c>
      <c r="K48" s="1150"/>
      <c r="L48" s="1150"/>
      <c r="M48" s="1150"/>
      <c r="N48" s="1150"/>
      <c r="O48" s="1150"/>
      <c r="P48" s="1150"/>
      <c r="Q48" s="1150"/>
      <c r="R48" s="1150"/>
      <c r="S48" s="1150"/>
      <c r="T48" s="1150"/>
      <c r="U48" s="1150"/>
      <c r="V48" s="1150"/>
      <c r="W48" s="1151"/>
    </row>
    <row r="49" spans="1:23" customFormat="1" ht="16.5" customHeight="1">
      <c r="A49" s="134" t="s">
        <v>141</v>
      </c>
      <c r="B49" s="135">
        <v>5</v>
      </c>
      <c r="C49" s="136">
        <v>46049</v>
      </c>
      <c r="D49" s="137" t="s">
        <v>145</v>
      </c>
      <c r="E49" s="243" t="s">
        <v>50</v>
      </c>
      <c r="F49" s="243" t="s">
        <v>234</v>
      </c>
      <c r="G49" s="243" t="s">
        <v>28</v>
      </c>
      <c r="H49" s="139">
        <v>5463839</v>
      </c>
      <c r="I49" s="243">
        <v>4521571604</v>
      </c>
      <c r="J49" s="243">
        <v>3</v>
      </c>
      <c r="K49" s="1150"/>
      <c r="L49" s="1150"/>
      <c r="M49" s="1150"/>
      <c r="N49" s="1150"/>
      <c r="O49" s="1150"/>
      <c r="P49" s="1150"/>
      <c r="Q49" s="1150"/>
      <c r="R49" s="1150"/>
      <c r="S49" s="1150"/>
      <c r="T49" s="1150"/>
      <c r="U49" s="1150"/>
      <c r="V49" s="1150"/>
      <c r="W49" s="1151"/>
    </row>
    <row r="50" spans="1:23" customFormat="1" ht="16.5" customHeight="1">
      <c r="A50" s="134" t="s">
        <v>141</v>
      </c>
      <c r="B50" s="135">
        <v>5</v>
      </c>
      <c r="C50" s="136">
        <v>46049</v>
      </c>
      <c r="D50" s="137" t="s">
        <v>145</v>
      </c>
      <c r="E50" s="243" t="s">
        <v>50</v>
      </c>
      <c r="F50" s="243" t="s">
        <v>234</v>
      </c>
      <c r="G50" s="243" t="s">
        <v>63</v>
      </c>
      <c r="H50" s="139">
        <v>5463837</v>
      </c>
      <c r="I50" s="243">
        <v>4521569428</v>
      </c>
      <c r="J50" s="243">
        <v>13</v>
      </c>
      <c r="K50" s="1150"/>
      <c r="L50" s="1150"/>
      <c r="M50" s="1150"/>
      <c r="N50" s="1150"/>
      <c r="O50" s="1150"/>
      <c r="P50" s="1150"/>
      <c r="Q50" s="1150"/>
      <c r="R50" s="1150"/>
      <c r="S50" s="1150"/>
      <c r="T50" s="1150"/>
      <c r="U50" s="1150"/>
      <c r="V50" s="1150"/>
      <c r="W50" s="1151"/>
    </row>
    <row r="51" spans="1:23" customFormat="1" ht="16.5" customHeight="1">
      <c r="A51" s="134" t="s">
        <v>141</v>
      </c>
      <c r="B51" s="135">
        <v>5</v>
      </c>
      <c r="C51" s="136">
        <v>46049</v>
      </c>
      <c r="D51" s="137" t="s">
        <v>145</v>
      </c>
      <c r="E51" s="243" t="s">
        <v>50</v>
      </c>
      <c r="F51" s="243" t="s">
        <v>234</v>
      </c>
      <c r="G51" s="243" t="s">
        <v>63</v>
      </c>
      <c r="H51" s="139">
        <v>5463837</v>
      </c>
      <c r="I51" s="243">
        <v>4521571604</v>
      </c>
      <c r="J51" s="243">
        <v>8</v>
      </c>
      <c r="K51" s="1150"/>
      <c r="L51" s="1150"/>
      <c r="M51" s="1150"/>
      <c r="N51" s="1150"/>
      <c r="O51" s="1150"/>
      <c r="P51" s="1150"/>
      <c r="Q51" s="1150"/>
      <c r="R51" s="1150"/>
      <c r="S51" s="1150"/>
      <c r="T51" s="1150"/>
      <c r="U51" s="1150"/>
      <c r="V51" s="1150"/>
      <c r="W51" s="1151"/>
    </row>
    <row r="52" spans="1:23" customFormat="1" ht="16.5" customHeight="1">
      <c r="A52" s="134" t="s">
        <v>141</v>
      </c>
      <c r="B52" s="135">
        <v>5</v>
      </c>
      <c r="C52" s="136">
        <v>46049</v>
      </c>
      <c r="D52" s="137" t="s">
        <v>145</v>
      </c>
      <c r="E52" s="243" t="s">
        <v>50</v>
      </c>
      <c r="F52" s="243" t="s">
        <v>233</v>
      </c>
      <c r="G52" s="243" t="s">
        <v>32</v>
      </c>
      <c r="H52" s="139">
        <v>5463833</v>
      </c>
      <c r="I52" s="243">
        <v>1110171388</v>
      </c>
      <c r="J52" s="243">
        <v>54</v>
      </c>
      <c r="K52" s="1165"/>
      <c r="L52" s="1165"/>
      <c r="M52" s="1165"/>
      <c r="N52" s="1165"/>
      <c r="O52" s="1165"/>
      <c r="P52" s="1165"/>
      <c r="Q52" s="1165"/>
      <c r="R52" s="1165"/>
      <c r="S52" s="1165"/>
      <c r="T52" s="1165"/>
      <c r="U52" s="1165"/>
      <c r="V52" s="1165"/>
      <c r="W52" s="1167"/>
    </row>
    <row r="53" spans="1:23" customFormat="1" ht="16.5" customHeight="1">
      <c r="A53" s="134" t="s">
        <v>141</v>
      </c>
      <c r="B53" s="135">
        <v>5</v>
      </c>
      <c r="C53" s="136">
        <v>46049</v>
      </c>
      <c r="D53" s="137" t="s">
        <v>142</v>
      </c>
      <c r="E53" s="243" t="s">
        <v>387</v>
      </c>
      <c r="F53" s="243" t="s">
        <v>282</v>
      </c>
      <c r="G53" s="243" t="s">
        <v>52</v>
      </c>
      <c r="H53" s="139">
        <v>5535143</v>
      </c>
      <c r="I53" s="243" t="s">
        <v>337</v>
      </c>
      <c r="J53" s="243">
        <v>8</v>
      </c>
      <c r="K53" s="1253">
        <v>1</v>
      </c>
      <c r="L53" s="1253">
        <v>5</v>
      </c>
      <c r="M53" s="1253">
        <v>1</v>
      </c>
      <c r="N53" s="1253" t="s">
        <v>149</v>
      </c>
      <c r="O53" s="1253" t="s">
        <v>29</v>
      </c>
      <c r="P53" s="1253" t="s">
        <v>30</v>
      </c>
      <c r="Q53" s="1253" t="s">
        <v>300</v>
      </c>
      <c r="R53" s="1253" t="s">
        <v>31</v>
      </c>
      <c r="S53" s="1253" t="s">
        <v>301</v>
      </c>
      <c r="T53" s="1253" t="s">
        <v>185</v>
      </c>
      <c r="U53" s="1253"/>
      <c r="V53" s="1253" t="s">
        <v>149</v>
      </c>
      <c r="W53" s="1254">
        <v>1</v>
      </c>
    </row>
    <row r="54" spans="1:23" customFormat="1" ht="16.5" customHeight="1">
      <c r="A54" s="134" t="s">
        <v>141</v>
      </c>
      <c r="B54" s="135">
        <v>5</v>
      </c>
      <c r="C54" s="136">
        <v>46049</v>
      </c>
      <c r="D54" s="137" t="s">
        <v>142</v>
      </c>
      <c r="E54" s="243" t="s">
        <v>387</v>
      </c>
      <c r="F54" s="243" t="s">
        <v>282</v>
      </c>
      <c r="G54" s="243" t="s">
        <v>36</v>
      </c>
      <c r="H54" s="139">
        <v>5535142</v>
      </c>
      <c r="I54" s="243" t="s">
        <v>338</v>
      </c>
      <c r="J54" s="243">
        <v>24</v>
      </c>
      <c r="K54" s="1150"/>
      <c r="L54" s="1150"/>
      <c r="M54" s="1150"/>
      <c r="N54" s="1150"/>
      <c r="O54" s="1150"/>
      <c r="P54" s="1150"/>
      <c r="Q54" s="1150"/>
      <c r="R54" s="1150"/>
      <c r="S54" s="1150"/>
      <c r="T54" s="1150"/>
      <c r="U54" s="1150"/>
      <c r="V54" s="1150"/>
      <c r="W54" s="1151"/>
    </row>
    <row r="55" spans="1:23" customFormat="1" ht="16.5" customHeight="1">
      <c r="A55" s="134" t="s">
        <v>141</v>
      </c>
      <c r="B55" s="135">
        <v>5</v>
      </c>
      <c r="C55" s="136">
        <v>46049</v>
      </c>
      <c r="D55" s="137" t="s">
        <v>142</v>
      </c>
      <c r="E55" s="249" t="s">
        <v>387</v>
      </c>
      <c r="F55" s="249" t="s">
        <v>282</v>
      </c>
      <c r="G55" s="249" t="s">
        <v>36</v>
      </c>
      <c r="H55" s="139">
        <v>5535142</v>
      </c>
      <c r="I55" s="249" t="s">
        <v>339</v>
      </c>
      <c r="J55" s="249">
        <v>8</v>
      </c>
      <c r="K55" s="1150"/>
      <c r="L55" s="1150"/>
      <c r="M55" s="1150"/>
      <c r="N55" s="1150"/>
      <c r="O55" s="1150"/>
      <c r="P55" s="1150"/>
      <c r="Q55" s="1150"/>
      <c r="R55" s="1150"/>
      <c r="S55" s="1150"/>
      <c r="T55" s="1150"/>
      <c r="U55" s="1150"/>
      <c r="V55" s="1150"/>
      <c r="W55" s="1151"/>
    </row>
    <row r="56" spans="1:23" customFormat="1" ht="16.5" customHeight="1" thickBot="1">
      <c r="A56" s="91" t="s">
        <v>141</v>
      </c>
      <c r="B56" s="92">
        <v>5</v>
      </c>
      <c r="C56" s="93">
        <v>46049</v>
      </c>
      <c r="D56" s="94" t="s">
        <v>142</v>
      </c>
      <c r="E56" s="248" t="s">
        <v>387</v>
      </c>
      <c r="F56" s="248" t="s">
        <v>282</v>
      </c>
      <c r="G56" s="248" t="s">
        <v>28</v>
      </c>
      <c r="H56" s="128">
        <v>5535141</v>
      </c>
      <c r="I56" s="248" t="s">
        <v>342</v>
      </c>
      <c r="J56" s="248">
        <v>56</v>
      </c>
      <c r="K56" s="1147"/>
      <c r="L56" s="1147"/>
      <c r="M56" s="1147"/>
      <c r="N56" s="1147"/>
      <c r="O56" s="1147"/>
      <c r="P56" s="1147"/>
      <c r="Q56" s="1147"/>
      <c r="R56" s="1147"/>
      <c r="S56" s="1147"/>
      <c r="T56" s="1147"/>
      <c r="U56" s="1147"/>
      <c r="V56" s="1147"/>
      <c r="W56" s="1149"/>
    </row>
    <row r="57" spans="1:23" customFormat="1" ht="16.5" customHeight="1">
      <c r="A57" s="63" t="s">
        <v>141</v>
      </c>
      <c r="B57" s="64">
        <v>5</v>
      </c>
      <c r="C57" s="65">
        <v>46050</v>
      </c>
      <c r="D57" s="66" t="s">
        <v>142</v>
      </c>
      <c r="E57" s="258" t="s">
        <v>387</v>
      </c>
      <c r="F57" s="258" t="s">
        <v>282</v>
      </c>
      <c r="G57" s="258" t="s">
        <v>28</v>
      </c>
      <c r="H57" s="163">
        <v>5535141</v>
      </c>
      <c r="I57" s="258" t="s">
        <v>344</v>
      </c>
      <c r="J57" s="258">
        <v>248</v>
      </c>
      <c r="K57" s="1277">
        <v>1</v>
      </c>
      <c r="L57" s="1277">
        <v>5</v>
      </c>
      <c r="M57" s="1277">
        <v>1</v>
      </c>
      <c r="N57" s="1277" t="s">
        <v>149</v>
      </c>
      <c r="O57" s="1277" t="s">
        <v>29</v>
      </c>
      <c r="P57" s="1277" t="s">
        <v>30</v>
      </c>
      <c r="Q57" s="1277" t="s">
        <v>300</v>
      </c>
      <c r="R57" s="1277" t="s">
        <v>31</v>
      </c>
      <c r="S57" s="1277" t="s">
        <v>301</v>
      </c>
      <c r="T57" s="1277" t="s">
        <v>185</v>
      </c>
      <c r="U57" s="1277"/>
      <c r="V57" s="1277" t="s">
        <v>149</v>
      </c>
      <c r="W57" s="1281">
        <v>1</v>
      </c>
    </row>
    <row r="58" spans="1:23" customFormat="1" ht="16.5" customHeight="1" thickBot="1">
      <c r="A58" s="264" t="s">
        <v>141</v>
      </c>
      <c r="B58" s="265">
        <v>5</v>
      </c>
      <c r="C58" s="266">
        <v>46050</v>
      </c>
      <c r="D58" s="267" t="s">
        <v>142</v>
      </c>
      <c r="E58" s="268" t="s">
        <v>387</v>
      </c>
      <c r="F58" s="268" t="s">
        <v>282</v>
      </c>
      <c r="G58" s="268" t="s">
        <v>32</v>
      </c>
      <c r="H58" s="269">
        <v>5535140</v>
      </c>
      <c r="I58" s="268" t="s">
        <v>345</v>
      </c>
      <c r="J58" s="268">
        <v>110</v>
      </c>
      <c r="K58" s="1150"/>
      <c r="L58" s="1150"/>
      <c r="M58" s="1150"/>
      <c r="N58" s="1150"/>
      <c r="O58" s="1150"/>
      <c r="P58" s="1150"/>
      <c r="Q58" s="1150"/>
      <c r="R58" s="1150"/>
      <c r="S58" s="1150"/>
      <c r="T58" s="1150"/>
      <c r="U58" s="1150"/>
      <c r="V58" s="1150"/>
      <c r="W58" s="1151"/>
    </row>
    <row r="59" spans="1:23" customFormat="1" ht="16.5" customHeight="1">
      <c r="A59" s="63" t="s">
        <v>141</v>
      </c>
      <c r="B59" s="64">
        <v>5</v>
      </c>
      <c r="C59" s="65">
        <v>46051</v>
      </c>
      <c r="D59" s="66" t="s">
        <v>142</v>
      </c>
      <c r="E59" s="259" t="s">
        <v>387</v>
      </c>
      <c r="F59" s="259" t="s">
        <v>282</v>
      </c>
      <c r="G59" s="259" t="s">
        <v>32</v>
      </c>
      <c r="H59" s="163">
        <v>5535140</v>
      </c>
      <c r="I59" s="259" t="s">
        <v>345</v>
      </c>
      <c r="J59" s="259">
        <v>114</v>
      </c>
      <c r="K59" s="1152">
        <v>1</v>
      </c>
      <c r="L59" s="262">
        <v>5</v>
      </c>
      <c r="M59" s="1152">
        <v>1</v>
      </c>
      <c r="N59" s="1152" t="s">
        <v>149</v>
      </c>
      <c r="O59" s="262" t="s">
        <v>29</v>
      </c>
      <c r="P59" s="262" t="s">
        <v>30</v>
      </c>
      <c r="Q59" s="262" t="s">
        <v>300</v>
      </c>
      <c r="R59" s="262" t="s">
        <v>31</v>
      </c>
      <c r="S59" s="262" t="s">
        <v>301</v>
      </c>
      <c r="T59" s="262" t="s">
        <v>185</v>
      </c>
      <c r="U59" s="1152"/>
      <c r="V59" s="1152" t="s">
        <v>149</v>
      </c>
      <c r="W59" s="1153">
        <v>1</v>
      </c>
    </row>
    <row r="60" spans="1:23" customFormat="1" ht="16.5" customHeight="1">
      <c r="A60" s="134" t="s">
        <v>141</v>
      </c>
      <c r="B60" s="135">
        <v>5</v>
      </c>
      <c r="C60" s="136">
        <v>46051</v>
      </c>
      <c r="D60" s="137" t="s">
        <v>142</v>
      </c>
      <c r="E60" s="261" t="s">
        <v>387</v>
      </c>
      <c r="F60" s="261" t="s">
        <v>282</v>
      </c>
      <c r="G60" s="261" t="s">
        <v>32</v>
      </c>
      <c r="H60" s="139">
        <v>5535140</v>
      </c>
      <c r="I60" s="261" t="s">
        <v>346</v>
      </c>
      <c r="J60" s="261">
        <v>48</v>
      </c>
      <c r="K60" s="1143"/>
      <c r="L60" s="263">
        <v>5</v>
      </c>
      <c r="M60" s="1143"/>
      <c r="N60" s="1143"/>
      <c r="O60" s="263" t="s">
        <v>39</v>
      </c>
      <c r="P60" s="263" t="s">
        <v>40</v>
      </c>
      <c r="Q60" s="263" t="s">
        <v>316</v>
      </c>
      <c r="R60" s="263" t="s">
        <v>31</v>
      </c>
      <c r="S60" s="263" t="s">
        <v>184</v>
      </c>
      <c r="T60" s="263" t="s">
        <v>185</v>
      </c>
      <c r="U60" s="1143"/>
      <c r="V60" s="1143"/>
      <c r="W60" s="1145"/>
    </row>
    <row r="61" spans="1:23" customFormat="1" ht="16.5" customHeight="1">
      <c r="A61" s="134" t="s">
        <v>141</v>
      </c>
      <c r="B61" s="135">
        <v>5</v>
      </c>
      <c r="C61" s="136">
        <v>46051</v>
      </c>
      <c r="D61" s="137" t="s">
        <v>142</v>
      </c>
      <c r="E61" s="261" t="s">
        <v>232</v>
      </c>
      <c r="F61" s="261" t="s">
        <v>268</v>
      </c>
      <c r="G61" s="261" t="s">
        <v>176</v>
      </c>
      <c r="H61" s="139">
        <v>5771802</v>
      </c>
      <c r="I61" s="261" t="s">
        <v>347</v>
      </c>
      <c r="J61" s="261">
        <v>100</v>
      </c>
      <c r="K61" s="1150">
        <v>1</v>
      </c>
      <c r="L61" s="1150"/>
      <c r="M61" s="1150">
        <v>0</v>
      </c>
      <c r="N61" s="1150" t="s">
        <v>149</v>
      </c>
      <c r="O61" s="1150"/>
      <c r="P61" s="1150"/>
      <c r="Q61" s="1150"/>
      <c r="R61" s="1150"/>
      <c r="S61" s="1150"/>
      <c r="T61" s="1150"/>
      <c r="U61" s="1150"/>
      <c r="V61" s="1150"/>
      <c r="W61" s="1151"/>
    </row>
    <row r="62" spans="1:23" customFormat="1" ht="16.5" customHeight="1" thickBot="1">
      <c r="A62" s="116" t="s">
        <v>141</v>
      </c>
      <c r="B62" s="141">
        <v>5</v>
      </c>
      <c r="C62" s="142">
        <v>46051</v>
      </c>
      <c r="D62" s="143" t="s">
        <v>142</v>
      </c>
      <c r="E62" s="260" t="s">
        <v>232</v>
      </c>
      <c r="F62" s="260" t="s">
        <v>268</v>
      </c>
      <c r="G62" s="260" t="s">
        <v>176</v>
      </c>
      <c r="H62" s="145">
        <v>5771802</v>
      </c>
      <c r="I62" s="260" t="s">
        <v>348</v>
      </c>
      <c r="J62" s="260">
        <v>200</v>
      </c>
      <c r="K62" s="1147"/>
      <c r="L62" s="1147"/>
      <c r="M62" s="1147"/>
      <c r="N62" s="1147"/>
      <c r="O62" s="1147"/>
      <c r="P62" s="1147"/>
      <c r="Q62" s="1147"/>
      <c r="R62" s="1147"/>
      <c r="S62" s="1147"/>
      <c r="T62" s="1147"/>
      <c r="U62" s="1147"/>
      <c r="V62" s="1147"/>
      <c r="W62" s="1149"/>
    </row>
    <row r="63" spans="1:23" customFormat="1" ht="16.5" customHeight="1">
      <c r="A63" s="63" t="s">
        <v>141</v>
      </c>
      <c r="B63" s="64">
        <v>5</v>
      </c>
      <c r="C63" s="65">
        <v>46052</v>
      </c>
      <c r="D63" s="66" t="s">
        <v>142</v>
      </c>
      <c r="E63" s="270" t="s">
        <v>232</v>
      </c>
      <c r="F63" s="270" t="s">
        <v>268</v>
      </c>
      <c r="G63" s="270" t="s">
        <v>176</v>
      </c>
      <c r="H63" s="163">
        <v>5771802</v>
      </c>
      <c r="I63" s="270" t="s">
        <v>348</v>
      </c>
      <c r="J63" s="270">
        <v>150</v>
      </c>
      <c r="K63" s="1152">
        <v>1</v>
      </c>
      <c r="L63" s="273">
        <v>5</v>
      </c>
      <c r="M63" s="1152">
        <v>1</v>
      </c>
      <c r="N63" s="1152" t="s">
        <v>149</v>
      </c>
      <c r="O63" s="273" t="s">
        <v>29</v>
      </c>
      <c r="P63" s="273" t="s">
        <v>30</v>
      </c>
      <c r="Q63" s="273" t="s">
        <v>300</v>
      </c>
      <c r="R63" s="273" t="s">
        <v>31</v>
      </c>
      <c r="S63" s="273" t="s">
        <v>301</v>
      </c>
      <c r="T63" s="273" t="s">
        <v>185</v>
      </c>
      <c r="U63" s="1152"/>
      <c r="V63" s="1152" t="s">
        <v>149</v>
      </c>
      <c r="W63" s="1153">
        <v>1</v>
      </c>
    </row>
    <row r="64" spans="1:23" customFormat="1" ht="16.5" customHeight="1" thickBot="1">
      <c r="A64" s="277" t="s">
        <v>141</v>
      </c>
      <c r="B64" s="278">
        <v>5</v>
      </c>
      <c r="C64" s="279">
        <v>46052</v>
      </c>
      <c r="D64" s="280" t="s">
        <v>142</v>
      </c>
      <c r="E64" s="281" t="s">
        <v>232</v>
      </c>
      <c r="F64" s="281" t="s">
        <v>269</v>
      </c>
      <c r="G64" s="281" t="s">
        <v>176</v>
      </c>
      <c r="H64" s="282">
        <v>5773217</v>
      </c>
      <c r="I64" s="281" t="s">
        <v>349</v>
      </c>
      <c r="J64" s="281">
        <v>100</v>
      </c>
      <c r="K64" s="1280"/>
      <c r="L64" s="281">
        <v>5</v>
      </c>
      <c r="M64" s="1280"/>
      <c r="N64" s="1280"/>
      <c r="O64" s="281" t="s">
        <v>48</v>
      </c>
      <c r="P64" s="281" t="s">
        <v>62</v>
      </c>
      <c r="Q64" s="281" t="s">
        <v>351</v>
      </c>
      <c r="R64" s="281" t="s">
        <v>31</v>
      </c>
      <c r="S64" s="281" t="s">
        <v>184</v>
      </c>
      <c r="T64" s="281" t="s">
        <v>185</v>
      </c>
      <c r="U64" s="1280"/>
      <c r="V64" s="1280"/>
      <c r="W64" s="1283"/>
    </row>
    <row r="65" spans="1:23" customFormat="1" ht="16.5" customHeight="1">
      <c r="A65" s="63" t="s">
        <v>141</v>
      </c>
      <c r="B65" s="64">
        <v>5</v>
      </c>
      <c r="C65" s="65">
        <v>46053</v>
      </c>
      <c r="D65" s="66" t="s">
        <v>142</v>
      </c>
      <c r="E65" s="270" t="s">
        <v>232</v>
      </c>
      <c r="F65" s="270" t="s">
        <v>269</v>
      </c>
      <c r="G65" s="270" t="s">
        <v>176</v>
      </c>
      <c r="H65" s="163">
        <v>5773217</v>
      </c>
      <c r="I65" s="270" t="s">
        <v>349</v>
      </c>
      <c r="J65" s="270">
        <v>200</v>
      </c>
      <c r="K65" s="270">
        <v>1</v>
      </c>
      <c r="L65" s="270"/>
      <c r="M65" s="270">
        <v>0</v>
      </c>
      <c r="N65" s="270" t="s">
        <v>149</v>
      </c>
      <c r="O65" s="270"/>
      <c r="P65" s="270"/>
      <c r="Q65" s="270"/>
      <c r="R65" s="270"/>
      <c r="S65" s="270"/>
      <c r="T65" s="270"/>
      <c r="U65" s="270"/>
      <c r="V65" s="270"/>
      <c r="W65" s="274"/>
    </row>
    <row r="66" spans="1:23" customFormat="1" ht="16.5" customHeight="1" thickBot="1">
      <c r="A66" s="116" t="s">
        <v>141</v>
      </c>
      <c r="B66" s="141">
        <v>5</v>
      </c>
      <c r="C66" s="142">
        <v>46053</v>
      </c>
      <c r="D66" s="143" t="s">
        <v>142</v>
      </c>
      <c r="E66" s="271" t="s">
        <v>232</v>
      </c>
      <c r="F66" s="271" t="s">
        <v>266</v>
      </c>
      <c r="G66" s="271" t="s">
        <v>37</v>
      </c>
      <c r="H66" s="145">
        <v>5766065</v>
      </c>
      <c r="I66" s="271" t="s">
        <v>350</v>
      </c>
      <c r="J66" s="271">
        <v>330</v>
      </c>
      <c r="K66" s="271">
        <v>1</v>
      </c>
      <c r="L66" s="271">
        <v>5</v>
      </c>
      <c r="M66" s="271">
        <v>1</v>
      </c>
      <c r="N66" s="271" t="s">
        <v>149</v>
      </c>
      <c r="O66" s="271" t="s">
        <v>97</v>
      </c>
      <c r="P66" s="271" t="s">
        <v>57</v>
      </c>
      <c r="Q66" s="271" t="s">
        <v>353</v>
      </c>
      <c r="R66" s="271" t="s">
        <v>31</v>
      </c>
      <c r="S66" s="271" t="s">
        <v>301</v>
      </c>
      <c r="T66" s="271" t="s">
        <v>185</v>
      </c>
      <c r="U66" s="271"/>
      <c r="V66" s="271" t="s">
        <v>149</v>
      </c>
      <c r="W66" s="272">
        <v>1</v>
      </c>
    </row>
    <row r="67" spans="1:23" customFormat="1" ht="16.5" customHeight="1">
      <c r="A67" s="63" t="s">
        <v>153</v>
      </c>
      <c r="B67" s="64">
        <v>6</v>
      </c>
      <c r="C67" s="65">
        <v>46055</v>
      </c>
      <c r="D67" s="66" t="s">
        <v>142</v>
      </c>
      <c r="E67" s="276" t="s">
        <v>232</v>
      </c>
      <c r="F67" s="276" t="s">
        <v>266</v>
      </c>
      <c r="G67" s="276" t="s">
        <v>37</v>
      </c>
      <c r="H67" s="163">
        <v>5766065</v>
      </c>
      <c r="I67" s="276" t="s">
        <v>350</v>
      </c>
      <c r="J67" s="276">
        <v>142</v>
      </c>
      <c r="K67" s="1278">
        <v>1</v>
      </c>
      <c r="L67" s="1278">
        <v>5</v>
      </c>
      <c r="M67" s="1278">
        <v>1</v>
      </c>
      <c r="N67" s="1278" t="s">
        <v>149</v>
      </c>
      <c r="O67" s="1278" t="s">
        <v>29</v>
      </c>
      <c r="P67" s="1278" t="s">
        <v>30</v>
      </c>
      <c r="Q67" s="1278" t="s">
        <v>300</v>
      </c>
      <c r="R67" s="1278" t="s">
        <v>31</v>
      </c>
      <c r="S67" s="1278" t="s">
        <v>301</v>
      </c>
      <c r="T67" s="1278" t="s">
        <v>185</v>
      </c>
      <c r="U67" s="1278"/>
      <c r="V67" s="1278" t="s">
        <v>149</v>
      </c>
      <c r="W67" s="1282">
        <v>1</v>
      </c>
    </row>
    <row r="68" spans="1:23" customFormat="1" ht="16.5" customHeight="1">
      <c r="A68" s="134" t="s">
        <v>153</v>
      </c>
      <c r="B68" s="135">
        <v>6</v>
      </c>
      <c r="C68" s="136">
        <v>46055</v>
      </c>
      <c r="D68" s="137" t="s">
        <v>142</v>
      </c>
      <c r="E68" s="275" t="s">
        <v>232</v>
      </c>
      <c r="F68" s="275" t="s">
        <v>275</v>
      </c>
      <c r="G68" s="275" t="s">
        <v>37</v>
      </c>
      <c r="H68" s="139">
        <v>5823326</v>
      </c>
      <c r="I68" s="275">
        <v>4523445669</v>
      </c>
      <c r="J68" s="275">
        <v>133</v>
      </c>
      <c r="K68" s="1150"/>
      <c r="L68" s="1150"/>
      <c r="M68" s="1150"/>
      <c r="N68" s="1150"/>
      <c r="O68" s="1150"/>
      <c r="P68" s="1150"/>
      <c r="Q68" s="1150"/>
      <c r="R68" s="1150"/>
      <c r="S68" s="1150"/>
      <c r="T68" s="1150"/>
      <c r="U68" s="1150"/>
      <c r="V68" s="1150"/>
      <c r="W68" s="1151"/>
    </row>
    <row r="69" spans="1:23" customFormat="1" ht="16.5" customHeight="1">
      <c r="A69" s="134" t="s">
        <v>153</v>
      </c>
      <c r="B69" s="135">
        <v>6</v>
      </c>
      <c r="C69" s="136">
        <v>46055</v>
      </c>
      <c r="D69" s="137" t="s">
        <v>142</v>
      </c>
      <c r="E69" s="275" t="s">
        <v>232</v>
      </c>
      <c r="F69" s="275" t="s">
        <v>275</v>
      </c>
      <c r="G69" s="275" t="s">
        <v>37</v>
      </c>
      <c r="H69" s="139">
        <v>5823326</v>
      </c>
      <c r="I69" s="275">
        <v>4523450891</v>
      </c>
      <c r="J69" s="275">
        <v>5</v>
      </c>
      <c r="K69" s="1150"/>
      <c r="L69" s="1150"/>
      <c r="M69" s="1150"/>
      <c r="N69" s="1150"/>
      <c r="O69" s="1150"/>
      <c r="P69" s="1150"/>
      <c r="Q69" s="1150"/>
      <c r="R69" s="1150"/>
      <c r="S69" s="1150"/>
      <c r="T69" s="1150"/>
      <c r="U69" s="1150"/>
      <c r="V69" s="1150"/>
      <c r="W69" s="1151"/>
    </row>
    <row r="70" spans="1:23" customFormat="1" ht="16.5" customHeight="1">
      <c r="A70" s="134" t="s">
        <v>153</v>
      </c>
      <c r="B70" s="135">
        <v>6</v>
      </c>
      <c r="C70" s="136">
        <v>46055</v>
      </c>
      <c r="D70" s="137" t="s">
        <v>142</v>
      </c>
      <c r="E70" s="275" t="s">
        <v>232</v>
      </c>
      <c r="F70" s="275" t="s">
        <v>275</v>
      </c>
      <c r="G70" s="275" t="s">
        <v>37</v>
      </c>
      <c r="H70" s="139">
        <v>5823326</v>
      </c>
      <c r="I70" s="275">
        <v>4523449302</v>
      </c>
      <c r="J70" s="275">
        <v>27</v>
      </c>
      <c r="K70" s="1150"/>
      <c r="L70" s="1150"/>
      <c r="M70" s="1150"/>
      <c r="N70" s="1150"/>
      <c r="O70" s="1150"/>
      <c r="P70" s="1150"/>
      <c r="Q70" s="1150"/>
      <c r="R70" s="1150"/>
      <c r="S70" s="1150"/>
      <c r="T70" s="1150"/>
      <c r="U70" s="1150"/>
      <c r="V70" s="1150"/>
      <c r="W70" s="1151"/>
    </row>
    <row r="71" spans="1:23" customFormat="1" ht="16.5" customHeight="1">
      <c r="A71" s="134" t="s">
        <v>153</v>
      </c>
      <c r="B71" s="135">
        <v>6</v>
      </c>
      <c r="C71" s="136">
        <v>46055</v>
      </c>
      <c r="D71" s="137" t="s">
        <v>142</v>
      </c>
      <c r="E71" s="275" t="s">
        <v>232</v>
      </c>
      <c r="F71" s="275" t="s">
        <v>275</v>
      </c>
      <c r="G71" s="275" t="s">
        <v>37</v>
      </c>
      <c r="H71" s="139">
        <v>5823326</v>
      </c>
      <c r="I71" s="275">
        <v>4523450784</v>
      </c>
      <c r="J71" s="275">
        <v>13</v>
      </c>
      <c r="K71" s="1150"/>
      <c r="L71" s="1150"/>
      <c r="M71" s="1150"/>
      <c r="N71" s="1150"/>
      <c r="O71" s="1150"/>
      <c r="P71" s="1150"/>
      <c r="Q71" s="1150"/>
      <c r="R71" s="1150"/>
      <c r="S71" s="1150"/>
      <c r="T71" s="1150"/>
      <c r="U71" s="1150"/>
      <c r="V71" s="1150"/>
      <c r="W71" s="1151"/>
    </row>
    <row r="72" spans="1:23" customFormat="1" ht="16.5" customHeight="1" thickBot="1">
      <c r="A72" s="289" t="s">
        <v>153</v>
      </c>
      <c r="B72" s="290">
        <v>6</v>
      </c>
      <c r="C72" s="291">
        <v>46055</v>
      </c>
      <c r="D72" s="292" t="s">
        <v>142</v>
      </c>
      <c r="E72" s="293" t="s">
        <v>232</v>
      </c>
      <c r="F72" s="293" t="s">
        <v>275</v>
      </c>
      <c r="G72" s="293" t="s">
        <v>37</v>
      </c>
      <c r="H72" s="294">
        <v>5823326</v>
      </c>
      <c r="I72" s="293">
        <v>4523378064</v>
      </c>
      <c r="J72" s="293">
        <v>170</v>
      </c>
      <c r="K72" s="1150"/>
      <c r="L72" s="1150"/>
      <c r="M72" s="1150"/>
      <c r="N72" s="1150"/>
      <c r="O72" s="1150"/>
      <c r="P72" s="1150"/>
      <c r="Q72" s="1150"/>
      <c r="R72" s="1150"/>
      <c r="S72" s="1150"/>
      <c r="T72" s="1150"/>
      <c r="U72" s="1150"/>
      <c r="V72" s="1150"/>
      <c r="W72" s="1151"/>
    </row>
    <row r="73" spans="1:23" customFormat="1" ht="16.5" customHeight="1">
      <c r="A73" s="63" t="s">
        <v>153</v>
      </c>
      <c r="B73" s="64">
        <v>6</v>
      </c>
      <c r="C73" s="65">
        <v>46056</v>
      </c>
      <c r="D73" s="66" t="s">
        <v>142</v>
      </c>
      <c r="E73" s="287" t="s">
        <v>232</v>
      </c>
      <c r="F73" s="287" t="s">
        <v>272</v>
      </c>
      <c r="G73" s="287" t="s">
        <v>37</v>
      </c>
      <c r="H73" s="163">
        <v>5823327</v>
      </c>
      <c r="I73" s="287">
        <v>4523511042</v>
      </c>
      <c r="J73" s="287">
        <v>90</v>
      </c>
      <c r="K73" s="1279">
        <v>1</v>
      </c>
      <c r="L73" s="1279">
        <v>5</v>
      </c>
      <c r="M73" s="1279">
        <v>1</v>
      </c>
      <c r="N73" s="1279" t="s">
        <v>149</v>
      </c>
      <c r="O73" s="1279" t="s">
        <v>29</v>
      </c>
      <c r="P73" s="1279" t="s">
        <v>30</v>
      </c>
      <c r="Q73" s="1279" t="s">
        <v>300</v>
      </c>
      <c r="R73" s="1279" t="s">
        <v>31</v>
      </c>
      <c r="S73" s="1279" t="s">
        <v>301</v>
      </c>
      <c r="T73" s="1279" t="s">
        <v>185</v>
      </c>
      <c r="U73" s="1279"/>
      <c r="V73" s="1279" t="s">
        <v>149</v>
      </c>
      <c r="W73" s="1284">
        <v>1</v>
      </c>
    </row>
    <row r="74" spans="1:23" customFormat="1" ht="16.5" customHeight="1">
      <c r="A74" s="134" t="s">
        <v>153</v>
      </c>
      <c r="B74" s="135">
        <v>6</v>
      </c>
      <c r="C74" s="136">
        <v>46056</v>
      </c>
      <c r="D74" s="137" t="s">
        <v>142</v>
      </c>
      <c r="E74" s="286" t="s">
        <v>232</v>
      </c>
      <c r="F74" s="286" t="s">
        <v>272</v>
      </c>
      <c r="G74" s="286" t="s">
        <v>37</v>
      </c>
      <c r="H74" s="139">
        <v>5823327</v>
      </c>
      <c r="I74" s="286">
        <v>4523614835</v>
      </c>
      <c r="J74" s="286">
        <v>27</v>
      </c>
      <c r="K74" s="1150"/>
      <c r="L74" s="1150"/>
      <c r="M74" s="1150"/>
      <c r="N74" s="1150"/>
      <c r="O74" s="1150"/>
      <c r="P74" s="1150"/>
      <c r="Q74" s="1150"/>
      <c r="R74" s="1150"/>
      <c r="S74" s="1150"/>
      <c r="T74" s="1150"/>
      <c r="U74" s="1150"/>
      <c r="V74" s="1150"/>
      <c r="W74" s="1151"/>
    </row>
    <row r="75" spans="1:23" customFormat="1" ht="16.5" customHeight="1">
      <c r="A75" s="134" t="s">
        <v>153</v>
      </c>
      <c r="B75" s="135">
        <v>6</v>
      </c>
      <c r="C75" s="136">
        <v>46056</v>
      </c>
      <c r="D75" s="137" t="s">
        <v>142</v>
      </c>
      <c r="E75" s="286" t="s">
        <v>232</v>
      </c>
      <c r="F75" s="286" t="s">
        <v>272</v>
      </c>
      <c r="G75" s="286" t="s">
        <v>37</v>
      </c>
      <c r="H75" s="139">
        <v>5823327</v>
      </c>
      <c r="I75" s="286">
        <v>4523619420</v>
      </c>
      <c r="J75" s="286">
        <v>63</v>
      </c>
      <c r="K75" s="1150"/>
      <c r="L75" s="1150"/>
      <c r="M75" s="1150"/>
      <c r="N75" s="1150"/>
      <c r="O75" s="1150"/>
      <c r="P75" s="1150"/>
      <c r="Q75" s="1150"/>
      <c r="R75" s="1150"/>
      <c r="S75" s="1150"/>
      <c r="T75" s="1150"/>
      <c r="U75" s="1150"/>
      <c r="V75" s="1150"/>
      <c r="W75" s="1151"/>
    </row>
    <row r="76" spans="1:23" customFormat="1" ht="16.5" customHeight="1" thickBot="1">
      <c r="A76" s="116" t="s">
        <v>153</v>
      </c>
      <c r="B76" s="141">
        <v>6</v>
      </c>
      <c r="C76" s="142">
        <v>46056</v>
      </c>
      <c r="D76" s="143" t="s">
        <v>142</v>
      </c>
      <c r="E76" s="288" t="s">
        <v>232</v>
      </c>
      <c r="F76" s="288" t="s">
        <v>267</v>
      </c>
      <c r="G76" s="288" t="s">
        <v>37</v>
      </c>
      <c r="H76" s="145">
        <v>5771962</v>
      </c>
      <c r="I76" s="288" t="s">
        <v>352</v>
      </c>
      <c r="J76" s="288">
        <v>400</v>
      </c>
      <c r="K76" s="1147"/>
      <c r="L76" s="1147"/>
      <c r="M76" s="1147"/>
      <c r="N76" s="1147"/>
      <c r="O76" s="1147"/>
      <c r="P76" s="1147"/>
      <c r="Q76" s="1147"/>
      <c r="R76" s="1147"/>
      <c r="S76" s="1147"/>
      <c r="T76" s="1147"/>
      <c r="U76" s="1147"/>
      <c r="V76" s="1147"/>
      <c r="W76" s="1149"/>
    </row>
    <row r="77" spans="1:23" customFormat="1" ht="16.5" customHeight="1">
      <c r="A77" s="63" t="s">
        <v>153</v>
      </c>
      <c r="B77" s="64">
        <v>6</v>
      </c>
      <c r="C77" s="65">
        <v>46057</v>
      </c>
      <c r="D77" s="66" t="s">
        <v>142</v>
      </c>
      <c r="E77" s="287" t="s">
        <v>232</v>
      </c>
      <c r="F77" s="287" t="s">
        <v>267</v>
      </c>
      <c r="G77" s="287" t="s">
        <v>37</v>
      </c>
      <c r="H77" s="163">
        <v>5771962</v>
      </c>
      <c r="I77" s="287" t="s">
        <v>361</v>
      </c>
      <c r="J77" s="287">
        <v>463</v>
      </c>
      <c r="K77" s="1279">
        <v>1</v>
      </c>
      <c r="L77" s="1279"/>
      <c r="M77" s="1279">
        <v>0</v>
      </c>
      <c r="N77" s="1279" t="s">
        <v>149</v>
      </c>
      <c r="O77" s="1279"/>
      <c r="P77" s="1279"/>
      <c r="Q77" s="1279"/>
      <c r="R77" s="1279"/>
      <c r="S77" s="1279"/>
      <c r="T77" s="1279"/>
      <c r="U77" s="1279"/>
      <c r="V77" s="1279"/>
      <c r="W77" s="1284"/>
    </row>
    <row r="78" spans="1:23" customFormat="1" ht="16.5" customHeight="1" thickBot="1">
      <c r="A78" s="116" t="s">
        <v>153</v>
      </c>
      <c r="B78" s="141">
        <v>6</v>
      </c>
      <c r="C78" s="142">
        <v>46057</v>
      </c>
      <c r="D78" s="143" t="s">
        <v>142</v>
      </c>
      <c r="E78" s="288" t="s">
        <v>232</v>
      </c>
      <c r="F78" s="288" t="s">
        <v>266</v>
      </c>
      <c r="G78" s="288" t="s">
        <v>37</v>
      </c>
      <c r="H78" s="145">
        <v>5766065</v>
      </c>
      <c r="I78" s="288" t="s">
        <v>362</v>
      </c>
      <c r="J78" s="288">
        <v>30</v>
      </c>
      <c r="K78" s="1147"/>
      <c r="L78" s="1147"/>
      <c r="M78" s="1147"/>
      <c r="N78" s="1147"/>
      <c r="O78" s="1147"/>
      <c r="P78" s="1147"/>
      <c r="Q78" s="1147"/>
      <c r="R78" s="1147"/>
      <c r="S78" s="1147"/>
      <c r="T78" s="1147"/>
      <c r="U78" s="1147"/>
      <c r="V78" s="1147"/>
      <c r="W78" s="1149"/>
    </row>
    <row r="79" spans="1:23" customFormat="1" ht="16.5" customHeight="1">
      <c r="A79" s="63" t="s">
        <v>153</v>
      </c>
      <c r="B79" s="149">
        <v>6</v>
      </c>
      <c r="C79" s="150">
        <v>46058</v>
      </c>
      <c r="D79" s="151" t="s">
        <v>142</v>
      </c>
      <c r="E79" s="299" t="s">
        <v>232</v>
      </c>
      <c r="F79" s="299" t="s">
        <v>266</v>
      </c>
      <c r="G79" s="299" t="s">
        <v>37</v>
      </c>
      <c r="H79" s="153">
        <v>5766065</v>
      </c>
      <c r="I79" s="299" t="s">
        <v>362</v>
      </c>
      <c r="J79" s="299">
        <v>207</v>
      </c>
      <c r="K79" s="299">
        <v>1</v>
      </c>
      <c r="L79" s="299">
        <v>5</v>
      </c>
      <c r="M79" s="299">
        <v>1</v>
      </c>
      <c r="N79" s="299" t="s">
        <v>149</v>
      </c>
      <c r="O79" s="299" t="s">
        <v>29</v>
      </c>
      <c r="P79" s="299" t="s">
        <v>30</v>
      </c>
      <c r="Q79" s="299" t="s">
        <v>300</v>
      </c>
      <c r="R79" s="299" t="s">
        <v>31</v>
      </c>
      <c r="S79" s="299" t="s">
        <v>301</v>
      </c>
      <c r="T79" s="299" t="s">
        <v>185</v>
      </c>
      <c r="U79" s="299"/>
      <c r="V79" s="299" t="s">
        <v>149</v>
      </c>
      <c r="W79" s="298">
        <v>1</v>
      </c>
    </row>
    <row r="80" spans="1:23" customFormat="1" ht="16.5" customHeight="1" thickBot="1">
      <c r="A80" s="300" t="s">
        <v>153</v>
      </c>
      <c r="B80" s="301">
        <v>6</v>
      </c>
      <c r="C80" s="302">
        <v>46058</v>
      </c>
      <c r="D80" s="303" t="s">
        <v>142</v>
      </c>
      <c r="E80" s="304" t="s">
        <v>265</v>
      </c>
      <c r="F80" s="304" t="s">
        <v>271</v>
      </c>
      <c r="G80" s="304" t="s">
        <v>37</v>
      </c>
      <c r="H80" s="305">
        <v>5447762</v>
      </c>
      <c r="I80" s="304" t="s">
        <v>363</v>
      </c>
      <c r="J80" s="304">
        <v>250</v>
      </c>
      <c r="K80" s="304">
        <v>1</v>
      </c>
      <c r="L80" s="304">
        <v>5</v>
      </c>
      <c r="M80" s="304">
        <v>1</v>
      </c>
      <c r="N80" s="304" t="s">
        <v>149</v>
      </c>
      <c r="O80" s="304" t="s">
        <v>29</v>
      </c>
      <c r="P80" s="304" t="s">
        <v>30</v>
      </c>
      <c r="Q80" s="304" t="s">
        <v>252</v>
      </c>
      <c r="R80" s="304" t="s">
        <v>31</v>
      </c>
      <c r="S80" s="304" t="s">
        <v>184</v>
      </c>
      <c r="T80" s="304" t="s">
        <v>185</v>
      </c>
      <c r="U80" s="304"/>
      <c r="V80" s="304" t="s">
        <v>149</v>
      </c>
      <c r="W80" s="306">
        <v>1</v>
      </c>
    </row>
    <row r="81" spans="1:23" customFormat="1" ht="16.5" customHeight="1">
      <c r="A81" s="63" t="s">
        <v>153</v>
      </c>
      <c r="B81" s="149">
        <v>6</v>
      </c>
      <c r="C81" s="150">
        <v>46059</v>
      </c>
      <c r="D81" s="151" t="s">
        <v>142</v>
      </c>
      <c r="E81" s="299" t="s">
        <v>265</v>
      </c>
      <c r="F81" s="299" t="s">
        <v>271</v>
      </c>
      <c r="G81" s="299" t="s">
        <v>37</v>
      </c>
      <c r="H81" s="153">
        <v>5447762</v>
      </c>
      <c r="I81" s="299" t="s">
        <v>363</v>
      </c>
      <c r="J81" s="299">
        <v>78</v>
      </c>
      <c r="K81" s="1152">
        <v>1</v>
      </c>
      <c r="L81" s="1152"/>
      <c r="M81" s="1152">
        <v>0</v>
      </c>
      <c r="N81" s="1152" t="s">
        <v>149</v>
      </c>
      <c r="O81" s="1152"/>
      <c r="P81" s="1152"/>
      <c r="Q81" s="1152"/>
      <c r="R81" s="1152"/>
      <c r="S81" s="1152"/>
      <c r="T81" s="1152"/>
      <c r="U81" s="1152"/>
      <c r="V81" s="1152"/>
      <c r="W81" s="1153"/>
    </row>
    <row r="82" spans="1:23" customFormat="1" ht="16.5" customHeight="1" thickBot="1">
      <c r="A82" s="313" t="s">
        <v>153</v>
      </c>
      <c r="B82" s="314">
        <v>6</v>
      </c>
      <c r="C82" s="315">
        <v>46059</v>
      </c>
      <c r="D82" s="316" t="s">
        <v>142</v>
      </c>
      <c r="E82" s="317" t="s">
        <v>265</v>
      </c>
      <c r="F82" s="317" t="s">
        <v>271</v>
      </c>
      <c r="G82" s="317" t="s">
        <v>37</v>
      </c>
      <c r="H82" s="318">
        <v>5447762</v>
      </c>
      <c r="I82" s="317" t="s">
        <v>364</v>
      </c>
      <c r="J82" s="317">
        <v>400</v>
      </c>
      <c r="K82" s="1251"/>
      <c r="L82" s="1251"/>
      <c r="M82" s="1251"/>
      <c r="N82" s="1251"/>
      <c r="O82" s="1251"/>
      <c r="P82" s="1251"/>
      <c r="Q82" s="1251"/>
      <c r="R82" s="1251"/>
      <c r="S82" s="1251"/>
      <c r="T82" s="1251"/>
      <c r="U82" s="1251"/>
      <c r="V82" s="1251"/>
      <c r="W82" s="1252"/>
    </row>
    <row r="83" spans="1:23" customFormat="1" ht="16.5" customHeight="1">
      <c r="A83" s="63" t="s">
        <v>153</v>
      </c>
      <c r="B83" s="64">
        <v>6</v>
      </c>
      <c r="C83" s="65">
        <v>46060</v>
      </c>
      <c r="D83" s="66" t="s">
        <v>142</v>
      </c>
      <c r="E83" s="311" t="s">
        <v>265</v>
      </c>
      <c r="F83" s="311" t="s">
        <v>270</v>
      </c>
      <c r="G83" s="311" t="s">
        <v>37</v>
      </c>
      <c r="H83" s="163">
        <v>5447763</v>
      </c>
      <c r="I83" s="311" t="s">
        <v>365</v>
      </c>
      <c r="J83" s="311">
        <v>272</v>
      </c>
      <c r="K83" s="311">
        <v>1</v>
      </c>
      <c r="L83" s="311">
        <v>5</v>
      </c>
      <c r="M83" s="311">
        <v>1</v>
      </c>
      <c r="N83" s="311" t="s">
        <v>149</v>
      </c>
      <c r="O83" s="311" t="s">
        <v>103</v>
      </c>
      <c r="P83" s="311" t="s">
        <v>30</v>
      </c>
      <c r="Q83" s="311" t="s">
        <v>329</v>
      </c>
      <c r="R83" s="311" t="s">
        <v>31</v>
      </c>
      <c r="S83" s="311" t="s">
        <v>184</v>
      </c>
      <c r="T83" s="311" t="s">
        <v>185</v>
      </c>
      <c r="U83" s="311"/>
      <c r="V83" s="311" t="s">
        <v>149</v>
      </c>
      <c r="W83" s="308">
        <v>1</v>
      </c>
    </row>
    <row r="84" spans="1:23" customFormat="1" ht="16.5" customHeight="1">
      <c r="A84" s="134" t="s">
        <v>153</v>
      </c>
      <c r="B84" s="135">
        <v>6</v>
      </c>
      <c r="C84" s="136">
        <v>46060</v>
      </c>
      <c r="D84" s="137" t="s">
        <v>142</v>
      </c>
      <c r="E84" s="307" t="s">
        <v>232</v>
      </c>
      <c r="F84" s="307" t="s">
        <v>268</v>
      </c>
      <c r="G84" s="307" t="s">
        <v>176</v>
      </c>
      <c r="H84" s="139">
        <v>5771802</v>
      </c>
      <c r="I84" s="307" t="s">
        <v>366</v>
      </c>
      <c r="J84" s="307">
        <v>184</v>
      </c>
      <c r="K84" s="1143">
        <v>1</v>
      </c>
      <c r="L84" s="1143"/>
      <c r="M84" s="1143">
        <v>0</v>
      </c>
      <c r="N84" s="1143" t="s">
        <v>149</v>
      </c>
      <c r="O84" s="1143"/>
      <c r="P84" s="1143"/>
      <c r="Q84" s="1143"/>
      <c r="R84" s="1143"/>
      <c r="S84" s="1143"/>
      <c r="T84" s="1143"/>
      <c r="U84" s="1143"/>
      <c r="V84" s="1143"/>
      <c r="W84" s="1145"/>
    </row>
    <row r="85" spans="1:23" customFormat="1" ht="16.5" customHeight="1" thickBot="1">
      <c r="A85" s="116" t="s">
        <v>153</v>
      </c>
      <c r="B85" s="141">
        <v>6</v>
      </c>
      <c r="C85" s="142">
        <v>46060</v>
      </c>
      <c r="D85" s="143" t="s">
        <v>142</v>
      </c>
      <c r="E85" s="312" t="s">
        <v>232</v>
      </c>
      <c r="F85" s="312" t="s">
        <v>269</v>
      </c>
      <c r="G85" s="312" t="s">
        <v>176</v>
      </c>
      <c r="H85" s="145">
        <v>5773217</v>
      </c>
      <c r="I85" s="312" t="s">
        <v>369</v>
      </c>
      <c r="J85" s="312">
        <v>66</v>
      </c>
      <c r="K85" s="1156"/>
      <c r="L85" s="1156"/>
      <c r="M85" s="1156"/>
      <c r="N85" s="1156"/>
      <c r="O85" s="1156"/>
      <c r="P85" s="1156"/>
      <c r="Q85" s="1156"/>
      <c r="R85" s="1156"/>
      <c r="S85" s="1156"/>
      <c r="T85" s="1156"/>
      <c r="U85" s="1156"/>
      <c r="V85" s="1156"/>
      <c r="W85" s="1158"/>
    </row>
    <row r="86" spans="1:23" customFormat="1" ht="16.5" customHeight="1" thickBot="1">
      <c r="A86" s="67" t="s">
        <v>153</v>
      </c>
      <c r="B86" s="68">
        <v>7</v>
      </c>
      <c r="C86" s="69">
        <v>46062</v>
      </c>
      <c r="D86" s="70" t="s">
        <v>142</v>
      </c>
      <c r="E86" s="71" t="s">
        <v>232</v>
      </c>
      <c r="F86" s="71" t="s">
        <v>269</v>
      </c>
      <c r="G86" s="71" t="s">
        <v>176</v>
      </c>
      <c r="H86" s="88">
        <v>5773217</v>
      </c>
      <c r="I86" s="71" t="s">
        <v>369</v>
      </c>
      <c r="J86" s="71">
        <v>250</v>
      </c>
      <c r="K86" s="71">
        <v>1</v>
      </c>
      <c r="L86" s="71"/>
      <c r="M86" s="71">
        <v>0</v>
      </c>
      <c r="N86" s="71" t="s">
        <v>149</v>
      </c>
      <c r="O86" s="71"/>
      <c r="P86" s="71"/>
      <c r="Q86" s="71"/>
      <c r="R86" s="71"/>
      <c r="S86" s="71"/>
      <c r="T86" s="71"/>
      <c r="U86" s="71"/>
      <c r="V86" s="71"/>
      <c r="W86" s="72"/>
    </row>
    <row r="87" spans="1:23" customFormat="1" ht="16.5" customHeight="1">
      <c r="A87" s="63" t="s">
        <v>153</v>
      </c>
      <c r="B87" s="64">
        <v>9</v>
      </c>
      <c r="C87" s="65">
        <v>46076</v>
      </c>
      <c r="D87" s="66" t="s">
        <v>142</v>
      </c>
      <c r="E87" s="340" t="s">
        <v>386</v>
      </c>
      <c r="F87" s="340" t="s">
        <v>273</v>
      </c>
      <c r="G87" s="340" t="s">
        <v>36</v>
      </c>
      <c r="H87" s="163">
        <v>5535135</v>
      </c>
      <c r="I87" s="340" t="s">
        <v>370</v>
      </c>
      <c r="J87" s="340">
        <v>64</v>
      </c>
      <c r="K87" s="1242">
        <v>1</v>
      </c>
      <c r="L87" s="340">
        <v>5</v>
      </c>
      <c r="M87" s="1242">
        <v>0</v>
      </c>
      <c r="N87" s="340" t="s">
        <v>149</v>
      </c>
      <c r="O87" s="340" t="s">
        <v>39</v>
      </c>
      <c r="P87" s="340" t="s">
        <v>40</v>
      </c>
      <c r="Q87" s="340" t="s">
        <v>316</v>
      </c>
      <c r="R87" s="340" t="s">
        <v>31</v>
      </c>
      <c r="S87" s="340" t="s">
        <v>184</v>
      </c>
      <c r="T87" s="340" t="s">
        <v>185</v>
      </c>
      <c r="U87" s="1242"/>
      <c r="V87" s="1242" t="s">
        <v>149</v>
      </c>
      <c r="W87" s="1243">
        <v>1</v>
      </c>
    </row>
    <row r="88" spans="1:23" customFormat="1" ht="16.5" customHeight="1" thickBot="1">
      <c r="A88" s="116" t="s">
        <v>153</v>
      </c>
      <c r="B88" s="141">
        <v>9</v>
      </c>
      <c r="C88" s="142">
        <v>46076</v>
      </c>
      <c r="D88" s="143" t="s">
        <v>142</v>
      </c>
      <c r="E88" s="341" t="s">
        <v>386</v>
      </c>
      <c r="F88" s="341" t="s">
        <v>273</v>
      </c>
      <c r="G88" s="341" t="s">
        <v>28</v>
      </c>
      <c r="H88" s="145">
        <v>5535134</v>
      </c>
      <c r="I88" s="341" t="s">
        <v>371</v>
      </c>
      <c r="J88" s="341">
        <v>200</v>
      </c>
      <c r="K88" s="1147"/>
      <c r="L88" s="341">
        <v>5</v>
      </c>
      <c r="M88" s="1147"/>
      <c r="N88" s="341" t="s">
        <v>149</v>
      </c>
      <c r="O88" s="341" t="s">
        <v>61</v>
      </c>
      <c r="P88" s="341" t="s">
        <v>62</v>
      </c>
      <c r="Q88" s="341" t="s">
        <v>378</v>
      </c>
      <c r="R88" s="341" t="s">
        <v>31</v>
      </c>
      <c r="S88" s="341" t="s">
        <v>184</v>
      </c>
      <c r="T88" s="341" t="s">
        <v>185</v>
      </c>
      <c r="U88" s="1147"/>
      <c r="V88" s="1147"/>
      <c r="W88" s="1149"/>
    </row>
    <row r="89" spans="1:23" customFormat="1" ht="16.5" customHeight="1" thickBot="1">
      <c r="A89" s="348" t="s">
        <v>153</v>
      </c>
      <c r="B89" s="349">
        <v>9</v>
      </c>
      <c r="C89" s="350">
        <v>46077</v>
      </c>
      <c r="D89" s="351" t="s">
        <v>142</v>
      </c>
      <c r="E89" s="346" t="s">
        <v>386</v>
      </c>
      <c r="F89" s="346" t="s">
        <v>273</v>
      </c>
      <c r="G89" s="346" t="s">
        <v>28</v>
      </c>
      <c r="H89" s="352">
        <v>5535134</v>
      </c>
      <c r="I89" s="346" t="s">
        <v>371</v>
      </c>
      <c r="J89" s="346">
        <v>230</v>
      </c>
      <c r="K89" s="346">
        <v>1</v>
      </c>
      <c r="L89" s="346">
        <v>5</v>
      </c>
      <c r="M89" s="346">
        <v>1</v>
      </c>
      <c r="N89" s="346" t="s">
        <v>149</v>
      </c>
      <c r="O89" s="346" t="s">
        <v>41</v>
      </c>
      <c r="P89" s="346" t="s">
        <v>62</v>
      </c>
      <c r="Q89" s="346" t="s">
        <v>379</v>
      </c>
      <c r="R89" s="342" t="s">
        <v>31</v>
      </c>
      <c r="S89" s="342" t="s">
        <v>184</v>
      </c>
      <c r="T89" s="342" t="s">
        <v>185</v>
      </c>
      <c r="U89" s="342"/>
      <c r="V89" s="342" t="s">
        <v>149</v>
      </c>
      <c r="W89" s="343">
        <v>1</v>
      </c>
    </row>
    <row r="90" spans="1:23" customFormat="1" ht="16.5" customHeight="1">
      <c r="A90" s="63" t="s">
        <v>153</v>
      </c>
      <c r="B90" s="64">
        <v>9</v>
      </c>
      <c r="C90" s="65">
        <v>46078</v>
      </c>
      <c r="D90" s="66" t="s">
        <v>142</v>
      </c>
      <c r="E90" s="344" t="s">
        <v>386</v>
      </c>
      <c r="F90" s="344" t="s">
        <v>273</v>
      </c>
      <c r="G90" s="344" t="s">
        <v>28</v>
      </c>
      <c r="H90" s="163">
        <v>5535134</v>
      </c>
      <c r="I90" s="344" t="s">
        <v>371</v>
      </c>
      <c r="J90" s="344">
        <v>170</v>
      </c>
      <c r="K90" s="1242">
        <v>1</v>
      </c>
      <c r="L90" s="1242">
        <v>5</v>
      </c>
      <c r="M90" s="1242">
        <v>1</v>
      </c>
      <c r="N90" s="1242" t="s">
        <v>149</v>
      </c>
      <c r="O90" s="1242" t="s">
        <v>39</v>
      </c>
      <c r="P90" s="1242" t="s">
        <v>40</v>
      </c>
      <c r="Q90" s="1242" t="s">
        <v>316</v>
      </c>
      <c r="R90" s="1242" t="s">
        <v>31</v>
      </c>
      <c r="S90" s="1242" t="s">
        <v>184</v>
      </c>
      <c r="T90" s="1242" t="s">
        <v>185</v>
      </c>
      <c r="U90" s="1242"/>
      <c r="V90" s="1242" t="s">
        <v>149</v>
      </c>
      <c r="W90" s="1243">
        <v>1</v>
      </c>
    </row>
    <row r="91" spans="1:23" customFormat="1" ht="16.5" customHeight="1" thickBot="1">
      <c r="A91" s="116" t="s">
        <v>153</v>
      </c>
      <c r="B91" s="141">
        <v>9</v>
      </c>
      <c r="C91" s="142">
        <v>46078</v>
      </c>
      <c r="D91" s="143" t="s">
        <v>142</v>
      </c>
      <c r="E91" s="345" t="s">
        <v>386</v>
      </c>
      <c r="F91" s="345" t="s">
        <v>273</v>
      </c>
      <c r="G91" s="345" t="s">
        <v>32</v>
      </c>
      <c r="H91" s="145">
        <v>5535133</v>
      </c>
      <c r="I91" s="345" t="s">
        <v>377</v>
      </c>
      <c r="J91" s="345">
        <v>88</v>
      </c>
      <c r="K91" s="1147"/>
      <c r="L91" s="1147"/>
      <c r="M91" s="1147"/>
      <c r="N91" s="1147"/>
      <c r="O91" s="1147"/>
      <c r="P91" s="1147"/>
      <c r="Q91" s="1147"/>
      <c r="R91" s="1147"/>
      <c r="S91" s="1147"/>
      <c r="T91" s="1147"/>
      <c r="U91" s="1147"/>
      <c r="V91" s="1147"/>
      <c r="W91" s="1149"/>
    </row>
    <row r="92" spans="1:23" customFormat="1" ht="16.5" customHeight="1">
      <c r="A92" s="63" t="s">
        <v>153</v>
      </c>
      <c r="B92" s="64">
        <v>9</v>
      </c>
      <c r="C92" s="65">
        <v>46079</v>
      </c>
      <c r="D92" s="66" t="s">
        <v>145</v>
      </c>
      <c r="E92" s="344" t="s">
        <v>50</v>
      </c>
      <c r="F92" s="344" t="s">
        <v>258</v>
      </c>
      <c r="G92" s="344" t="s">
        <v>52</v>
      </c>
      <c r="H92" s="163">
        <v>5797098</v>
      </c>
      <c r="I92" s="344">
        <v>4522895649</v>
      </c>
      <c r="J92" s="344">
        <v>9</v>
      </c>
      <c r="K92" s="1242">
        <v>1</v>
      </c>
      <c r="L92" s="1242"/>
      <c r="M92" s="1242">
        <v>0</v>
      </c>
      <c r="N92" s="1242" t="s">
        <v>149</v>
      </c>
      <c r="O92" s="1242"/>
      <c r="P92" s="1242"/>
      <c r="Q92" s="1242"/>
      <c r="R92" s="1242"/>
      <c r="S92" s="1242"/>
      <c r="T92" s="1242"/>
      <c r="U92" s="1242"/>
      <c r="V92" s="1242"/>
      <c r="W92" s="1243"/>
    </row>
    <row r="93" spans="1:23" customFormat="1" ht="16.5" customHeight="1">
      <c r="A93" s="134" t="s">
        <v>153</v>
      </c>
      <c r="B93" s="135">
        <v>9</v>
      </c>
      <c r="C93" s="136">
        <v>46079</v>
      </c>
      <c r="D93" s="137" t="s">
        <v>145</v>
      </c>
      <c r="E93" s="347" t="s">
        <v>50</v>
      </c>
      <c r="F93" s="347" t="s">
        <v>233</v>
      </c>
      <c r="G93" s="347" t="s">
        <v>36</v>
      </c>
      <c r="H93" s="139">
        <v>5463835</v>
      </c>
      <c r="I93" s="347">
        <v>4522895649</v>
      </c>
      <c r="J93" s="347">
        <v>77</v>
      </c>
      <c r="K93" s="1150"/>
      <c r="L93" s="1150"/>
      <c r="M93" s="1150"/>
      <c r="N93" s="1150"/>
      <c r="O93" s="1150"/>
      <c r="P93" s="1150"/>
      <c r="Q93" s="1150"/>
      <c r="R93" s="1150"/>
      <c r="S93" s="1150"/>
      <c r="T93" s="1150"/>
      <c r="U93" s="1150"/>
      <c r="V93" s="1150"/>
      <c r="W93" s="1151"/>
    </row>
    <row r="94" spans="1:23" customFormat="1" ht="16.5" customHeight="1">
      <c r="A94" s="134" t="s">
        <v>153</v>
      </c>
      <c r="B94" s="135">
        <v>9</v>
      </c>
      <c r="C94" s="136">
        <v>46079</v>
      </c>
      <c r="D94" s="137" t="s">
        <v>145</v>
      </c>
      <c r="E94" s="347" t="s">
        <v>50</v>
      </c>
      <c r="F94" s="347" t="s">
        <v>233</v>
      </c>
      <c r="G94" s="347" t="s">
        <v>28</v>
      </c>
      <c r="H94" s="139">
        <v>5463834</v>
      </c>
      <c r="I94" s="347">
        <v>4522895649</v>
      </c>
      <c r="J94" s="347">
        <v>43</v>
      </c>
      <c r="K94" s="1165"/>
      <c r="L94" s="1165"/>
      <c r="M94" s="1165"/>
      <c r="N94" s="1165"/>
      <c r="O94" s="1165"/>
      <c r="P94" s="1165"/>
      <c r="Q94" s="1165"/>
      <c r="R94" s="1165"/>
      <c r="S94" s="1165"/>
      <c r="T94" s="1165"/>
      <c r="U94" s="1165"/>
      <c r="V94" s="1165"/>
      <c r="W94" s="1167"/>
    </row>
    <row r="95" spans="1:23" customFormat="1" ht="16.5" customHeight="1" thickBot="1">
      <c r="A95" s="357" t="s">
        <v>153</v>
      </c>
      <c r="B95" s="358">
        <v>9</v>
      </c>
      <c r="C95" s="359">
        <v>46079</v>
      </c>
      <c r="D95" s="360" t="s">
        <v>142</v>
      </c>
      <c r="E95" s="361" t="s">
        <v>265</v>
      </c>
      <c r="F95" s="361" t="s">
        <v>271</v>
      </c>
      <c r="G95" s="361" t="s">
        <v>37</v>
      </c>
      <c r="H95" s="362">
        <v>5447762</v>
      </c>
      <c r="I95" s="361" t="s">
        <v>380</v>
      </c>
      <c r="J95" s="361">
        <v>147</v>
      </c>
      <c r="K95" s="361">
        <v>1</v>
      </c>
      <c r="L95" s="361"/>
      <c r="M95" s="361">
        <v>0</v>
      </c>
      <c r="N95" s="361" t="s">
        <v>149</v>
      </c>
      <c r="O95" s="361"/>
      <c r="P95" s="361"/>
      <c r="Q95" s="361"/>
      <c r="R95" s="361"/>
      <c r="S95" s="361"/>
      <c r="T95" s="361"/>
      <c r="U95" s="361"/>
      <c r="V95" s="361"/>
      <c r="W95" s="363"/>
    </row>
    <row r="96" spans="1:23" customFormat="1" ht="16.5" customHeight="1">
      <c r="A96" s="63" t="s">
        <v>153</v>
      </c>
      <c r="B96" s="64">
        <v>9</v>
      </c>
      <c r="C96" s="65">
        <v>46080</v>
      </c>
      <c r="D96" s="66" t="s">
        <v>142</v>
      </c>
      <c r="E96" s="356" t="s">
        <v>265</v>
      </c>
      <c r="F96" s="356" t="s">
        <v>271</v>
      </c>
      <c r="G96" s="356" t="s">
        <v>37</v>
      </c>
      <c r="H96" s="163">
        <v>5447762</v>
      </c>
      <c r="I96" s="356" t="s">
        <v>381</v>
      </c>
      <c r="J96" s="356">
        <v>100</v>
      </c>
      <c r="K96" s="356">
        <v>1</v>
      </c>
      <c r="L96" s="356"/>
      <c r="M96" s="356">
        <v>0</v>
      </c>
      <c r="N96" s="356" t="s">
        <v>149</v>
      </c>
      <c r="O96" s="356"/>
      <c r="P96" s="356"/>
      <c r="Q96" s="356"/>
      <c r="R96" s="356"/>
      <c r="S96" s="356"/>
      <c r="T96" s="356"/>
      <c r="U96" s="356"/>
      <c r="V96" s="356"/>
      <c r="W96" s="355"/>
    </row>
    <row r="97" spans="1:23" customFormat="1" ht="16.5" customHeight="1">
      <c r="A97" s="134" t="s">
        <v>153</v>
      </c>
      <c r="B97" s="135">
        <v>9</v>
      </c>
      <c r="C97" s="136">
        <v>46080</v>
      </c>
      <c r="D97" s="137" t="s">
        <v>142</v>
      </c>
      <c r="E97" s="353" t="s">
        <v>232</v>
      </c>
      <c r="F97" s="353" t="s">
        <v>267</v>
      </c>
      <c r="G97" s="353" t="s">
        <v>37</v>
      </c>
      <c r="H97" s="139">
        <v>5771962</v>
      </c>
      <c r="I97" s="353" t="s">
        <v>382</v>
      </c>
      <c r="J97" s="1143">
        <v>300</v>
      </c>
      <c r="K97" s="1143">
        <v>1</v>
      </c>
      <c r="L97" s="353">
        <v>5</v>
      </c>
      <c r="M97" s="1143">
        <v>0</v>
      </c>
      <c r="N97" s="1143" t="s">
        <v>149</v>
      </c>
      <c r="O97" s="353" t="s">
        <v>39</v>
      </c>
      <c r="P97" s="353" t="s">
        <v>40</v>
      </c>
      <c r="Q97" s="353" t="s">
        <v>316</v>
      </c>
      <c r="R97" s="353" t="s">
        <v>31</v>
      </c>
      <c r="S97" s="353" t="s">
        <v>184</v>
      </c>
      <c r="T97" s="353" t="s">
        <v>185</v>
      </c>
      <c r="U97" s="1143"/>
      <c r="V97" s="1143" t="s">
        <v>149</v>
      </c>
      <c r="W97" s="1145">
        <v>1</v>
      </c>
    </row>
    <row r="98" spans="1:23" customFormat="1" ht="16.5" customHeight="1" thickBot="1">
      <c r="A98" s="116" t="s">
        <v>153</v>
      </c>
      <c r="B98" s="141">
        <v>9</v>
      </c>
      <c r="C98" s="142">
        <v>46080</v>
      </c>
      <c r="D98" s="143" t="s">
        <v>142</v>
      </c>
      <c r="E98" s="354" t="s">
        <v>232</v>
      </c>
      <c r="F98" s="354" t="s">
        <v>267</v>
      </c>
      <c r="G98" s="354" t="s">
        <v>37</v>
      </c>
      <c r="H98" s="145">
        <v>5771962</v>
      </c>
      <c r="I98" s="354" t="s">
        <v>382</v>
      </c>
      <c r="J98" s="1156"/>
      <c r="K98" s="1156">
        <v>1</v>
      </c>
      <c r="L98" s="354">
        <v>5</v>
      </c>
      <c r="M98" s="1156"/>
      <c r="N98" s="1156"/>
      <c r="O98" s="354" t="s">
        <v>29</v>
      </c>
      <c r="P98" s="354" t="s">
        <v>30</v>
      </c>
      <c r="Q98" s="354" t="s">
        <v>252</v>
      </c>
      <c r="R98" s="354" t="s">
        <v>31</v>
      </c>
      <c r="S98" s="354" t="s">
        <v>184</v>
      </c>
      <c r="T98" s="354" t="s">
        <v>185</v>
      </c>
      <c r="U98" s="1156"/>
      <c r="V98" s="1156"/>
      <c r="W98" s="1158"/>
    </row>
    <row r="99" spans="1:23" customFormat="1" ht="16.5" customHeight="1">
      <c r="A99" s="63" t="s">
        <v>153</v>
      </c>
      <c r="B99" s="64">
        <v>9</v>
      </c>
      <c r="C99" s="65">
        <v>46081</v>
      </c>
      <c r="D99" s="66" t="s">
        <v>142</v>
      </c>
      <c r="E99" s="367" t="s">
        <v>232</v>
      </c>
      <c r="F99" s="367" t="s">
        <v>267</v>
      </c>
      <c r="G99" s="367" t="s">
        <v>37</v>
      </c>
      <c r="H99" s="163">
        <v>5771962</v>
      </c>
      <c r="I99" s="367" t="s">
        <v>388</v>
      </c>
      <c r="J99" s="367">
        <v>166</v>
      </c>
      <c r="K99" s="1242">
        <v>1</v>
      </c>
      <c r="L99" s="1242">
        <v>5</v>
      </c>
      <c r="M99" s="1242">
        <v>1</v>
      </c>
      <c r="N99" s="1242" t="s">
        <v>149</v>
      </c>
      <c r="O99" s="1242" t="s">
        <v>65</v>
      </c>
      <c r="P99" s="1242" t="s">
        <v>40</v>
      </c>
      <c r="Q99" s="1242" t="s">
        <v>383</v>
      </c>
      <c r="R99" s="1242" t="s">
        <v>31</v>
      </c>
      <c r="S99" s="1242" t="s">
        <v>184</v>
      </c>
      <c r="T99" s="1242" t="s">
        <v>185</v>
      </c>
      <c r="U99" s="1242"/>
      <c r="V99" s="1242" t="s">
        <v>149</v>
      </c>
      <c r="W99" s="1243">
        <v>1</v>
      </c>
    </row>
    <row r="100" spans="1:23" customFormat="1" ht="16.5" customHeight="1">
      <c r="A100" s="134" t="s">
        <v>153</v>
      </c>
      <c r="B100" s="135">
        <v>9</v>
      </c>
      <c r="C100" s="136">
        <v>46081</v>
      </c>
      <c r="D100" s="137" t="s">
        <v>142</v>
      </c>
      <c r="E100" s="365" t="s">
        <v>232</v>
      </c>
      <c r="F100" s="365" t="s">
        <v>267</v>
      </c>
      <c r="G100" s="365" t="s">
        <v>37</v>
      </c>
      <c r="H100" s="139">
        <v>5771962</v>
      </c>
      <c r="I100" s="365" t="s">
        <v>389</v>
      </c>
      <c r="J100" s="365">
        <v>6</v>
      </c>
      <c r="K100" s="1150"/>
      <c r="L100" s="1150"/>
      <c r="M100" s="1150"/>
      <c r="N100" s="1150"/>
      <c r="O100" s="1150"/>
      <c r="P100" s="1150"/>
      <c r="Q100" s="1150"/>
      <c r="R100" s="1150"/>
      <c r="S100" s="1150"/>
      <c r="T100" s="1150"/>
      <c r="U100" s="1150"/>
      <c r="V100" s="1150"/>
      <c r="W100" s="1151"/>
    </row>
    <row r="101" spans="1:23" customFormat="1" ht="16.5" customHeight="1">
      <c r="A101" s="134" t="s">
        <v>153</v>
      </c>
      <c r="B101" s="135">
        <v>9</v>
      </c>
      <c r="C101" s="136">
        <v>46081</v>
      </c>
      <c r="D101" s="137" t="s">
        <v>142</v>
      </c>
      <c r="E101" s="365" t="s">
        <v>232</v>
      </c>
      <c r="F101" s="365" t="s">
        <v>275</v>
      </c>
      <c r="G101" s="365" t="s">
        <v>37</v>
      </c>
      <c r="H101" s="139">
        <v>5823326</v>
      </c>
      <c r="I101" s="365">
        <v>4523615871</v>
      </c>
      <c r="J101" s="365">
        <v>24</v>
      </c>
      <c r="K101" s="1150"/>
      <c r="L101" s="1150"/>
      <c r="M101" s="1150"/>
      <c r="N101" s="1150"/>
      <c r="O101" s="1150"/>
      <c r="P101" s="1150"/>
      <c r="Q101" s="1150"/>
      <c r="R101" s="1150"/>
      <c r="S101" s="1150"/>
      <c r="T101" s="1150"/>
      <c r="U101" s="1150"/>
      <c r="V101" s="1150"/>
      <c r="W101" s="1151"/>
    </row>
    <row r="102" spans="1:23" customFormat="1" ht="16.5" customHeight="1">
      <c r="A102" s="134" t="s">
        <v>153</v>
      </c>
      <c r="B102" s="135">
        <v>9</v>
      </c>
      <c r="C102" s="136">
        <v>46081</v>
      </c>
      <c r="D102" s="137" t="s">
        <v>142</v>
      </c>
      <c r="E102" s="365" t="s">
        <v>232</v>
      </c>
      <c r="F102" s="365" t="s">
        <v>275</v>
      </c>
      <c r="G102" s="365" t="s">
        <v>37</v>
      </c>
      <c r="H102" s="139">
        <v>5823326</v>
      </c>
      <c r="I102" s="365">
        <v>4523452099</v>
      </c>
      <c r="J102" s="365">
        <v>17</v>
      </c>
      <c r="K102" s="1150"/>
      <c r="L102" s="1150"/>
      <c r="M102" s="1150"/>
      <c r="N102" s="1150"/>
      <c r="O102" s="1150"/>
      <c r="P102" s="1150"/>
      <c r="Q102" s="1150"/>
      <c r="R102" s="1150"/>
      <c r="S102" s="1150"/>
      <c r="T102" s="1150"/>
      <c r="U102" s="1150"/>
      <c r="V102" s="1150"/>
      <c r="W102" s="1151"/>
    </row>
    <row r="103" spans="1:23" customFormat="1" ht="16.5" customHeight="1">
      <c r="A103" s="134" t="s">
        <v>153</v>
      </c>
      <c r="B103" s="135">
        <v>9</v>
      </c>
      <c r="C103" s="136">
        <v>46081</v>
      </c>
      <c r="D103" s="137" t="s">
        <v>142</v>
      </c>
      <c r="E103" s="365" t="s">
        <v>232</v>
      </c>
      <c r="F103" s="365" t="s">
        <v>272</v>
      </c>
      <c r="G103" s="365" t="s">
        <v>37</v>
      </c>
      <c r="H103" s="139">
        <v>5823327</v>
      </c>
      <c r="I103" s="365">
        <v>4523639995</v>
      </c>
      <c r="J103" s="365">
        <v>18</v>
      </c>
      <c r="K103" s="1165"/>
      <c r="L103" s="1165"/>
      <c r="M103" s="1165"/>
      <c r="N103" s="1165"/>
      <c r="O103" s="1165"/>
      <c r="P103" s="1165"/>
      <c r="Q103" s="1165"/>
      <c r="R103" s="1165"/>
      <c r="S103" s="1165"/>
      <c r="T103" s="1165"/>
      <c r="U103" s="1165"/>
      <c r="V103" s="1165"/>
      <c r="W103" s="1167"/>
    </row>
    <row r="104" spans="1:23" customFormat="1" ht="16.5" customHeight="1">
      <c r="A104" s="134" t="s">
        <v>153</v>
      </c>
      <c r="B104" s="135">
        <v>9</v>
      </c>
      <c r="C104" s="136">
        <v>46081</v>
      </c>
      <c r="D104" s="137" t="s">
        <v>142</v>
      </c>
      <c r="E104" s="365" t="s">
        <v>387</v>
      </c>
      <c r="F104" s="365" t="s">
        <v>282</v>
      </c>
      <c r="G104" s="365" t="s">
        <v>28</v>
      </c>
      <c r="H104" s="139">
        <v>5535141</v>
      </c>
      <c r="I104" s="365" t="s">
        <v>390</v>
      </c>
      <c r="J104" s="365">
        <v>112</v>
      </c>
      <c r="K104" s="1143">
        <v>1</v>
      </c>
      <c r="L104" s="365">
        <v>5</v>
      </c>
      <c r="M104" s="1143">
        <v>1</v>
      </c>
      <c r="N104" s="1143" t="s">
        <v>149</v>
      </c>
      <c r="O104" s="365" t="s">
        <v>39</v>
      </c>
      <c r="P104" s="365" t="s">
        <v>40</v>
      </c>
      <c r="Q104" s="365" t="s">
        <v>316</v>
      </c>
      <c r="R104" s="365" t="s">
        <v>31</v>
      </c>
      <c r="S104" s="365" t="s">
        <v>184</v>
      </c>
      <c r="T104" s="365" t="s">
        <v>185</v>
      </c>
      <c r="U104" s="1143"/>
      <c r="V104" s="1143" t="s">
        <v>149</v>
      </c>
      <c r="W104" s="1145">
        <v>1</v>
      </c>
    </row>
    <row r="105" spans="1:23" customFormat="1" ht="16.5" customHeight="1" thickBot="1">
      <c r="A105" s="116" t="s">
        <v>153</v>
      </c>
      <c r="B105" s="141">
        <v>9</v>
      </c>
      <c r="C105" s="142">
        <v>46081</v>
      </c>
      <c r="D105" s="143" t="s">
        <v>142</v>
      </c>
      <c r="E105" s="366" t="s">
        <v>387</v>
      </c>
      <c r="F105" s="366" t="s">
        <v>282</v>
      </c>
      <c r="G105" s="366" t="s">
        <v>32</v>
      </c>
      <c r="H105" s="145">
        <v>5535140</v>
      </c>
      <c r="I105" s="366" t="s">
        <v>391</v>
      </c>
      <c r="J105" s="366">
        <v>88</v>
      </c>
      <c r="K105" s="1156"/>
      <c r="L105" s="366">
        <v>5</v>
      </c>
      <c r="M105" s="1156"/>
      <c r="N105" s="1156"/>
      <c r="O105" s="366" t="s">
        <v>29</v>
      </c>
      <c r="P105" s="366" t="s">
        <v>30</v>
      </c>
      <c r="Q105" s="366" t="s">
        <v>300</v>
      </c>
      <c r="R105" s="366" t="s">
        <v>31</v>
      </c>
      <c r="S105" s="366" t="s">
        <v>301</v>
      </c>
      <c r="T105" s="366" t="s">
        <v>185</v>
      </c>
      <c r="U105" s="1156"/>
      <c r="V105" s="1156"/>
      <c r="W105" s="1158"/>
    </row>
    <row r="106" spans="1:23" customFormat="1" ht="16.5" customHeight="1">
      <c r="A106" s="63" t="s">
        <v>155</v>
      </c>
      <c r="B106" s="64">
        <v>10</v>
      </c>
      <c r="C106" s="65">
        <v>46083</v>
      </c>
      <c r="D106" s="66" t="s">
        <v>142</v>
      </c>
      <c r="E106" s="367" t="s">
        <v>387</v>
      </c>
      <c r="F106" s="367" t="s">
        <v>282</v>
      </c>
      <c r="G106" s="367" t="s">
        <v>32</v>
      </c>
      <c r="H106" s="163">
        <v>5535140</v>
      </c>
      <c r="I106" s="364" t="s">
        <v>392</v>
      </c>
      <c r="J106" s="367">
        <v>90</v>
      </c>
      <c r="K106" s="1142">
        <v>1</v>
      </c>
      <c r="L106" s="1142">
        <v>5</v>
      </c>
      <c r="M106" s="1142">
        <v>1</v>
      </c>
      <c r="N106" s="1142" t="s">
        <v>149</v>
      </c>
      <c r="O106" s="1142" t="s">
        <v>29</v>
      </c>
      <c r="P106" s="1142" t="s">
        <v>30</v>
      </c>
      <c r="Q106" s="1142" t="s">
        <v>395</v>
      </c>
      <c r="R106" s="1142" t="s">
        <v>31</v>
      </c>
      <c r="S106" s="1142" t="s">
        <v>301</v>
      </c>
      <c r="T106" s="1142" t="s">
        <v>185</v>
      </c>
      <c r="U106" s="1142"/>
      <c r="V106" s="1142" t="s">
        <v>149</v>
      </c>
      <c r="W106" s="1153">
        <v>1</v>
      </c>
    </row>
    <row r="107" spans="1:23" customFormat="1" ht="16.5" customHeight="1">
      <c r="A107" s="134" t="s">
        <v>155</v>
      </c>
      <c r="B107" s="135">
        <v>10</v>
      </c>
      <c r="C107" s="136">
        <v>46083</v>
      </c>
      <c r="D107" s="137" t="s">
        <v>142</v>
      </c>
      <c r="E107" s="365" t="s">
        <v>387</v>
      </c>
      <c r="F107" s="365" t="s">
        <v>282</v>
      </c>
      <c r="G107" s="365" t="s">
        <v>32</v>
      </c>
      <c r="H107" s="139">
        <v>5535140</v>
      </c>
      <c r="I107" s="365" t="s">
        <v>393</v>
      </c>
      <c r="J107" s="365">
        <v>24</v>
      </c>
      <c r="K107" s="1143"/>
      <c r="L107" s="1143"/>
      <c r="M107" s="1143"/>
      <c r="N107" s="1143"/>
      <c r="O107" s="1143"/>
      <c r="P107" s="1143"/>
      <c r="Q107" s="1143"/>
      <c r="R107" s="1143"/>
      <c r="S107" s="1143"/>
      <c r="T107" s="1143"/>
      <c r="U107" s="1143"/>
      <c r="V107" s="1143"/>
      <c r="W107" s="1145"/>
    </row>
    <row r="108" spans="1:23" customFormat="1" ht="16.5" customHeight="1">
      <c r="A108" s="134" t="s">
        <v>155</v>
      </c>
      <c r="B108" s="135">
        <v>10</v>
      </c>
      <c r="C108" s="136">
        <v>46083</v>
      </c>
      <c r="D108" s="137" t="s">
        <v>142</v>
      </c>
      <c r="E108" s="365" t="s">
        <v>265</v>
      </c>
      <c r="F108" s="365" t="s">
        <v>270</v>
      </c>
      <c r="G108" s="365" t="s">
        <v>37</v>
      </c>
      <c r="H108" s="139">
        <v>5447763</v>
      </c>
      <c r="I108" s="365" t="s">
        <v>384</v>
      </c>
      <c r="J108" s="365">
        <v>165</v>
      </c>
      <c r="K108" s="1143">
        <v>1</v>
      </c>
      <c r="L108" s="1143"/>
      <c r="M108" s="1143">
        <v>0</v>
      </c>
      <c r="N108" s="1143" t="s">
        <v>149</v>
      </c>
      <c r="O108" s="1143"/>
      <c r="P108" s="1143"/>
      <c r="Q108" s="1143"/>
      <c r="R108" s="1143"/>
      <c r="S108" s="1143"/>
      <c r="T108" s="1143"/>
      <c r="U108" s="1143"/>
      <c r="V108" s="1143"/>
      <c r="W108" s="1145"/>
    </row>
    <row r="109" spans="1:23" customFormat="1" ht="16.5" customHeight="1" thickBot="1">
      <c r="A109" s="116" t="s">
        <v>155</v>
      </c>
      <c r="B109" s="141">
        <v>10</v>
      </c>
      <c r="C109" s="142">
        <v>46083</v>
      </c>
      <c r="D109" s="143" t="s">
        <v>142</v>
      </c>
      <c r="E109" s="366" t="s">
        <v>265</v>
      </c>
      <c r="F109" s="366" t="s">
        <v>271</v>
      </c>
      <c r="G109" s="366" t="s">
        <v>37</v>
      </c>
      <c r="H109" s="145">
        <v>5447762</v>
      </c>
      <c r="I109" s="366" t="s">
        <v>385</v>
      </c>
      <c r="J109" s="366">
        <v>20</v>
      </c>
      <c r="K109" s="1156"/>
      <c r="L109" s="1156"/>
      <c r="M109" s="1156"/>
      <c r="N109" s="1156"/>
      <c r="O109" s="1156"/>
      <c r="P109" s="1156"/>
      <c r="Q109" s="1156"/>
      <c r="R109" s="1156"/>
      <c r="S109" s="1156"/>
      <c r="T109" s="1156"/>
      <c r="U109" s="1156"/>
      <c r="V109" s="1156"/>
      <c r="W109" s="1158"/>
    </row>
    <row r="110" spans="1:23" customFormat="1" ht="16.5" customHeight="1">
      <c r="A110" s="63" t="s">
        <v>155</v>
      </c>
      <c r="B110" s="64">
        <v>10</v>
      </c>
      <c r="C110" s="65">
        <v>46084</v>
      </c>
      <c r="D110" s="66" t="s">
        <v>142</v>
      </c>
      <c r="E110" s="369" t="s">
        <v>265</v>
      </c>
      <c r="F110" s="369" t="s">
        <v>271</v>
      </c>
      <c r="G110" s="369" t="s">
        <v>37</v>
      </c>
      <c r="H110" s="163">
        <v>5447762</v>
      </c>
      <c r="I110" s="369" t="s">
        <v>385</v>
      </c>
      <c r="J110" s="369">
        <v>180</v>
      </c>
      <c r="K110" s="1142">
        <v>1</v>
      </c>
      <c r="L110" s="1142">
        <v>5</v>
      </c>
      <c r="M110" s="1142">
        <v>1</v>
      </c>
      <c r="N110" s="1142" t="s">
        <v>149</v>
      </c>
      <c r="O110" s="1142" t="s">
        <v>29</v>
      </c>
      <c r="P110" s="1142" t="s">
        <v>30</v>
      </c>
      <c r="Q110" s="1142" t="s">
        <v>323</v>
      </c>
      <c r="R110" s="1142" t="s">
        <v>31</v>
      </c>
      <c r="S110" s="1142" t="s">
        <v>184</v>
      </c>
      <c r="T110" s="1142" t="s">
        <v>185</v>
      </c>
      <c r="U110" s="1142"/>
      <c r="V110" s="1142" t="s">
        <v>149</v>
      </c>
      <c r="W110" s="1153">
        <v>1</v>
      </c>
    </row>
    <row r="111" spans="1:23" customFormat="1" ht="16.5" customHeight="1" thickBot="1">
      <c r="A111" s="116" t="s">
        <v>155</v>
      </c>
      <c r="B111" s="141">
        <v>10</v>
      </c>
      <c r="C111" s="142">
        <v>46084</v>
      </c>
      <c r="D111" s="143" t="s">
        <v>142</v>
      </c>
      <c r="E111" s="368" t="s">
        <v>265</v>
      </c>
      <c r="F111" s="368" t="s">
        <v>271</v>
      </c>
      <c r="G111" s="368" t="s">
        <v>37</v>
      </c>
      <c r="H111" s="145">
        <v>5447762</v>
      </c>
      <c r="I111" s="368" t="s">
        <v>396</v>
      </c>
      <c r="J111" s="368">
        <v>200</v>
      </c>
      <c r="K111" s="1156"/>
      <c r="L111" s="1156"/>
      <c r="M111" s="1156"/>
      <c r="N111" s="1156"/>
      <c r="O111" s="1156"/>
      <c r="P111" s="1156"/>
      <c r="Q111" s="1156"/>
      <c r="R111" s="1156"/>
      <c r="S111" s="1156"/>
      <c r="T111" s="1156"/>
      <c r="U111" s="1156"/>
      <c r="V111" s="1156"/>
      <c r="W111" s="1158"/>
    </row>
    <row r="112" spans="1:23" customFormat="1" ht="16.5" customHeight="1">
      <c r="A112" s="63" t="s">
        <v>155</v>
      </c>
      <c r="B112" s="64">
        <v>10</v>
      </c>
      <c r="C112" s="65">
        <v>46085</v>
      </c>
      <c r="D112" s="66" t="s">
        <v>142</v>
      </c>
      <c r="E112" s="372" t="s">
        <v>232</v>
      </c>
      <c r="F112" s="372" t="s">
        <v>267</v>
      </c>
      <c r="G112" s="372" t="s">
        <v>37</v>
      </c>
      <c r="H112" s="163">
        <v>5771962</v>
      </c>
      <c r="I112" s="372" t="s">
        <v>397</v>
      </c>
      <c r="J112" s="372">
        <v>200</v>
      </c>
      <c r="K112" s="1249">
        <v>1</v>
      </c>
      <c r="L112" s="1249">
        <v>5</v>
      </c>
      <c r="M112" s="1249">
        <v>1</v>
      </c>
      <c r="N112" s="1249" t="s">
        <v>149</v>
      </c>
      <c r="O112" s="1249" t="s">
        <v>39</v>
      </c>
      <c r="P112" s="1249" t="s">
        <v>40</v>
      </c>
      <c r="Q112" s="1249" t="s">
        <v>399</v>
      </c>
      <c r="R112" s="1249" t="s">
        <v>31</v>
      </c>
      <c r="S112" s="1249" t="s">
        <v>184</v>
      </c>
      <c r="T112" s="1249" t="s">
        <v>185</v>
      </c>
      <c r="U112" s="1249"/>
      <c r="V112" s="1249" t="s">
        <v>149</v>
      </c>
      <c r="W112" s="1250">
        <v>1</v>
      </c>
    </row>
    <row r="113" spans="1:23" customFormat="1" ht="16.5" customHeight="1">
      <c r="A113" s="134" t="s">
        <v>155</v>
      </c>
      <c r="B113" s="135">
        <v>10</v>
      </c>
      <c r="C113" s="136">
        <v>46085</v>
      </c>
      <c r="D113" s="137" t="s">
        <v>142</v>
      </c>
      <c r="E113" s="370" t="s">
        <v>232</v>
      </c>
      <c r="F113" s="370" t="s">
        <v>267</v>
      </c>
      <c r="G113" s="370" t="s">
        <v>37</v>
      </c>
      <c r="H113" s="139">
        <v>5771962</v>
      </c>
      <c r="I113" s="370" t="s">
        <v>398</v>
      </c>
      <c r="J113" s="370">
        <v>200</v>
      </c>
      <c r="K113" s="1150"/>
      <c r="L113" s="1150"/>
      <c r="M113" s="1150"/>
      <c r="N113" s="1150"/>
      <c r="O113" s="1150"/>
      <c r="P113" s="1150"/>
      <c r="Q113" s="1150"/>
      <c r="R113" s="1150"/>
      <c r="S113" s="1150"/>
      <c r="T113" s="1150"/>
      <c r="U113" s="1150"/>
      <c r="V113" s="1150"/>
      <c r="W113" s="1151"/>
    </row>
    <row r="114" spans="1:23" customFormat="1" ht="16.5" customHeight="1">
      <c r="A114" s="134" t="s">
        <v>155</v>
      </c>
      <c r="B114" s="135">
        <v>10</v>
      </c>
      <c r="C114" s="136">
        <v>46085</v>
      </c>
      <c r="D114" s="137" t="s">
        <v>142</v>
      </c>
      <c r="E114" s="370" t="s">
        <v>232</v>
      </c>
      <c r="F114" s="370" t="s">
        <v>275</v>
      </c>
      <c r="G114" s="370" t="s">
        <v>37</v>
      </c>
      <c r="H114" s="139">
        <v>5823326</v>
      </c>
      <c r="I114" s="370">
        <v>4523647338</v>
      </c>
      <c r="J114" s="370">
        <v>9</v>
      </c>
      <c r="K114" s="1150"/>
      <c r="L114" s="1150"/>
      <c r="M114" s="1150"/>
      <c r="N114" s="1150"/>
      <c r="O114" s="1150"/>
      <c r="P114" s="1150"/>
      <c r="Q114" s="1150"/>
      <c r="R114" s="1150"/>
      <c r="S114" s="1150"/>
      <c r="T114" s="1150"/>
      <c r="U114" s="1150"/>
      <c r="V114" s="1150"/>
      <c r="W114" s="1151"/>
    </row>
    <row r="115" spans="1:23" customFormat="1" ht="16.5" customHeight="1">
      <c r="A115" s="134" t="s">
        <v>155</v>
      </c>
      <c r="B115" s="135">
        <v>10</v>
      </c>
      <c r="C115" s="136">
        <v>46085</v>
      </c>
      <c r="D115" s="137" t="s">
        <v>142</v>
      </c>
      <c r="E115" s="370" t="s">
        <v>232</v>
      </c>
      <c r="F115" s="370" t="s">
        <v>275</v>
      </c>
      <c r="G115" s="370" t="s">
        <v>37</v>
      </c>
      <c r="H115" s="139">
        <v>5823326</v>
      </c>
      <c r="I115" s="370">
        <v>4523409998</v>
      </c>
      <c r="J115" s="370">
        <v>18</v>
      </c>
      <c r="K115" s="1150"/>
      <c r="L115" s="1150"/>
      <c r="M115" s="1150"/>
      <c r="N115" s="1150"/>
      <c r="O115" s="1150"/>
      <c r="P115" s="1150"/>
      <c r="Q115" s="1150"/>
      <c r="R115" s="1150"/>
      <c r="S115" s="1150"/>
      <c r="T115" s="1150"/>
      <c r="U115" s="1150"/>
      <c r="V115" s="1150"/>
      <c r="W115" s="1151"/>
    </row>
    <row r="116" spans="1:23" customFormat="1" ht="16.5" customHeight="1" thickBot="1">
      <c r="A116" s="116" t="s">
        <v>155</v>
      </c>
      <c r="B116" s="141">
        <v>10</v>
      </c>
      <c r="C116" s="142">
        <v>46085</v>
      </c>
      <c r="D116" s="143" t="s">
        <v>142</v>
      </c>
      <c r="E116" s="371" t="s">
        <v>232</v>
      </c>
      <c r="F116" s="371" t="s">
        <v>272</v>
      </c>
      <c r="G116" s="371" t="s">
        <v>37</v>
      </c>
      <c r="H116" s="145">
        <v>5823327</v>
      </c>
      <c r="I116" s="371">
        <v>4523677540</v>
      </c>
      <c r="J116" s="371">
        <v>18</v>
      </c>
      <c r="K116" s="1147"/>
      <c r="L116" s="1147"/>
      <c r="M116" s="1147"/>
      <c r="N116" s="1147"/>
      <c r="O116" s="1147"/>
      <c r="P116" s="1147"/>
      <c r="Q116" s="1147"/>
      <c r="R116" s="1147"/>
      <c r="S116" s="1147"/>
      <c r="T116" s="1147"/>
      <c r="U116" s="1147"/>
      <c r="V116" s="1147"/>
      <c r="W116" s="1149"/>
    </row>
    <row r="117" spans="1:23" customFormat="1" ht="16.5" customHeight="1">
      <c r="A117" s="63" t="s">
        <v>155</v>
      </c>
      <c r="B117" s="64">
        <v>10</v>
      </c>
      <c r="C117" s="65">
        <v>46086</v>
      </c>
      <c r="D117" s="66" t="s">
        <v>142</v>
      </c>
      <c r="E117" s="374" t="s">
        <v>387</v>
      </c>
      <c r="F117" s="374" t="s">
        <v>282</v>
      </c>
      <c r="G117" s="374" t="s">
        <v>36</v>
      </c>
      <c r="H117" s="163">
        <v>5535142</v>
      </c>
      <c r="I117" s="374" t="s">
        <v>400</v>
      </c>
      <c r="J117" s="374">
        <v>8</v>
      </c>
      <c r="K117" s="1285">
        <v>1</v>
      </c>
      <c r="L117" s="1285">
        <v>5</v>
      </c>
      <c r="M117" s="1285">
        <v>1</v>
      </c>
      <c r="N117" s="1285" t="s">
        <v>149</v>
      </c>
      <c r="O117" s="1285" t="s">
        <v>29</v>
      </c>
      <c r="P117" s="1285" t="s">
        <v>30</v>
      </c>
      <c r="Q117" s="1285" t="s">
        <v>300</v>
      </c>
      <c r="R117" s="1285" t="s">
        <v>31</v>
      </c>
      <c r="S117" s="1285" t="s">
        <v>301</v>
      </c>
      <c r="T117" s="1285" t="s">
        <v>185</v>
      </c>
      <c r="U117" s="1285"/>
      <c r="V117" s="1285" t="s">
        <v>149</v>
      </c>
      <c r="W117" s="1286">
        <v>1</v>
      </c>
    </row>
    <row r="118" spans="1:23" customFormat="1" ht="16.5" customHeight="1">
      <c r="A118" s="134" t="s">
        <v>155</v>
      </c>
      <c r="B118" s="135">
        <v>10</v>
      </c>
      <c r="C118" s="136">
        <v>46086</v>
      </c>
      <c r="D118" s="137" t="s">
        <v>142</v>
      </c>
      <c r="E118" s="373" t="s">
        <v>387</v>
      </c>
      <c r="F118" s="373" t="s">
        <v>282</v>
      </c>
      <c r="G118" s="373" t="s">
        <v>36</v>
      </c>
      <c r="H118" s="139">
        <v>5535142</v>
      </c>
      <c r="I118" s="373" t="s">
        <v>401</v>
      </c>
      <c r="J118" s="373">
        <v>12</v>
      </c>
      <c r="K118" s="1150"/>
      <c r="L118" s="1150"/>
      <c r="M118" s="1150"/>
      <c r="N118" s="1150"/>
      <c r="O118" s="1150"/>
      <c r="P118" s="1150"/>
      <c r="Q118" s="1150"/>
      <c r="R118" s="1150"/>
      <c r="S118" s="1150"/>
      <c r="T118" s="1150"/>
      <c r="U118" s="1150"/>
      <c r="V118" s="1150"/>
      <c r="W118" s="1151"/>
    </row>
    <row r="119" spans="1:23" customFormat="1" ht="16.5" customHeight="1">
      <c r="A119" s="134" t="s">
        <v>155</v>
      </c>
      <c r="B119" s="135">
        <v>10</v>
      </c>
      <c r="C119" s="136">
        <v>46086</v>
      </c>
      <c r="D119" s="137" t="s">
        <v>142</v>
      </c>
      <c r="E119" s="373" t="s">
        <v>387</v>
      </c>
      <c r="F119" s="373" t="s">
        <v>282</v>
      </c>
      <c r="G119" s="373" t="s">
        <v>36</v>
      </c>
      <c r="H119" s="139">
        <v>5535142</v>
      </c>
      <c r="I119" s="373" t="s">
        <v>402</v>
      </c>
      <c r="J119" s="373">
        <v>20</v>
      </c>
      <c r="K119" s="1150"/>
      <c r="L119" s="1150"/>
      <c r="M119" s="1150"/>
      <c r="N119" s="1150"/>
      <c r="O119" s="1150"/>
      <c r="P119" s="1150"/>
      <c r="Q119" s="1150"/>
      <c r="R119" s="1150"/>
      <c r="S119" s="1150"/>
      <c r="T119" s="1150"/>
      <c r="U119" s="1150"/>
      <c r="V119" s="1150"/>
      <c r="W119" s="1151"/>
    </row>
    <row r="120" spans="1:23" customFormat="1" ht="16.5" customHeight="1">
      <c r="A120" s="134" t="s">
        <v>155</v>
      </c>
      <c r="B120" s="135">
        <v>10</v>
      </c>
      <c r="C120" s="136">
        <v>46086</v>
      </c>
      <c r="D120" s="137" t="s">
        <v>142</v>
      </c>
      <c r="E120" s="373" t="s">
        <v>387</v>
      </c>
      <c r="F120" s="373" t="s">
        <v>282</v>
      </c>
      <c r="G120" s="373" t="s">
        <v>28</v>
      </c>
      <c r="H120" s="139">
        <v>5535141</v>
      </c>
      <c r="I120" s="373" t="s">
        <v>403</v>
      </c>
      <c r="J120" s="373">
        <v>78</v>
      </c>
      <c r="K120" s="1150"/>
      <c r="L120" s="1150"/>
      <c r="M120" s="1150"/>
      <c r="N120" s="1150"/>
      <c r="O120" s="1150"/>
      <c r="P120" s="1150"/>
      <c r="Q120" s="1150"/>
      <c r="R120" s="1150"/>
      <c r="S120" s="1150"/>
      <c r="T120" s="1150"/>
      <c r="U120" s="1150"/>
      <c r="V120" s="1150"/>
      <c r="W120" s="1151"/>
    </row>
    <row r="121" spans="1:23" customFormat="1" ht="16.5" customHeight="1">
      <c r="A121" s="134" t="s">
        <v>155</v>
      </c>
      <c r="B121" s="135">
        <v>10</v>
      </c>
      <c r="C121" s="136">
        <v>46086</v>
      </c>
      <c r="D121" s="137" t="s">
        <v>142</v>
      </c>
      <c r="E121" s="373" t="s">
        <v>387</v>
      </c>
      <c r="F121" s="373" t="s">
        <v>282</v>
      </c>
      <c r="G121" s="373" t="s">
        <v>28</v>
      </c>
      <c r="H121" s="139">
        <v>5535141</v>
      </c>
      <c r="I121" s="373" t="s">
        <v>404</v>
      </c>
      <c r="J121" s="373">
        <v>32</v>
      </c>
      <c r="K121" s="1150"/>
      <c r="L121" s="1150"/>
      <c r="M121" s="1150"/>
      <c r="N121" s="1150"/>
      <c r="O121" s="1150"/>
      <c r="P121" s="1150"/>
      <c r="Q121" s="1150"/>
      <c r="R121" s="1150"/>
      <c r="S121" s="1150"/>
      <c r="T121" s="1150"/>
      <c r="U121" s="1150"/>
      <c r="V121" s="1150"/>
      <c r="W121" s="1151"/>
    </row>
    <row r="122" spans="1:23" customFormat="1" ht="16.5" customHeight="1">
      <c r="A122" s="134" t="s">
        <v>155</v>
      </c>
      <c r="B122" s="135">
        <v>10</v>
      </c>
      <c r="C122" s="136">
        <v>46086</v>
      </c>
      <c r="D122" s="137" t="s">
        <v>142</v>
      </c>
      <c r="E122" s="373" t="s">
        <v>387</v>
      </c>
      <c r="F122" s="373" t="s">
        <v>283</v>
      </c>
      <c r="G122" s="373" t="s">
        <v>36</v>
      </c>
      <c r="H122" s="139">
        <v>5535146</v>
      </c>
      <c r="I122" s="373" t="s">
        <v>405</v>
      </c>
      <c r="J122" s="373">
        <v>32</v>
      </c>
      <c r="K122" s="1150"/>
      <c r="L122" s="1150"/>
      <c r="M122" s="1150"/>
      <c r="N122" s="1150"/>
      <c r="O122" s="1150"/>
      <c r="P122" s="1150"/>
      <c r="Q122" s="1150"/>
      <c r="R122" s="1150"/>
      <c r="S122" s="1150"/>
      <c r="T122" s="1150"/>
      <c r="U122" s="1150"/>
      <c r="V122" s="1150"/>
      <c r="W122" s="1151"/>
    </row>
    <row r="123" spans="1:23" customFormat="1" ht="16.5" customHeight="1">
      <c r="A123" s="134" t="s">
        <v>155</v>
      </c>
      <c r="B123" s="135">
        <v>10</v>
      </c>
      <c r="C123" s="136">
        <v>46086</v>
      </c>
      <c r="D123" s="137" t="s">
        <v>142</v>
      </c>
      <c r="E123" s="373" t="s">
        <v>387</v>
      </c>
      <c r="F123" s="373" t="s">
        <v>283</v>
      </c>
      <c r="G123" s="373" t="s">
        <v>28</v>
      </c>
      <c r="H123" s="139">
        <v>5535145</v>
      </c>
      <c r="I123" s="373" t="s">
        <v>406</v>
      </c>
      <c r="J123" s="373">
        <v>56</v>
      </c>
      <c r="K123" s="1150"/>
      <c r="L123" s="1150"/>
      <c r="M123" s="1150"/>
      <c r="N123" s="1150"/>
      <c r="O123" s="1150"/>
      <c r="P123" s="1150"/>
      <c r="Q123" s="1150"/>
      <c r="R123" s="1150"/>
      <c r="S123" s="1150"/>
      <c r="T123" s="1150"/>
      <c r="U123" s="1150"/>
      <c r="V123" s="1150"/>
      <c r="W123" s="1151"/>
    </row>
    <row r="124" spans="1:23" customFormat="1" ht="16.5" customHeight="1" thickBot="1">
      <c r="A124" s="389" t="s">
        <v>155</v>
      </c>
      <c r="B124" s="390">
        <v>10</v>
      </c>
      <c r="C124" s="391">
        <v>46086</v>
      </c>
      <c r="D124" s="392" t="s">
        <v>142</v>
      </c>
      <c r="E124" s="393" t="s">
        <v>387</v>
      </c>
      <c r="F124" s="393" t="s">
        <v>283</v>
      </c>
      <c r="G124" s="393" t="s">
        <v>32</v>
      </c>
      <c r="H124" s="394">
        <v>5535144</v>
      </c>
      <c r="I124" s="393" t="s">
        <v>407</v>
      </c>
      <c r="J124" s="393">
        <v>170</v>
      </c>
      <c r="K124" s="1150"/>
      <c r="L124" s="1150"/>
      <c r="M124" s="1150"/>
      <c r="N124" s="1150"/>
      <c r="O124" s="1150"/>
      <c r="P124" s="1150"/>
      <c r="Q124" s="1150"/>
      <c r="R124" s="1150"/>
      <c r="S124" s="1150"/>
      <c r="T124" s="1150"/>
      <c r="U124" s="1150"/>
      <c r="V124" s="1150"/>
      <c r="W124" s="1151"/>
    </row>
    <row r="125" spans="1:23" customFormat="1" ht="16.5" customHeight="1">
      <c r="A125" s="63" t="s">
        <v>155</v>
      </c>
      <c r="B125" s="64">
        <v>10</v>
      </c>
      <c r="C125" s="65">
        <v>46087</v>
      </c>
      <c r="D125" s="66" t="s">
        <v>142</v>
      </c>
      <c r="E125" s="381" t="s">
        <v>387</v>
      </c>
      <c r="F125" s="381" t="s">
        <v>283</v>
      </c>
      <c r="G125" s="381" t="s">
        <v>32</v>
      </c>
      <c r="H125" s="163">
        <v>5535144</v>
      </c>
      <c r="I125" s="381" t="s">
        <v>407</v>
      </c>
      <c r="J125" s="381">
        <v>230</v>
      </c>
      <c r="K125" s="1142">
        <v>1</v>
      </c>
      <c r="L125" s="1142"/>
      <c r="M125" s="1142">
        <v>0</v>
      </c>
      <c r="N125" s="1142" t="s">
        <v>149</v>
      </c>
      <c r="O125" s="1142"/>
      <c r="P125" s="1142"/>
      <c r="Q125" s="1142"/>
      <c r="R125" s="1142"/>
      <c r="S125" s="1142"/>
      <c r="T125" s="1142"/>
      <c r="U125" s="1142"/>
      <c r="V125" s="1142"/>
      <c r="W125" s="1153"/>
    </row>
    <row r="126" spans="1:23" customFormat="1" ht="16.5" customHeight="1">
      <c r="A126" s="134" t="s">
        <v>155</v>
      </c>
      <c r="B126" s="135">
        <v>10</v>
      </c>
      <c r="C126" s="136">
        <v>46087</v>
      </c>
      <c r="D126" s="137" t="s">
        <v>142</v>
      </c>
      <c r="E126" s="378" t="s">
        <v>387</v>
      </c>
      <c r="F126" s="378" t="s">
        <v>283</v>
      </c>
      <c r="G126" s="378" t="s">
        <v>28</v>
      </c>
      <c r="H126" s="139">
        <v>5535145</v>
      </c>
      <c r="I126" s="378" t="s">
        <v>408</v>
      </c>
      <c r="J126" s="378">
        <v>8</v>
      </c>
      <c r="K126" s="1143"/>
      <c r="L126" s="1143"/>
      <c r="M126" s="1143"/>
      <c r="N126" s="1143"/>
      <c r="O126" s="1143"/>
      <c r="P126" s="1143"/>
      <c r="Q126" s="1143"/>
      <c r="R126" s="1143"/>
      <c r="S126" s="1143"/>
      <c r="T126" s="1143"/>
      <c r="U126" s="1143"/>
      <c r="V126" s="1143"/>
      <c r="W126" s="1145"/>
    </row>
    <row r="127" spans="1:23" customFormat="1" ht="16.5" customHeight="1">
      <c r="A127" s="134" t="s">
        <v>155</v>
      </c>
      <c r="B127" s="135">
        <v>10</v>
      </c>
      <c r="C127" s="136">
        <v>46087</v>
      </c>
      <c r="D127" s="137" t="s">
        <v>142</v>
      </c>
      <c r="E127" s="378" t="s">
        <v>387</v>
      </c>
      <c r="F127" s="378" t="s">
        <v>283</v>
      </c>
      <c r="G127" s="378" t="s">
        <v>32</v>
      </c>
      <c r="H127" s="139">
        <v>5535144</v>
      </c>
      <c r="I127" s="378" t="s">
        <v>409</v>
      </c>
      <c r="J127" s="378">
        <v>96</v>
      </c>
      <c r="K127" s="1143"/>
      <c r="L127" s="1143"/>
      <c r="M127" s="1143"/>
      <c r="N127" s="1143"/>
      <c r="O127" s="1143"/>
      <c r="P127" s="1143"/>
      <c r="Q127" s="1143"/>
      <c r="R127" s="1143"/>
      <c r="S127" s="1143"/>
      <c r="T127" s="1143"/>
      <c r="U127" s="1143"/>
      <c r="V127" s="1143"/>
      <c r="W127" s="1145"/>
    </row>
    <row r="128" spans="1:23" s="27" customFormat="1" ht="16.5" customHeight="1">
      <c r="A128" s="134" t="s">
        <v>155</v>
      </c>
      <c r="B128" s="135">
        <v>10</v>
      </c>
      <c r="C128" s="136">
        <v>46087</v>
      </c>
      <c r="D128" s="137" t="s">
        <v>143</v>
      </c>
      <c r="E128" s="378" t="s">
        <v>157</v>
      </c>
      <c r="F128" s="378" t="s">
        <v>158</v>
      </c>
      <c r="G128" s="378" t="s">
        <v>28</v>
      </c>
      <c r="H128" s="139">
        <v>4248138</v>
      </c>
      <c r="I128" s="378">
        <v>4523761329</v>
      </c>
      <c r="J128" s="378">
        <v>16</v>
      </c>
      <c r="K128" s="378">
        <v>1</v>
      </c>
      <c r="L128" s="378">
        <v>5</v>
      </c>
      <c r="M128" s="378">
        <v>1</v>
      </c>
      <c r="N128" s="378" t="s">
        <v>149</v>
      </c>
      <c r="O128" s="378" t="s">
        <v>29</v>
      </c>
      <c r="P128" s="378" t="s">
        <v>30</v>
      </c>
      <c r="Q128" s="378" t="s">
        <v>300</v>
      </c>
      <c r="R128" s="378" t="s">
        <v>31</v>
      </c>
      <c r="S128" s="378" t="s">
        <v>184</v>
      </c>
      <c r="T128" s="378" t="s">
        <v>185</v>
      </c>
      <c r="U128" s="378"/>
      <c r="V128" s="378" t="s">
        <v>149</v>
      </c>
      <c r="W128" s="380">
        <v>1</v>
      </c>
    </row>
    <row r="129" spans="1:23" customFormat="1" ht="16.5" customHeight="1">
      <c r="A129" s="134" t="s">
        <v>155</v>
      </c>
      <c r="B129" s="135">
        <v>10</v>
      </c>
      <c r="C129" s="136">
        <v>46087</v>
      </c>
      <c r="D129" s="137" t="s">
        <v>142</v>
      </c>
      <c r="E129" s="378" t="s">
        <v>44</v>
      </c>
      <c r="F129" s="378" t="s">
        <v>214</v>
      </c>
      <c r="G129" s="378" t="s">
        <v>32</v>
      </c>
      <c r="H129" s="139">
        <v>2879749</v>
      </c>
      <c r="I129" s="378" t="s">
        <v>412</v>
      </c>
      <c r="J129" s="378">
        <v>2</v>
      </c>
      <c r="K129" s="378">
        <v>1</v>
      </c>
      <c r="L129" s="378"/>
      <c r="M129" s="378">
        <v>0</v>
      </c>
      <c r="N129" s="378" t="s">
        <v>149</v>
      </c>
      <c r="O129" s="378"/>
      <c r="P129" s="378"/>
      <c r="Q129" s="378"/>
      <c r="R129" s="378"/>
      <c r="S129" s="378"/>
      <c r="T129" s="378"/>
      <c r="U129" s="378"/>
      <c r="V129" s="378"/>
      <c r="W129" s="380"/>
    </row>
    <row r="130" spans="1:23" customFormat="1" ht="16.5" customHeight="1">
      <c r="A130" s="134" t="s">
        <v>155</v>
      </c>
      <c r="B130" s="135">
        <v>10</v>
      </c>
      <c r="C130" s="136">
        <v>46087</v>
      </c>
      <c r="D130" s="137" t="s">
        <v>142</v>
      </c>
      <c r="E130" s="378" t="s">
        <v>84</v>
      </c>
      <c r="F130" s="378" t="s">
        <v>177</v>
      </c>
      <c r="G130" s="378" t="s">
        <v>28</v>
      </c>
      <c r="H130" s="139">
        <v>2439704</v>
      </c>
      <c r="I130" s="378" t="s">
        <v>413</v>
      </c>
      <c r="J130" s="378">
        <v>2</v>
      </c>
      <c r="K130" s="1143">
        <v>1</v>
      </c>
      <c r="L130" s="1143"/>
      <c r="M130" s="1143">
        <v>0</v>
      </c>
      <c r="N130" s="1143" t="s">
        <v>149</v>
      </c>
      <c r="O130" s="1143"/>
      <c r="P130" s="1143"/>
      <c r="Q130" s="1143"/>
      <c r="R130" s="1143"/>
      <c r="S130" s="1143"/>
      <c r="T130" s="1143"/>
      <c r="U130" s="1143"/>
      <c r="V130" s="1143"/>
      <c r="W130" s="1145"/>
    </row>
    <row r="131" spans="1:23" customFormat="1" ht="16.5" customHeight="1" thickBot="1">
      <c r="A131" s="116" t="s">
        <v>155</v>
      </c>
      <c r="B131" s="141">
        <v>10</v>
      </c>
      <c r="C131" s="142">
        <v>46087</v>
      </c>
      <c r="D131" s="143" t="s">
        <v>142</v>
      </c>
      <c r="E131" s="379" t="s">
        <v>84</v>
      </c>
      <c r="F131" s="379" t="s">
        <v>177</v>
      </c>
      <c r="G131" s="379" t="s">
        <v>32</v>
      </c>
      <c r="H131" s="145">
        <v>2439703</v>
      </c>
      <c r="I131" s="379" t="s">
        <v>414</v>
      </c>
      <c r="J131" s="379">
        <v>2</v>
      </c>
      <c r="K131" s="1156"/>
      <c r="L131" s="1156"/>
      <c r="M131" s="1156"/>
      <c r="N131" s="1156"/>
      <c r="O131" s="1156"/>
      <c r="P131" s="1156"/>
      <c r="Q131" s="1156"/>
      <c r="R131" s="1156"/>
      <c r="S131" s="1156"/>
      <c r="T131" s="1156"/>
      <c r="U131" s="1156"/>
      <c r="V131" s="1156"/>
      <c r="W131" s="1158"/>
    </row>
    <row r="132" spans="1:23" customFormat="1" ht="16.5" customHeight="1">
      <c r="A132" s="219" t="s">
        <v>155</v>
      </c>
      <c r="B132" s="214">
        <v>10</v>
      </c>
      <c r="C132" s="215">
        <v>46088</v>
      </c>
      <c r="D132" s="216" t="s">
        <v>142</v>
      </c>
      <c r="E132" s="377" t="s">
        <v>232</v>
      </c>
      <c r="F132" s="377" t="s">
        <v>266</v>
      </c>
      <c r="G132" s="377" t="s">
        <v>37</v>
      </c>
      <c r="H132" s="217">
        <v>5766065</v>
      </c>
      <c r="I132" s="377" t="s">
        <v>415</v>
      </c>
      <c r="J132" s="377">
        <v>169</v>
      </c>
      <c r="K132" s="1150">
        <v>1</v>
      </c>
      <c r="L132" s="1150"/>
      <c r="M132" s="1150">
        <v>0</v>
      </c>
      <c r="N132" s="1150" t="s">
        <v>149</v>
      </c>
      <c r="O132" s="1150"/>
      <c r="P132" s="1150"/>
      <c r="Q132" s="1150"/>
      <c r="R132" s="1150"/>
      <c r="S132" s="1150"/>
      <c r="T132" s="1150"/>
      <c r="U132" s="1150"/>
      <c r="V132" s="1150"/>
      <c r="W132" s="1151"/>
    </row>
    <row r="133" spans="1:23" customFormat="1" ht="16.5" customHeight="1">
      <c r="A133" s="134" t="s">
        <v>155</v>
      </c>
      <c r="B133" s="135">
        <v>10</v>
      </c>
      <c r="C133" s="136">
        <v>46088</v>
      </c>
      <c r="D133" s="137" t="s">
        <v>142</v>
      </c>
      <c r="E133" s="378" t="s">
        <v>232</v>
      </c>
      <c r="F133" s="378" t="s">
        <v>266</v>
      </c>
      <c r="G133" s="378" t="s">
        <v>37</v>
      </c>
      <c r="H133" s="139">
        <v>5766065</v>
      </c>
      <c r="I133" s="378" t="s">
        <v>416</v>
      </c>
      <c r="J133" s="378">
        <v>18</v>
      </c>
      <c r="K133" s="1150"/>
      <c r="L133" s="1150"/>
      <c r="M133" s="1150"/>
      <c r="N133" s="1150"/>
      <c r="O133" s="1150"/>
      <c r="P133" s="1150"/>
      <c r="Q133" s="1150"/>
      <c r="R133" s="1150"/>
      <c r="S133" s="1150"/>
      <c r="T133" s="1150"/>
      <c r="U133" s="1150"/>
      <c r="V133" s="1150"/>
      <c r="W133" s="1151"/>
    </row>
    <row r="134" spans="1:23" customFormat="1" ht="16.5" customHeight="1" thickBot="1">
      <c r="A134" s="116" t="s">
        <v>155</v>
      </c>
      <c r="B134" s="141">
        <v>10</v>
      </c>
      <c r="C134" s="142">
        <v>46088</v>
      </c>
      <c r="D134" s="143" t="s">
        <v>142</v>
      </c>
      <c r="E134" s="379" t="s">
        <v>232</v>
      </c>
      <c r="F134" s="379" t="s">
        <v>266</v>
      </c>
      <c r="G134" s="379" t="s">
        <v>37</v>
      </c>
      <c r="H134" s="145">
        <v>5766065</v>
      </c>
      <c r="I134" s="379" t="s">
        <v>417</v>
      </c>
      <c r="J134" s="379">
        <v>230</v>
      </c>
      <c r="K134" s="1147"/>
      <c r="L134" s="1147"/>
      <c r="M134" s="1147"/>
      <c r="N134" s="1147"/>
      <c r="O134" s="1147"/>
      <c r="P134" s="1147"/>
      <c r="Q134" s="1147"/>
      <c r="R134" s="1147"/>
      <c r="S134" s="1147"/>
      <c r="T134" s="1147"/>
      <c r="U134" s="1147"/>
      <c r="V134" s="1147"/>
      <c r="W134" s="1149"/>
    </row>
    <row r="135" spans="1:23" customFormat="1" ht="16.5" customHeight="1">
      <c r="A135" s="63" t="s">
        <v>155</v>
      </c>
      <c r="B135" s="64">
        <v>11</v>
      </c>
      <c r="C135" s="65">
        <v>46090</v>
      </c>
      <c r="D135" s="66" t="s">
        <v>142</v>
      </c>
      <c r="E135" s="388" t="s">
        <v>232</v>
      </c>
      <c r="F135" s="388" t="s">
        <v>266</v>
      </c>
      <c r="G135" s="388" t="s">
        <v>37</v>
      </c>
      <c r="H135" s="163">
        <v>5766065</v>
      </c>
      <c r="I135" s="388" t="s">
        <v>417</v>
      </c>
      <c r="J135" s="388">
        <v>370</v>
      </c>
      <c r="K135" s="1247">
        <v>1</v>
      </c>
      <c r="L135" s="1247"/>
      <c r="M135" s="1247">
        <v>0</v>
      </c>
      <c r="N135" s="1247" t="s">
        <v>149</v>
      </c>
      <c r="O135" s="1247"/>
      <c r="P135" s="1247"/>
      <c r="Q135" s="1247"/>
      <c r="R135" s="1247"/>
      <c r="S135" s="1247"/>
      <c r="T135" s="1247"/>
      <c r="U135" s="1247"/>
      <c r="V135" s="1247"/>
      <c r="W135" s="1248"/>
    </row>
    <row r="136" spans="1:23" customFormat="1" ht="16.5" customHeight="1" thickBot="1">
      <c r="A136" s="406" t="s">
        <v>155</v>
      </c>
      <c r="B136" s="407">
        <v>11</v>
      </c>
      <c r="C136" s="408">
        <v>46090</v>
      </c>
      <c r="D136" s="409" t="s">
        <v>142</v>
      </c>
      <c r="E136" s="405" t="s">
        <v>232</v>
      </c>
      <c r="F136" s="405" t="s">
        <v>267</v>
      </c>
      <c r="G136" s="405" t="s">
        <v>37</v>
      </c>
      <c r="H136" s="410">
        <v>5771962</v>
      </c>
      <c r="I136" s="405" t="s">
        <v>418</v>
      </c>
      <c r="J136" s="405">
        <v>150</v>
      </c>
      <c r="K136" s="1150"/>
      <c r="L136" s="1150"/>
      <c r="M136" s="1150"/>
      <c r="N136" s="1150"/>
      <c r="O136" s="1150"/>
      <c r="P136" s="1150"/>
      <c r="Q136" s="1150"/>
      <c r="R136" s="1150"/>
      <c r="S136" s="1150"/>
      <c r="T136" s="1150"/>
      <c r="U136" s="1150"/>
      <c r="V136" s="1150"/>
      <c r="W136" s="1151"/>
    </row>
    <row r="137" spans="1:23" customFormat="1" ht="16.5" customHeight="1">
      <c r="A137" s="63" t="s">
        <v>155</v>
      </c>
      <c r="B137" s="64">
        <v>11</v>
      </c>
      <c r="C137" s="65">
        <v>46091</v>
      </c>
      <c r="D137" s="66" t="s">
        <v>142</v>
      </c>
      <c r="E137" s="401" t="s">
        <v>232</v>
      </c>
      <c r="F137" s="401" t="s">
        <v>267</v>
      </c>
      <c r="G137" s="401" t="s">
        <v>37</v>
      </c>
      <c r="H137" s="163">
        <v>5771962</v>
      </c>
      <c r="I137" s="401" t="s">
        <v>418</v>
      </c>
      <c r="J137" s="401">
        <v>50</v>
      </c>
      <c r="K137" s="1142">
        <v>1</v>
      </c>
      <c r="L137" s="1142">
        <v>5</v>
      </c>
      <c r="M137" s="1142">
        <v>1</v>
      </c>
      <c r="N137" s="1142" t="s">
        <v>149</v>
      </c>
      <c r="O137" s="1142" t="s">
        <v>61</v>
      </c>
      <c r="P137" s="1142" t="s">
        <v>62</v>
      </c>
      <c r="Q137" s="1142" t="s">
        <v>378</v>
      </c>
      <c r="R137" s="1142" t="s">
        <v>31</v>
      </c>
      <c r="S137" s="1142" t="s">
        <v>184</v>
      </c>
      <c r="T137" s="1142" t="s">
        <v>185</v>
      </c>
      <c r="U137" s="1142"/>
      <c r="V137" s="1142" t="s">
        <v>149</v>
      </c>
      <c r="W137" s="1153">
        <v>1</v>
      </c>
    </row>
    <row r="138" spans="1:23" customFormat="1" ht="16.5" customHeight="1">
      <c r="A138" s="134" t="s">
        <v>155</v>
      </c>
      <c r="B138" s="135">
        <v>11</v>
      </c>
      <c r="C138" s="136">
        <v>46091</v>
      </c>
      <c r="D138" s="137" t="s">
        <v>142</v>
      </c>
      <c r="E138" s="398" t="s">
        <v>232</v>
      </c>
      <c r="F138" s="398" t="s">
        <v>267</v>
      </c>
      <c r="G138" s="398" t="s">
        <v>37</v>
      </c>
      <c r="H138" s="139">
        <v>5771962</v>
      </c>
      <c r="I138" s="398" t="s">
        <v>419</v>
      </c>
      <c r="J138" s="398">
        <v>300</v>
      </c>
      <c r="K138" s="1143"/>
      <c r="L138" s="1143"/>
      <c r="M138" s="1143"/>
      <c r="N138" s="1143"/>
      <c r="O138" s="1143"/>
      <c r="P138" s="1143"/>
      <c r="Q138" s="1143"/>
      <c r="R138" s="1143"/>
      <c r="S138" s="1143"/>
      <c r="T138" s="1143"/>
      <c r="U138" s="1143"/>
      <c r="V138" s="1143"/>
      <c r="W138" s="1145"/>
    </row>
    <row r="139" spans="1:23" customFormat="1" ht="16.5" customHeight="1" thickBot="1">
      <c r="A139" s="116" t="s">
        <v>155</v>
      </c>
      <c r="B139" s="141">
        <v>11</v>
      </c>
      <c r="C139" s="142">
        <v>46091</v>
      </c>
      <c r="D139" s="143" t="s">
        <v>142</v>
      </c>
      <c r="E139" s="399" t="s">
        <v>265</v>
      </c>
      <c r="F139" s="399" t="s">
        <v>271</v>
      </c>
      <c r="G139" s="399" t="s">
        <v>37</v>
      </c>
      <c r="H139" s="145">
        <v>5447762</v>
      </c>
      <c r="I139" s="399" t="s">
        <v>421</v>
      </c>
      <c r="J139" s="399">
        <v>100</v>
      </c>
      <c r="K139" s="399">
        <v>1</v>
      </c>
      <c r="L139" s="399"/>
      <c r="M139" s="399">
        <v>0</v>
      </c>
      <c r="N139" s="399" t="s">
        <v>149</v>
      </c>
      <c r="O139" s="399"/>
      <c r="P139" s="399"/>
      <c r="Q139" s="399"/>
      <c r="R139" s="399"/>
      <c r="S139" s="399"/>
      <c r="T139" s="399"/>
      <c r="U139" s="399"/>
      <c r="V139" s="399"/>
      <c r="W139" s="400"/>
    </row>
    <row r="140" spans="1:23" customFormat="1" ht="16.5" customHeight="1">
      <c r="A140" s="63" t="s">
        <v>155</v>
      </c>
      <c r="B140" s="64">
        <v>11</v>
      </c>
      <c r="C140" s="65">
        <v>46092</v>
      </c>
      <c r="D140" s="66" t="s">
        <v>142</v>
      </c>
      <c r="E140" s="401" t="s">
        <v>265</v>
      </c>
      <c r="F140" s="401" t="s">
        <v>271</v>
      </c>
      <c r="G140" s="401" t="s">
        <v>37</v>
      </c>
      <c r="H140" s="163">
        <v>5447762</v>
      </c>
      <c r="I140" s="401" t="s">
        <v>421</v>
      </c>
      <c r="J140" s="401">
        <v>400</v>
      </c>
      <c r="K140" s="1247">
        <v>1</v>
      </c>
      <c r="L140" s="1247">
        <v>5</v>
      </c>
      <c r="M140" s="1247">
        <v>1</v>
      </c>
      <c r="N140" s="1247" t="s">
        <v>149</v>
      </c>
      <c r="O140" s="1247" t="s">
        <v>103</v>
      </c>
      <c r="P140" s="1247" t="s">
        <v>30</v>
      </c>
      <c r="Q140" s="1247" t="s">
        <v>281</v>
      </c>
      <c r="R140" s="1247" t="s">
        <v>31</v>
      </c>
      <c r="S140" s="1247" t="s">
        <v>184</v>
      </c>
      <c r="T140" s="1247" t="s">
        <v>185</v>
      </c>
      <c r="U140" s="1247"/>
      <c r="V140" s="1247" t="s">
        <v>149</v>
      </c>
      <c r="W140" s="1248">
        <v>1</v>
      </c>
    </row>
    <row r="141" spans="1:23" customFormat="1" ht="16.5" customHeight="1" thickBot="1">
      <c r="A141" s="406" t="s">
        <v>155</v>
      </c>
      <c r="B141" s="407">
        <v>11</v>
      </c>
      <c r="C141" s="408">
        <v>46092</v>
      </c>
      <c r="D141" s="409" t="s">
        <v>142</v>
      </c>
      <c r="E141" s="405" t="s">
        <v>265</v>
      </c>
      <c r="F141" s="405" t="s">
        <v>271</v>
      </c>
      <c r="G141" s="405" t="s">
        <v>37</v>
      </c>
      <c r="H141" s="410">
        <v>5447762</v>
      </c>
      <c r="I141" s="405" t="s">
        <v>422</v>
      </c>
      <c r="J141" s="405">
        <v>100</v>
      </c>
      <c r="K141" s="1150"/>
      <c r="L141" s="1150"/>
      <c r="M141" s="1150"/>
      <c r="N141" s="1150"/>
      <c r="O141" s="1150"/>
      <c r="P141" s="1150"/>
      <c r="Q141" s="1150"/>
      <c r="R141" s="1150"/>
      <c r="S141" s="1150"/>
      <c r="T141" s="1150"/>
      <c r="U141" s="1150"/>
      <c r="V141" s="1150"/>
      <c r="W141" s="1151"/>
    </row>
    <row r="142" spans="1:23" customFormat="1" ht="16.5" customHeight="1">
      <c r="A142" s="63" t="s">
        <v>155</v>
      </c>
      <c r="B142" s="64">
        <v>11</v>
      </c>
      <c r="C142" s="65">
        <v>46093</v>
      </c>
      <c r="D142" s="66" t="s">
        <v>142</v>
      </c>
      <c r="E142" s="403" t="s">
        <v>265</v>
      </c>
      <c r="F142" s="403" t="s">
        <v>270</v>
      </c>
      <c r="G142" s="403" t="s">
        <v>37</v>
      </c>
      <c r="H142" s="163">
        <v>5447763</v>
      </c>
      <c r="I142" s="403" t="s">
        <v>423</v>
      </c>
      <c r="J142" s="403">
        <v>200</v>
      </c>
      <c r="K142" s="403">
        <v>1</v>
      </c>
      <c r="L142" s="403"/>
      <c r="M142" s="403">
        <v>0</v>
      </c>
      <c r="N142" s="403" t="s">
        <v>149</v>
      </c>
      <c r="O142" s="403"/>
      <c r="P142" s="403"/>
      <c r="Q142" s="403"/>
      <c r="R142" s="403"/>
      <c r="S142" s="403"/>
      <c r="T142" s="403"/>
      <c r="U142" s="403"/>
      <c r="V142" s="403"/>
      <c r="W142" s="404"/>
    </row>
    <row r="143" spans="1:23" customFormat="1" ht="16.5" customHeight="1">
      <c r="A143" s="134" t="s">
        <v>155</v>
      </c>
      <c r="B143" s="135">
        <v>11</v>
      </c>
      <c r="C143" s="136">
        <v>46093</v>
      </c>
      <c r="D143" s="137" t="s">
        <v>142</v>
      </c>
      <c r="E143" s="402" t="s">
        <v>386</v>
      </c>
      <c r="F143" s="402" t="s">
        <v>273</v>
      </c>
      <c r="G143" s="402" t="s">
        <v>36</v>
      </c>
      <c r="H143" s="139">
        <v>5535135</v>
      </c>
      <c r="I143" s="402" t="s">
        <v>424</v>
      </c>
      <c r="J143" s="402">
        <v>8</v>
      </c>
      <c r="K143" s="1143">
        <v>1</v>
      </c>
      <c r="L143" s="1143">
        <v>5</v>
      </c>
      <c r="M143" s="1143">
        <v>1</v>
      </c>
      <c r="N143" s="1143" t="s">
        <v>149</v>
      </c>
      <c r="O143" s="1143" t="s">
        <v>39</v>
      </c>
      <c r="P143" s="1143" t="s">
        <v>40</v>
      </c>
      <c r="Q143" s="1143" t="s">
        <v>316</v>
      </c>
      <c r="R143" s="1143" t="s">
        <v>31</v>
      </c>
      <c r="S143" s="1143" t="s">
        <v>184</v>
      </c>
      <c r="T143" s="1143" t="s">
        <v>185</v>
      </c>
      <c r="U143" s="1143"/>
      <c r="V143" s="1143" t="s">
        <v>149</v>
      </c>
      <c r="W143" s="1145">
        <v>1</v>
      </c>
    </row>
    <row r="144" spans="1:23" customFormat="1" ht="16.5" customHeight="1">
      <c r="A144" s="134" t="s">
        <v>155</v>
      </c>
      <c r="B144" s="135">
        <v>11</v>
      </c>
      <c r="C144" s="136">
        <v>46093</v>
      </c>
      <c r="D144" s="137" t="s">
        <v>142</v>
      </c>
      <c r="E144" s="402" t="s">
        <v>386</v>
      </c>
      <c r="F144" s="402" t="s">
        <v>273</v>
      </c>
      <c r="G144" s="402" t="s">
        <v>28</v>
      </c>
      <c r="H144" s="139">
        <v>5535134</v>
      </c>
      <c r="I144" s="402" t="s">
        <v>425</v>
      </c>
      <c r="J144" s="402">
        <v>152</v>
      </c>
      <c r="K144" s="1143"/>
      <c r="L144" s="1143"/>
      <c r="M144" s="1143"/>
      <c r="N144" s="1143"/>
      <c r="O144" s="1143"/>
      <c r="P144" s="1143"/>
      <c r="Q144" s="1143"/>
      <c r="R144" s="1143"/>
      <c r="S144" s="1143"/>
      <c r="T144" s="1143"/>
      <c r="U144" s="1143"/>
      <c r="V144" s="1143"/>
      <c r="W144" s="1145"/>
    </row>
    <row r="145" spans="1:23" customFormat="1" ht="16.5" customHeight="1" thickBot="1">
      <c r="A145" s="414" t="s">
        <v>155</v>
      </c>
      <c r="B145" s="415">
        <v>11</v>
      </c>
      <c r="C145" s="416">
        <v>46093</v>
      </c>
      <c r="D145" s="417" t="s">
        <v>142</v>
      </c>
      <c r="E145" s="418" t="s">
        <v>386</v>
      </c>
      <c r="F145" s="418" t="s">
        <v>273</v>
      </c>
      <c r="G145" s="418" t="s">
        <v>32</v>
      </c>
      <c r="H145" s="419">
        <v>5535133</v>
      </c>
      <c r="I145" s="418" t="s">
        <v>426</v>
      </c>
      <c r="J145" s="418">
        <v>16</v>
      </c>
      <c r="K145" s="1287"/>
      <c r="L145" s="1287"/>
      <c r="M145" s="1287"/>
      <c r="N145" s="1287"/>
      <c r="O145" s="1287"/>
      <c r="P145" s="1287"/>
      <c r="Q145" s="1287"/>
      <c r="R145" s="1287"/>
      <c r="S145" s="1287"/>
      <c r="T145" s="1287"/>
      <c r="U145" s="1287"/>
      <c r="V145" s="1287"/>
      <c r="W145" s="1288"/>
    </row>
    <row r="146" spans="1:23" customFormat="1" ht="16.5" customHeight="1">
      <c r="A146" s="63" t="s">
        <v>155</v>
      </c>
      <c r="B146" s="149">
        <v>11</v>
      </c>
      <c r="C146" s="150">
        <v>46094</v>
      </c>
      <c r="D146" s="151" t="s">
        <v>142</v>
      </c>
      <c r="E146" s="413" t="s">
        <v>232</v>
      </c>
      <c r="F146" s="413" t="s">
        <v>269</v>
      </c>
      <c r="G146" s="413" t="s">
        <v>176</v>
      </c>
      <c r="H146" s="153">
        <v>5773217</v>
      </c>
      <c r="I146" s="413" t="s">
        <v>427</v>
      </c>
      <c r="J146" s="413">
        <v>4</v>
      </c>
      <c r="K146" s="1152">
        <v>1</v>
      </c>
      <c r="L146" s="1152"/>
      <c r="M146" s="1152">
        <v>0</v>
      </c>
      <c r="N146" s="1152" t="s">
        <v>149</v>
      </c>
      <c r="O146" s="1152"/>
      <c r="P146" s="1152"/>
      <c r="Q146" s="1152"/>
      <c r="R146" s="1152"/>
      <c r="S146" s="1152"/>
      <c r="T146" s="1152"/>
      <c r="U146" s="1152"/>
      <c r="V146" s="1152"/>
      <c r="W146" s="1153"/>
    </row>
    <row r="147" spans="1:23" customFormat="1" ht="16.5" customHeight="1">
      <c r="A147" s="134" t="s">
        <v>155</v>
      </c>
      <c r="B147" s="135">
        <v>11</v>
      </c>
      <c r="C147" s="136">
        <v>46094</v>
      </c>
      <c r="D147" s="137" t="s">
        <v>142</v>
      </c>
      <c r="E147" s="411" t="s">
        <v>232</v>
      </c>
      <c r="F147" s="411" t="s">
        <v>269</v>
      </c>
      <c r="G147" s="411" t="s">
        <v>176</v>
      </c>
      <c r="H147" s="139">
        <v>5773217</v>
      </c>
      <c r="I147" s="411" t="s">
        <v>428</v>
      </c>
      <c r="J147" s="411">
        <v>184</v>
      </c>
      <c r="K147" s="1143"/>
      <c r="L147" s="1143"/>
      <c r="M147" s="1143"/>
      <c r="N147" s="1143"/>
      <c r="O147" s="1143"/>
      <c r="P147" s="1143"/>
      <c r="Q147" s="1143"/>
      <c r="R147" s="1143"/>
      <c r="S147" s="1143"/>
      <c r="T147" s="1143"/>
      <c r="U147" s="1143"/>
      <c r="V147" s="1143"/>
      <c r="W147" s="1145"/>
    </row>
    <row r="148" spans="1:23" customFormat="1" ht="16.5" customHeight="1">
      <c r="A148" s="134" t="s">
        <v>155</v>
      </c>
      <c r="B148" s="135">
        <v>11</v>
      </c>
      <c r="C148" s="136">
        <v>46094</v>
      </c>
      <c r="D148" s="137" t="s">
        <v>142</v>
      </c>
      <c r="E148" s="411" t="s">
        <v>232</v>
      </c>
      <c r="F148" s="411" t="s">
        <v>269</v>
      </c>
      <c r="G148" s="411" t="s">
        <v>176</v>
      </c>
      <c r="H148" s="139">
        <v>5773217</v>
      </c>
      <c r="I148" s="411" t="s">
        <v>429</v>
      </c>
      <c r="J148" s="411">
        <v>100</v>
      </c>
      <c r="K148" s="1143"/>
      <c r="L148" s="1143"/>
      <c r="M148" s="1143"/>
      <c r="N148" s="1143"/>
      <c r="O148" s="1143"/>
      <c r="P148" s="1143"/>
      <c r="Q148" s="1143"/>
      <c r="R148" s="1143"/>
      <c r="S148" s="1143"/>
      <c r="T148" s="1143"/>
      <c r="U148" s="1143"/>
      <c r="V148" s="1143"/>
      <c r="W148" s="1145"/>
    </row>
    <row r="149" spans="1:23" customFormat="1" ht="16.5" customHeight="1" thickBot="1">
      <c r="A149" s="116" t="s">
        <v>155</v>
      </c>
      <c r="B149" s="141">
        <v>11</v>
      </c>
      <c r="C149" s="142">
        <v>46094</v>
      </c>
      <c r="D149" s="143" t="s">
        <v>142</v>
      </c>
      <c r="E149" s="412" t="s">
        <v>232</v>
      </c>
      <c r="F149" s="412" t="s">
        <v>268</v>
      </c>
      <c r="G149" s="412" t="s">
        <v>176</v>
      </c>
      <c r="H149" s="145">
        <v>5771802</v>
      </c>
      <c r="I149" s="412" t="s">
        <v>430</v>
      </c>
      <c r="J149" s="412">
        <v>200</v>
      </c>
      <c r="K149" s="1156"/>
      <c r="L149" s="1156"/>
      <c r="M149" s="1156"/>
      <c r="N149" s="1156"/>
      <c r="O149" s="1156"/>
      <c r="P149" s="1156"/>
      <c r="Q149" s="1156"/>
      <c r="R149" s="1156"/>
      <c r="S149" s="1156"/>
      <c r="T149" s="1156"/>
      <c r="U149" s="1156"/>
      <c r="V149" s="1156"/>
      <c r="W149" s="1158"/>
    </row>
    <row r="150" spans="1:23" customFormat="1" ht="16.5" customHeight="1">
      <c r="A150" s="134" t="s">
        <v>155</v>
      </c>
      <c r="B150" s="135">
        <v>11</v>
      </c>
      <c r="C150" s="136">
        <v>46095</v>
      </c>
      <c r="D150" s="137" t="s">
        <v>142</v>
      </c>
      <c r="E150" s="411" t="s">
        <v>232</v>
      </c>
      <c r="F150" s="411" t="s">
        <v>268</v>
      </c>
      <c r="G150" s="411" t="s">
        <v>176</v>
      </c>
      <c r="H150" s="139">
        <v>5771802</v>
      </c>
      <c r="I150" s="411" t="s">
        <v>431</v>
      </c>
      <c r="J150" s="411">
        <v>187</v>
      </c>
      <c r="K150" s="1143">
        <v>1</v>
      </c>
      <c r="L150" s="1143">
        <v>5</v>
      </c>
      <c r="M150" s="1143">
        <v>1</v>
      </c>
      <c r="N150" s="1143" t="s">
        <v>149</v>
      </c>
      <c r="O150" s="1143" t="s">
        <v>61</v>
      </c>
      <c r="P150" s="1143" t="s">
        <v>62</v>
      </c>
      <c r="Q150" s="1143" t="s">
        <v>452</v>
      </c>
      <c r="R150" s="1143" t="s">
        <v>31</v>
      </c>
      <c r="S150" s="1143" t="s">
        <v>184</v>
      </c>
      <c r="T150" s="1143" t="s">
        <v>185</v>
      </c>
      <c r="U150" s="1143"/>
      <c r="V150" s="1143" t="s">
        <v>149</v>
      </c>
      <c r="W150" s="1145">
        <v>1</v>
      </c>
    </row>
    <row r="151" spans="1:23" customFormat="1" ht="16.5" customHeight="1">
      <c r="A151" s="134" t="s">
        <v>155</v>
      </c>
      <c r="B151" s="135">
        <v>11</v>
      </c>
      <c r="C151" s="136">
        <v>46095</v>
      </c>
      <c r="D151" s="137" t="s">
        <v>142</v>
      </c>
      <c r="E151" s="411" t="s">
        <v>232</v>
      </c>
      <c r="F151" s="411" t="s">
        <v>268</v>
      </c>
      <c r="G151" s="411" t="s">
        <v>176</v>
      </c>
      <c r="H151" s="139">
        <v>5771802</v>
      </c>
      <c r="I151" s="411" t="s">
        <v>441</v>
      </c>
      <c r="J151" s="411">
        <v>125</v>
      </c>
      <c r="K151" s="1143"/>
      <c r="L151" s="1143"/>
      <c r="M151" s="1143"/>
      <c r="N151" s="1143"/>
      <c r="O151" s="1143"/>
      <c r="P151" s="1143"/>
      <c r="Q151" s="1143"/>
      <c r="R151" s="1143"/>
      <c r="S151" s="1143"/>
      <c r="T151" s="1143"/>
      <c r="U151" s="1143"/>
      <c r="V151" s="1143"/>
      <c r="W151" s="1145"/>
    </row>
    <row r="152" spans="1:23" customFormat="1" ht="16.5" customHeight="1" thickBot="1">
      <c r="A152" s="116" t="s">
        <v>155</v>
      </c>
      <c r="B152" s="141">
        <v>11</v>
      </c>
      <c r="C152" s="142">
        <v>46095</v>
      </c>
      <c r="D152" s="143" t="s">
        <v>142</v>
      </c>
      <c r="E152" s="412" t="s">
        <v>232</v>
      </c>
      <c r="F152" s="412" t="s">
        <v>269</v>
      </c>
      <c r="G152" s="412" t="s">
        <v>176</v>
      </c>
      <c r="H152" s="145">
        <v>5773217</v>
      </c>
      <c r="I152" s="412" t="s">
        <v>442</v>
      </c>
      <c r="J152" s="412">
        <v>200</v>
      </c>
      <c r="K152" s="1156"/>
      <c r="L152" s="1156"/>
      <c r="M152" s="1156"/>
      <c r="N152" s="1156"/>
      <c r="O152" s="1156"/>
      <c r="P152" s="1156"/>
      <c r="Q152" s="1156"/>
      <c r="R152" s="1156"/>
      <c r="S152" s="1156"/>
      <c r="T152" s="1156"/>
      <c r="U152" s="1156"/>
      <c r="V152" s="1156"/>
      <c r="W152" s="1158"/>
    </row>
    <row r="153" spans="1:23" customFormat="1" ht="16.5" customHeight="1">
      <c r="A153" s="63" t="s">
        <v>155</v>
      </c>
      <c r="B153" s="64">
        <v>12</v>
      </c>
      <c r="C153" s="65">
        <v>46097</v>
      </c>
      <c r="D153" s="66" t="s">
        <v>142</v>
      </c>
      <c r="E153" s="422" t="s">
        <v>387</v>
      </c>
      <c r="F153" s="422" t="s">
        <v>282</v>
      </c>
      <c r="G153" s="422" t="s">
        <v>36</v>
      </c>
      <c r="H153" s="163">
        <v>5535142</v>
      </c>
      <c r="I153" s="422" t="s">
        <v>443</v>
      </c>
      <c r="J153" s="422">
        <v>4</v>
      </c>
      <c r="K153" s="1244">
        <v>1</v>
      </c>
      <c r="L153" s="1244">
        <v>5</v>
      </c>
      <c r="M153" s="1244">
        <v>1</v>
      </c>
      <c r="N153" s="1244" t="s">
        <v>149</v>
      </c>
      <c r="O153" s="1244" t="s">
        <v>39</v>
      </c>
      <c r="P153" s="1244" t="s">
        <v>40</v>
      </c>
      <c r="Q153" s="1244" t="s">
        <v>316</v>
      </c>
      <c r="R153" s="1244" t="s">
        <v>31</v>
      </c>
      <c r="S153" s="1244" t="s">
        <v>184</v>
      </c>
      <c r="T153" s="1244" t="s">
        <v>185</v>
      </c>
      <c r="U153" s="1244"/>
      <c r="V153" s="1244" t="s">
        <v>149</v>
      </c>
      <c r="W153" s="1245">
        <v>1</v>
      </c>
    </row>
    <row r="154" spans="1:23" customFormat="1" ht="16.5" customHeight="1">
      <c r="A154" s="134" t="s">
        <v>155</v>
      </c>
      <c r="B154" s="135">
        <v>12</v>
      </c>
      <c r="C154" s="136">
        <v>46097</v>
      </c>
      <c r="D154" s="137" t="s">
        <v>142</v>
      </c>
      <c r="E154" s="420" t="s">
        <v>387</v>
      </c>
      <c r="F154" s="420" t="s">
        <v>282</v>
      </c>
      <c r="G154" s="420" t="s">
        <v>28</v>
      </c>
      <c r="H154" s="139">
        <v>5535141</v>
      </c>
      <c r="I154" s="420" t="s">
        <v>444</v>
      </c>
      <c r="J154" s="420">
        <v>24</v>
      </c>
      <c r="K154" s="1150"/>
      <c r="L154" s="1150"/>
      <c r="M154" s="1150"/>
      <c r="N154" s="1150"/>
      <c r="O154" s="1150"/>
      <c r="P154" s="1150"/>
      <c r="Q154" s="1150"/>
      <c r="R154" s="1150"/>
      <c r="S154" s="1150"/>
      <c r="T154" s="1150"/>
      <c r="U154" s="1150"/>
      <c r="V154" s="1150"/>
      <c r="W154" s="1151"/>
    </row>
    <row r="155" spans="1:23" customFormat="1" ht="16.5" customHeight="1">
      <c r="A155" s="134" t="s">
        <v>155</v>
      </c>
      <c r="B155" s="135">
        <v>12</v>
      </c>
      <c r="C155" s="136">
        <v>46097</v>
      </c>
      <c r="D155" s="137" t="s">
        <v>142</v>
      </c>
      <c r="E155" s="420" t="s">
        <v>387</v>
      </c>
      <c r="F155" s="420" t="s">
        <v>282</v>
      </c>
      <c r="G155" s="420" t="s">
        <v>28</v>
      </c>
      <c r="H155" s="139">
        <v>5535141</v>
      </c>
      <c r="I155" s="420" t="s">
        <v>445</v>
      </c>
      <c r="J155" s="420">
        <v>92</v>
      </c>
      <c r="K155" s="1150"/>
      <c r="L155" s="1150"/>
      <c r="M155" s="1150"/>
      <c r="N155" s="1150"/>
      <c r="O155" s="1150"/>
      <c r="P155" s="1150"/>
      <c r="Q155" s="1150"/>
      <c r="R155" s="1150"/>
      <c r="S155" s="1150"/>
      <c r="T155" s="1150"/>
      <c r="U155" s="1150"/>
      <c r="V155" s="1150"/>
      <c r="W155" s="1151"/>
    </row>
    <row r="156" spans="1:23" customFormat="1" ht="16.5" customHeight="1">
      <c r="A156" s="134" t="s">
        <v>155</v>
      </c>
      <c r="B156" s="135">
        <v>12</v>
      </c>
      <c r="C156" s="136">
        <v>46097</v>
      </c>
      <c r="D156" s="137" t="s">
        <v>142</v>
      </c>
      <c r="E156" s="420" t="s">
        <v>387</v>
      </c>
      <c r="F156" s="420" t="s">
        <v>282</v>
      </c>
      <c r="G156" s="420" t="s">
        <v>32</v>
      </c>
      <c r="H156" s="139">
        <v>5535140</v>
      </c>
      <c r="I156" s="420" t="s">
        <v>446</v>
      </c>
      <c r="J156" s="420">
        <v>16</v>
      </c>
      <c r="K156" s="1150"/>
      <c r="L156" s="1150"/>
      <c r="M156" s="1150"/>
      <c r="N156" s="1150"/>
      <c r="O156" s="1150"/>
      <c r="P156" s="1150"/>
      <c r="Q156" s="1150"/>
      <c r="R156" s="1150"/>
      <c r="S156" s="1150"/>
      <c r="T156" s="1150"/>
      <c r="U156" s="1150"/>
      <c r="V156" s="1150"/>
      <c r="W156" s="1151"/>
    </row>
    <row r="157" spans="1:23" customFormat="1" ht="16.5" customHeight="1">
      <c r="A157" s="134" t="s">
        <v>155</v>
      </c>
      <c r="B157" s="135">
        <v>12</v>
      </c>
      <c r="C157" s="136">
        <v>46097</v>
      </c>
      <c r="D157" s="137" t="s">
        <v>142</v>
      </c>
      <c r="E157" s="420" t="s">
        <v>387</v>
      </c>
      <c r="F157" s="420" t="s">
        <v>283</v>
      </c>
      <c r="G157" s="420" t="s">
        <v>36</v>
      </c>
      <c r="H157" s="139">
        <v>5535146</v>
      </c>
      <c r="I157" s="420" t="s">
        <v>447</v>
      </c>
      <c r="J157" s="420">
        <v>8</v>
      </c>
      <c r="K157" s="1150"/>
      <c r="L157" s="1150"/>
      <c r="M157" s="1150"/>
      <c r="N157" s="1150"/>
      <c r="O157" s="1150"/>
      <c r="P157" s="1150"/>
      <c r="Q157" s="1150"/>
      <c r="R157" s="1150"/>
      <c r="S157" s="1150"/>
      <c r="T157" s="1150"/>
      <c r="U157" s="1150"/>
      <c r="V157" s="1150"/>
      <c r="W157" s="1151"/>
    </row>
    <row r="158" spans="1:23" customFormat="1" ht="16.5" customHeight="1">
      <c r="A158" s="134" t="s">
        <v>155</v>
      </c>
      <c r="B158" s="135">
        <v>12</v>
      </c>
      <c r="C158" s="136">
        <v>46097</v>
      </c>
      <c r="D158" s="137" t="s">
        <v>142</v>
      </c>
      <c r="E158" s="420" t="s">
        <v>387</v>
      </c>
      <c r="F158" s="420" t="s">
        <v>283</v>
      </c>
      <c r="G158" s="420" t="s">
        <v>36</v>
      </c>
      <c r="H158" s="139">
        <v>5535146</v>
      </c>
      <c r="I158" s="420" t="s">
        <v>863</v>
      </c>
      <c r="J158" s="420">
        <v>12</v>
      </c>
      <c r="K158" s="1150"/>
      <c r="L158" s="1150"/>
      <c r="M158" s="1150"/>
      <c r="N158" s="1150"/>
      <c r="O158" s="1150"/>
      <c r="P158" s="1150"/>
      <c r="Q158" s="1150"/>
      <c r="R158" s="1150"/>
      <c r="S158" s="1150"/>
      <c r="T158" s="1150"/>
      <c r="U158" s="1150"/>
      <c r="V158" s="1150"/>
      <c r="W158" s="1151"/>
    </row>
    <row r="159" spans="1:23" customFormat="1" ht="16.5" customHeight="1">
      <c r="A159" s="134" t="s">
        <v>155</v>
      </c>
      <c r="B159" s="135">
        <v>12</v>
      </c>
      <c r="C159" s="136">
        <v>46097</v>
      </c>
      <c r="D159" s="137" t="s">
        <v>142</v>
      </c>
      <c r="E159" s="420" t="s">
        <v>387</v>
      </c>
      <c r="F159" s="420" t="s">
        <v>283</v>
      </c>
      <c r="G159" s="420" t="s">
        <v>28</v>
      </c>
      <c r="H159" s="139">
        <v>5535145</v>
      </c>
      <c r="I159" s="420" t="s">
        <v>448</v>
      </c>
      <c r="J159" s="420">
        <v>8</v>
      </c>
      <c r="K159" s="1150"/>
      <c r="L159" s="1150"/>
      <c r="M159" s="1150"/>
      <c r="N159" s="1150"/>
      <c r="O159" s="1150"/>
      <c r="P159" s="1150"/>
      <c r="Q159" s="1150"/>
      <c r="R159" s="1150"/>
      <c r="S159" s="1150"/>
      <c r="T159" s="1150"/>
      <c r="U159" s="1150"/>
      <c r="V159" s="1150"/>
      <c r="W159" s="1151"/>
    </row>
    <row r="160" spans="1:23" customFormat="1" ht="16.5" customHeight="1">
      <c r="A160" s="134" t="s">
        <v>155</v>
      </c>
      <c r="B160" s="135">
        <v>12</v>
      </c>
      <c r="C160" s="136">
        <v>46097</v>
      </c>
      <c r="D160" s="137" t="s">
        <v>142</v>
      </c>
      <c r="E160" s="420" t="s">
        <v>387</v>
      </c>
      <c r="F160" s="420" t="s">
        <v>283</v>
      </c>
      <c r="G160" s="420" t="s">
        <v>28</v>
      </c>
      <c r="H160" s="139">
        <v>5535145</v>
      </c>
      <c r="I160" s="420" t="s">
        <v>449</v>
      </c>
      <c r="J160" s="420">
        <v>40</v>
      </c>
      <c r="K160" s="1150"/>
      <c r="L160" s="1150"/>
      <c r="M160" s="1150"/>
      <c r="N160" s="1150"/>
      <c r="O160" s="1150"/>
      <c r="P160" s="1150"/>
      <c r="Q160" s="1150"/>
      <c r="R160" s="1150"/>
      <c r="S160" s="1150"/>
      <c r="T160" s="1150"/>
      <c r="U160" s="1150"/>
      <c r="V160" s="1150"/>
      <c r="W160" s="1151"/>
    </row>
    <row r="161" spans="1:23" customFormat="1" ht="16.5" customHeight="1">
      <c r="A161" s="134" t="s">
        <v>155</v>
      </c>
      <c r="B161" s="135">
        <v>12</v>
      </c>
      <c r="C161" s="136">
        <v>46097</v>
      </c>
      <c r="D161" s="137" t="s">
        <v>142</v>
      </c>
      <c r="E161" s="420" t="s">
        <v>387</v>
      </c>
      <c r="F161" s="420" t="s">
        <v>283</v>
      </c>
      <c r="G161" s="420" t="s">
        <v>32</v>
      </c>
      <c r="H161" s="139">
        <v>5535144</v>
      </c>
      <c r="I161" s="420" t="s">
        <v>450</v>
      </c>
      <c r="J161" s="420">
        <v>80</v>
      </c>
      <c r="K161" s="1150"/>
      <c r="L161" s="1150"/>
      <c r="M161" s="1150"/>
      <c r="N161" s="1150"/>
      <c r="O161" s="1150"/>
      <c r="P161" s="1150"/>
      <c r="Q161" s="1150"/>
      <c r="R161" s="1150"/>
      <c r="S161" s="1150"/>
      <c r="T161" s="1150"/>
      <c r="U161" s="1150"/>
      <c r="V161" s="1150"/>
      <c r="W161" s="1151"/>
    </row>
    <row r="162" spans="1:23" customFormat="1" ht="16.5" customHeight="1" thickBot="1">
      <c r="A162" s="116" t="s">
        <v>155</v>
      </c>
      <c r="B162" s="141">
        <v>12</v>
      </c>
      <c r="C162" s="142">
        <v>46097</v>
      </c>
      <c r="D162" s="143" t="s">
        <v>142</v>
      </c>
      <c r="E162" s="421" t="s">
        <v>387</v>
      </c>
      <c r="F162" s="421" t="s">
        <v>283</v>
      </c>
      <c r="G162" s="421" t="s">
        <v>32</v>
      </c>
      <c r="H162" s="145">
        <v>5535144</v>
      </c>
      <c r="I162" s="421" t="s">
        <v>451</v>
      </c>
      <c r="J162" s="421">
        <v>140</v>
      </c>
      <c r="K162" s="1147"/>
      <c r="L162" s="1147"/>
      <c r="M162" s="1147"/>
      <c r="N162" s="1147"/>
      <c r="O162" s="1147"/>
      <c r="P162" s="1147"/>
      <c r="Q162" s="1147"/>
      <c r="R162" s="1147"/>
      <c r="S162" s="1147"/>
      <c r="T162" s="1147"/>
      <c r="U162" s="1147"/>
      <c r="V162" s="1147"/>
      <c r="W162" s="1149"/>
    </row>
    <row r="163" spans="1:23" customFormat="1" ht="16.5" customHeight="1">
      <c r="A163" s="63" t="s">
        <v>155</v>
      </c>
      <c r="B163" s="64">
        <v>12</v>
      </c>
      <c r="C163" s="65">
        <v>46098</v>
      </c>
      <c r="D163" s="66" t="s">
        <v>142</v>
      </c>
      <c r="E163" s="429" t="s">
        <v>265</v>
      </c>
      <c r="F163" s="429" t="s">
        <v>453</v>
      </c>
      <c r="G163" s="429" t="s">
        <v>37</v>
      </c>
      <c r="H163" s="163">
        <v>5854707</v>
      </c>
      <c r="I163" s="429" t="s">
        <v>454</v>
      </c>
      <c r="J163" s="429">
        <v>254</v>
      </c>
      <c r="K163" s="1289">
        <v>1</v>
      </c>
      <c r="L163" s="1289"/>
      <c r="M163" s="1289">
        <v>0</v>
      </c>
      <c r="N163" s="1289" t="s">
        <v>149</v>
      </c>
      <c r="O163" s="1289"/>
      <c r="P163" s="1289"/>
      <c r="Q163" s="1289"/>
      <c r="R163" s="1289"/>
      <c r="S163" s="1289"/>
      <c r="T163" s="1289"/>
      <c r="U163" s="1289"/>
      <c r="V163" s="1289"/>
      <c r="W163" s="1290"/>
    </row>
    <row r="164" spans="1:23" customFormat="1" ht="16.5" customHeight="1" thickBot="1">
      <c r="A164" s="440" t="s">
        <v>155</v>
      </c>
      <c r="B164" s="441">
        <v>12</v>
      </c>
      <c r="C164" s="442">
        <v>46098</v>
      </c>
      <c r="D164" s="443" t="s">
        <v>142</v>
      </c>
      <c r="E164" s="444" t="s">
        <v>265</v>
      </c>
      <c r="F164" s="444" t="s">
        <v>271</v>
      </c>
      <c r="G164" s="444" t="s">
        <v>37</v>
      </c>
      <c r="H164" s="445">
        <v>5447762</v>
      </c>
      <c r="I164" s="444" t="s">
        <v>455</v>
      </c>
      <c r="J164" s="444">
        <v>196</v>
      </c>
      <c r="K164" s="1150"/>
      <c r="L164" s="1150"/>
      <c r="M164" s="1150"/>
      <c r="N164" s="1150"/>
      <c r="O164" s="1150"/>
      <c r="P164" s="1150"/>
      <c r="Q164" s="1150"/>
      <c r="R164" s="1150"/>
      <c r="S164" s="1150"/>
      <c r="T164" s="1150"/>
      <c r="U164" s="1150"/>
      <c r="V164" s="1150"/>
      <c r="W164" s="1151"/>
    </row>
    <row r="165" spans="1:23" customFormat="1" ht="16.5" customHeight="1">
      <c r="A165" s="63" t="s">
        <v>155</v>
      </c>
      <c r="B165" s="64">
        <v>12</v>
      </c>
      <c r="C165" s="65">
        <v>46099</v>
      </c>
      <c r="D165" s="66" t="s">
        <v>142</v>
      </c>
      <c r="E165" s="432" t="s">
        <v>265</v>
      </c>
      <c r="F165" s="432" t="s">
        <v>271</v>
      </c>
      <c r="G165" s="432" t="s">
        <v>37</v>
      </c>
      <c r="H165" s="163">
        <v>5447762</v>
      </c>
      <c r="I165" s="432" t="s">
        <v>455</v>
      </c>
      <c r="J165" s="432">
        <v>150</v>
      </c>
      <c r="K165" s="432">
        <v>1</v>
      </c>
      <c r="L165" s="432">
        <v>5</v>
      </c>
      <c r="M165" s="432">
        <v>64</v>
      </c>
      <c r="N165" s="453" t="s">
        <v>187</v>
      </c>
      <c r="O165" s="432" t="s">
        <v>41</v>
      </c>
      <c r="P165" s="432" t="s">
        <v>40</v>
      </c>
      <c r="Q165" s="432" t="s">
        <v>460</v>
      </c>
      <c r="R165" s="432" t="s">
        <v>31</v>
      </c>
      <c r="S165" s="432" t="s">
        <v>184</v>
      </c>
      <c r="T165" s="432" t="s">
        <v>185</v>
      </c>
      <c r="U165" s="457" t="s">
        <v>461</v>
      </c>
      <c r="V165" s="432" t="s">
        <v>149</v>
      </c>
      <c r="W165" s="433">
        <v>10</v>
      </c>
    </row>
    <row r="166" spans="1:23" customFormat="1" ht="16.5" customHeight="1">
      <c r="A166" s="134" t="s">
        <v>155</v>
      </c>
      <c r="B166" s="135">
        <v>12</v>
      </c>
      <c r="C166" s="136">
        <v>46099</v>
      </c>
      <c r="D166" s="137" t="s">
        <v>142</v>
      </c>
      <c r="E166" s="430" t="s">
        <v>232</v>
      </c>
      <c r="F166" s="430" t="s">
        <v>272</v>
      </c>
      <c r="G166" s="430" t="s">
        <v>37</v>
      </c>
      <c r="H166" s="139">
        <v>5823327</v>
      </c>
      <c r="I166" s="430">
        <v>4523676036</v>
      </c>
      <c r="J166" s="430">
        <v>18</v>
      </c>
      <c r="K166" s="1143">
        <v>1</v>
      </c>
      <c r="L166" s="1143">
        <v>5</v>
      </c>
      <c r="M166" s="1143">
        <v>1</v>
      </c>
      <c r="N166" s="1143" t="s">
        <v>149</v>
      </c>
      <c r="O166" s="1143" t="s">
        <v>96</v>
      </c>
      <c r="P166" s="1143" t="s">
        <v>40</v>
      </c>
      <c r="Q166" s="1143" t="s">
        <v>304</v>
      </c>
      <c r="R166" s="1143" t="s">
        <v>31</v>
      </c>
      <c r="S166" s="1143" t="s">
        <v>184</v>
      </c>
      <c r="T166" s="1143" t="s">
        <v>185</v>
      </c>
      <c r="U166" s="1143"/>
      <c r="V166" s="1143" t="s">
        <v>149</v>
      </c>
      <c r="W166" s="1145">
        <v>1</v>
      </c>
    </row>
    <row r="167" spans="1:23" customFormat="1" ht="16.5" customHeight="1">
      <c r="A167" s="134" t="s">
        <v>155</v>
      </c>
      <c r="B167" s="135">
        <v>12</v>
      </c>
      <c r="C167" s="136">
        <v>46099</v>
      </c>
      <c r="D167" s="137" t="s">
        <v>142</v>
      </c>
      <c r="E167" s="430" t="s">
        <v>232</v>
      </c>
      <c r="F167" s="430" t="s">
        <v>275</v>
      </c>
      <c r="G167" s="430" t="s">
        <v>37</v>
      </c>
      <c r="H167" s="139">
        <v>5823326</v>
      </c>
      <c r="I167" s="430">
        <v>4523444539</v>
      </c>
      <c r="J167" s="430">
        <v>12</v>
      </c>
      <c r="K167" s="1143"/>
      <c r="L167" s="1143"/>
      <c r="M167" s="1143"/>
      <c r="N167" s="1143"/>
      <c r="O167" s="1143"/>
      <c r="P167" s="1143"/>
      <c r="Q167" s="1143"/>
      <c r="R167" s="1143"/>
      <c r="S167" s="1143"/>
      <c r="T167" s="1143"/>
      <c r="U167" s="1143"/>
      <c r="V167" s="1143"/>
      <c r="W167" s="1145"/>
    </row>
    <row r="168" spans="1:23" customFormat="1" ht="16.5" customHeight="1">
      <c r="A168" s="134" t="s">
        <v>155</v>
      </c>
      <c r="B168" s="135">
        <v>12</v>
      </c>
      <c r="C168" s="136">
        <v>46099</v>
      </c>
      <c r="D168" s="137" t="s">
        <v>142</v>
      </c>
      <c r="E168" s="430" t="s">
        <v>232</v>
      </c>
      <c r="F168" s="430" t="s">
        <v>266</v>
      </c>
      <c r="G168" s="430" t="s">
        <v>37</v>
      </c>
      <c r="H168" s="139">
        <v>5766065</v>
      </c>
      <c r="I168" s="430" t="s">
        <v>456</v>
      </c>
      <c r="J168" s="430">
        <v>200</v>
      </c>
      <c r="K168" s="1143"/>
      <c r="L168" s="1143"/>
      <c r="M168" s="1143"/>
      <c r="N168" s="1143"/>
      <c r="O168" s="1143"/>
      <c r="P168" s="1143"/>
      <c r="Q168" s="1143"/>
      <c r="R168" s="1143"/>
      <c r="S168" s="1143"/>
      <c r="T168" s="1143"/>
      <c r="U168" s="1143"/>
      <c r="V168" s="1143"/>
      <c r="W168" s="1145"/>
    </row>
    <row r="169" spans="1:23" customFormat="1" ht="16.5" customHeight="1" thickBot="1">
      <c r="A169" s="116" t="s">
        <v>155</v>
      </c>
      <c r="B169" s="141">
        <v>12</v>
      </c>
      <c r="C169" s="142">
        <v>46099</v>
      </c>
      <c r="D169" s="143" t="s">
        <v>142</v>
      </c>
      <c r="E169" s="431" t="s">
        <v>232</v>
      </c>
      <c r="F169" s="431" t="s">
        <v>266</v>
      </c>
      <c r="G169" s="431" t="s">
        <v>37</v>
      </c>
      <c r="H169" s="145">
        <v>5766065</v>
      </c>
      <c r="I169" s="431" t="s">
        <v>459</v>
      </c>
      <c r="J169" s="431">
        <v>150</v>
      </c>
      <c r="K169" s="1156"/>
      <c r="L169" s="1156"/>
      <c r="M169" s="1156"/>
      <c r="N169" s="1156"/>
      <c r="O169" s="1156"/>
      <c r="P169" s="1156"/>
      <c r="Q169" s="1156"/>
      <c r="R169" s="1156"/>
      <c r="S169" s="1156"/>
      <c r="T169" s="1156"/>
      <c r="U169" s="1156"/>
      <c r="V169" s="1156"/>
      <c r="W169" s="1158"/>
    </row>
    <row r="170" spans="1:23" customFormat="1" ht="16.5" customHeight="1">
      <c r="A170" s="63" t="s">
        <v>155</v>
      </c>
      <c r="B170" s="149">
        <v>12</v>
      </c>
      <c r="C170" s="150">
        <v>46100</v>
      </c>
      <c r="D170" s="151" t="s">
        <v>142</v>
      </c>
      <c r="E170" s="455" t="s">
        <v>232</v>
      </c>
      <c r="F170" s="455" t="s">
        <v>266</v>
      </c>
      <c r="G170" s="455" t="s">
        <v>37</v>
      </c>
      <c r="H170" s="153">
        <v>5766065</v>
      </c>
      <c r="I170" s="455" t="s">
        <v>459</v>
      </c>
      <c r="J170" s="455">
        <v>250</v>
      </c>
      <c r="K170" s="1246">
        <v>1</v>
      </c>
      <c r="L170" s="1246"/>
      <c r="M170" s="1246">
        <v>0</v>
      </c>
      <c r="N170" s="1246" t="s">
        <v>149</v>
      </c>
      <c r="O170" s="1246"/>
      <c r="P170" s="1246"/>
      <c r="Q170" s="1246"/>
      <c r="R170" s="1246"/>
      <c r="S170" s="1246"/>
      <c r="T170" s="1246"/>
      <c r="U170" s="1246"/>
      <c r="V170" s="1246"/>
      <c r="W170" s="1291"/>
    </row>
    <row r="171" spans="1:23" customFormat="1" ht="16.5" customHeight="1" thickBot="1">
      <c r="A171" s="116" t="s">
        <v>155</v>
      </c>
      <c r="B171" s="141">
        <v>12</v>
      </c>
      <c r="C171" s="142">
        <v>46100</v>
      </c>
      <c r="D171" s="143" t="s">
        <v>142</v>
      </c>
      <c r="E171" s="454" t="s">
        <v>232</v>
      </c>
      <c r="F171" s="454" t="s">
        <v>267</v>
      </c>
      <c r="G171" s="454" t="s">
        <v>37</v>
      </c>
      <c r="H171" s="145">
        <v>5771962</v>
      </c>
      <c r="I171" s="454" t="s">
        <v>462</v>
      </c>
      <c r="J171" s="454">
        <v>270</v>
      </c>
      <c r="K171" s="1147"/>
      <c r="L171" s="1147"/>
      <c r="M171" s="1147"/>
      <c r="N171" s="1147"/>
      <c r="O171" s="1147"/>
      <c r="P171" s="1147"/>
      <c r="Q171" s="1147"/>
      <c r="R171" s="1147"/>
      <c r="S171" s="1147"/>
      <c r="T171" s="1147"/>
      <c r="U171" s="1147"/>
      <c r="V171" s="1147"/>
      <c r="W171" s="1149"/>
    </row>
    <row r="172" spans="1:23" customFormat="1" ht="16.5" customHeight="1">
      <c r="A172" s="219" t="s">
        <v>155</v>
      </c>
      <c r="B172" s="214">
        <v>12</v>
      </c>
      <c r="C172" s="215">
        <v>46101</v>
      </c>
      <c r="D172" s="216" t="s">
        <v>145</v>
      </c>
      <c r="E172" s="456" t="s">
        <v>50</v>
      </c>
      <c r="F172" s="456" t="s">
        <v>233</v>
      </c>
      <c r="G172" s="456" t="s">
        <v>36</v>
      </c>
      <c r="H172" s="217">
        <v>5463835</v>
      </c>
      <c r="I172" s="456">
        <v>1110163159</v>
      </c>
      <c r="J172" s="456">
        <v>52</v>
      </c>
      <c r="K172" s="1150">
        <v>1</v>
      </c>
      <c r="L172" s="1150">
        <v>5</v>
      </c>
      <c r="M172" s="1150">
        <v>1</v>
      </c>
      <c r="N172" s="1150" t="s">
        <v>149</v>
      </c>
      <c r="O172" s="1150" t="s">
        <v>96</v>
      </c>
      <c r="P172" s="1150" t="s">
        <v>40</v>
      </c>
      <c r="Q172" s="1150" t="s">
        <v>465</v>
      </c>
      <c r="R172" s="1150" t="s">
        <v>31</v>
      </c>
      <c r="S172" s="1150" t="s">
        <v>184</v>
      </c>
      <c r="T172" s="1150" t="s">
        <v>185</v>
      </c>
      <c r="U172" s="1150"/>
      <c r="V172" s="1150" t="s">
        <v>149</v>
      </c>
      <c r="W172" s="1151">
        <v>1</v>
      </c>
    </row>
    <row r="173" spans="1:23" customFormat="1" ht="16.5" customHeight="1">
      <c r="A173" s="134" t="s">
        <v>155</v>
      </c>
      <c r="B173" s="135">
        <v>12</v>
      </c>
      <c r="C173" s="136">
        <v>46101</v>
      </c>
      <c r="D173" s="137" t="s">
        <v>145</v>
      </c>
      <c r="E173" s="452" t="s">
        <v>50</v>
      </c>
      <c r="F173" s="452" t="s">
        <v>258</v>
      </c>
      <c r="G173" s="452" t="s">
        <v>36</v>
      </c>
      <c r="H173" s="139">
        <v>5797097</v>
      </c>
      <c r="I173" s="452">
        <v>4523410177</v>
      </c>
      <c r="J173" s="452">
        <v>8</v>
      </c>
      <c r="K173" s="1150"/>
      <c r="L173" s="1150"/>
      <c r="M173" s="1150"/>
      <c r="N173" s="1150"/>
      <c r="O173" s="1150"/>
      <c r="P173" s="1150"/>
      <c r="Q173" s="1150"/>
      <c r="R173" s="1150"/>
      <c r="S173" s="1150"/>
      <c r="T173" s="1150"/>
      <c r="U173" s="1150"/>
      <c r="V173" s="1150"/>
      <c r="W173" s="1151"/>
    </row>
    <row r="174" spans="1:23" customFormat="1" ht="16.5" customHeight="1">
      <c r="A174" s="134" t="s">
        <v>155</v>
      </c>
      <c r="B174" s="135">
        <v>12</v>
      </c>
      <c r="C174" s="136">
        <v>46101</v>
      </c>
      <c r="D174" s="137" t="s">
        <v>145</v>
      </c>
      <c r="E174" s="452" t="s">
        <v>50</v>
      </c>
      <c r="F174" s="452" t="s">
        <v>258</v>
      </c>
      <c r="G174" s="452" t="s">
        <v>28</v>
      </c>
      <c r="H174" s="139">
        <v>5797096</v>
      </c>
      <c r="I174" s="452">
        <v>4523410177</v>
      </c>
      <c r="J174" s="452">
        <v>10</v>
      </c>
      <c r="K174" s="1150"/>
      <c r="L174" s="1150"/>
      <c r="M174" s="1150"/>
      <c r="N174" s="1150"/>
      <c r="O174" s="1150"/>
      <c r="P174" s="1150"/>
      <c r="Q174" s="1150"/>
      <c r="R174" s="1150"/>
      <c r="S174" s="1150"/>
      <c r="T174" s="1150"/>
      <c r="U174" s="1150"/>
      <c r="V174" s="1150"/>
      <c r="W174" s="1151"/>
    </row>
    <row r="175" spans="1:23" customFormat="1" ht="16.5" customHeight="1">
      <c r="A175" s="134" t="s">
        <v>155</v>
      </c>
      <c r="B175" s="135">
        <v>12</v>
      </c>
      <c r="C175" s="136">
        <v>46101</v>
      </c>
      <c r="D175" s="137" t="s">
        <v>145</v>
      </c>
      <c r="E175" s="452" t="s">
        <v>50</v>
      </c>
      <c r="F175" s="452" t="s">
        <v>258</v>
      </c>
      <c r="G175" s="452" t="s">
        <v>32</v>
      </c>
      <c r="H175" s="139">
        <v>5797095</v>
      </c>
      <c r="I175" s="452">
        <v>4523410177</v>
      </c>
      <c r="J175" s="452">
        <v>8</v>
      </c>
      <c r="K175" s="1150"/>
      <c r="L175" s="1150"/>
      <c r="M175" s="1150"/>
      <c r="N175" s="1150"/>
      <c r="O175" s="1150"/>
      <c r="P175" s="1150"/>
      <c r="Q175" s="1150"/>
      <c r="R175" s="1150"/>
      <c r="S175" s="1150"/>
      <c r="T175" s="1150"/>
      <c r="U175" s="1150"/>
      <c r="V175" s="1150"/>
      <c r="W175" s="1151"/>
    </row>
    <row r="176" spans="1:23" customFormat="1" ht="16.5" customHeight="1">
      <c r="A176" s="134" t="s">
        <v>155</v>
      </c>
      <c r="B176" s="135">
        <v>12</v>
      </c>
      <c r="C176" s="136">
        <v>46101</v>
      </c>
      <c r="D176" s="137" t="s">
        <v>145</v>
      </c>
      <c r="E176" s="452" t="s">
        <v>50</v>
      </c>
      <c r="F176" s="452" t="s">
        <v>258</v>
      </c>
      <c r="G176" s="452" t="s">
        <v>63</v>
      </c>
      <c r="H176" s="139">
        <v>5797094</v>
      </c>
      <c r="I176" s="452">
        <v>4523410177</v>
      </c>
      <c r="J176" s="452">
        <v>5</v>
      </c>
      <c r="K176" s="1150"/>
      <c r="L176" s="1150"/>
      <c r="M176" s="1150"/>
      <c r="N176" s="1150"/>
      <c r="O176" s="1150"/>
      <c r="P176" s="1150"/>
      <c r="Q176" s="1150"/>
      <c r="R176" s="1150"/>
      <c r="S176" s="1150"/>
      <c r="T176" s="1150"/>
      <c r="U176" s="1150"/>
      <c r="V176" s="1150"/>
      <c r="W176" s="1151"/>
    </row>
    <row r="177" spans="1:23" customFormat="1" ht="16.5" customHeight="1">
      <c r="A177" s="134" t="s">
        <v>155</v>
      </c>
      <c r="B177" s="135">
        <v>12</v>
      </c>
      <c r="C177" s="136">
        <v>46101</v>
      </c>
      <c r="D177" s="137" t="s">
        <v>145</v>
      </c>
      <c r="E177" s="452" t="s">
        <v>50</v>
      </c>
      <c r="F177" s="452" t="s">
        <v>258</v>
      </c>
      <c r="G177" s="452" t="s">
        <v>36</v>
      </c>
      <c r="H177" s="139">
        <v>5797097</v>
      </c>
      <c r="I177" s="452">
        <v>20260226001</v>
      </c>
      <c r="J177" s="452">
        <v>20</v>
      </c>
      <c r="K177" s="1150"/>
      <c r="L177" s="1150"/>
      <c r="M177" s="1150"/>
      <c r="N177" s="1150"/>
      <c r="O177" s="1150"/>
      <c r="P177" s="1150"/>
      <c r="Q177" s="1150"/>
      <c r="R177" s="1150"/>
      <c r="S177" s="1150"/>
      <c r="T177" s="1150"/>
      <c r="U177" s="1150"/>
      <c r="V177" s="1150"/>
      <c r="W177" s="1151"/>
    </row>
    <row r="178" spans="1:23" customFormat="1" ht="16.5" customHeight="1">
      <c r="A178" s="134" t="s">
        <v>155</v>
      </c>
      <c r="B178" s="135">
        <v>12</v>
      </c>
      <c r="C178" s="136">
        <v>46101</v>
      </c>
      <c r="D178" s="137" t="s">
        <v>145</v>
      </c>
      <c r="E178" s="452" t="s">
        <v>50</v>
      </c>
      <c r="F178" s="452" t="s">
        <v>258</v>
      </c>
      <c r="G178" s="452" t="s">
        <v>28</v>
      </c>
      <c r="H178" s="139">
        <v>5797096</v>
      </c>
      <c r="I178" s="452">
        <v>20260226001</v>
      </c>
      <c r="J178" s="452">
        <v>28</v>
      </c>
      <c r="K178" s="1150"/>
      <c r="L178" s="1150"/>
      <c r="M178" s="1150"/>
      <c r="N178" s="1150"/>
      <c r="O178" s="1150"/>
      <c r="P178" s="1150"/>
      <c r="Q178" s="1150"/>
      <c r="R178" s="1150"/>
      <c r="S178" s="1150"/>
      <c r="T178" s="1150"/>
      <c r="U178" s="1150"/>
      <c r="V178" s="1150"/>
      <c r="W178" s="1151"/>
    </row>
    <row r="179" spans="1:23" customFormat="1" ht="16.5" customHeight="1" thickBot="1">
      <c r="A179" s="461" t="s">
        <v>155</v>
      </c>
      <c r="B179" s="462">
        <v>12</v>
      </c>
      <c r="C179" s="463">
        <v>46101</v>
      </c>
      <c r="D179" s="464" t="s">
        <v>145</v>
      </c>
      <c r="E179" s="465" t="s">
        <v>50</v>
      </c>
      <c r="F179" s="465" t="s">
        <v>258</v>
      </c>
      <c r="G179" s="465" t="s">
        <v>32</v>
      </c>
      <c r="H179" s="466">
        <v>5797095</v>
      </c>
      <c r="I179" s="465">
        <v>20260226001</v>
      </c>
      <c r="J179" s="465">
        <v>32</v>
      </c>
      <c r="K179" s="1150"/>
      <c r="L179" s="1150"/>
      <c r="M179" s="1150"/>
      <c r="N179" s="1150"/>
      <c r="O179" s="1150"/>
      <c r="P179" s="1150"/>
      <c r="Q179" s="1150"/>
      <c r="R179" s="1150"/>
      <c r="S179" s="1150"/>
      <c r="T179" s="1150"/>
      <c r="U179" s="1150"/>
      <c r="V179" s="1150"/>
      <c r="W179" s="1151"/>
    </row>
    <row r="180" spans="1:23" customFormat="1" ht="16.5" customHeight="1">
      <c r="A180" s="63" t="s">
        <v>155</v>
      </c>
      <c r="B180" s="64">
        <v>12</v>
      </c>
      <c r="C180" s="65">
        <v>46102</v>
      </c>
      <c r="D180" s="66" t="s">
        <v>142</v>
      </c>
      <c r="E180" s="460" t="s">
        <v>386</v>
      </c>
      <c r="F180" s="460" t="s">
        <v>273</v>
      </c>
      <c r="G180" s="460" t="s">
        <v>36</v>
      </c>
      <c r="H180" s="163">
        <v>5535135</v>
      </c>
      <c r="I180" s="460" t="s">
        <v>463</v>
      </c>
      <c r="J180" s="460">
        <v>16</v>
      </c>
      <c r="K180" s="1142">
        <v>1</v>
      </c>
      <c r="L180" s="1142"/>
      <c r="M180" s="1142">
        <v>0</v>
      </c>
      <c r="N180" s="1142" t="s">
        <v>149</v>
      </c>
      <c r="O180" s="1142"/>
      <c r="P180" s="1142"/>
      <c r="Q180" s="1142"/>
      <c r="R180" s="1142"/>
      <c r="S180" s="1142"/>
      <c r="T180" s="1142"/>
      <c r="U180" s="1142"/>
      <c r="V180" s="1142"/>
      <c r="W180" s="1153"/>
    </row>
    <row r="181" spans="1:23" customFormat="1" ht="16.5" customHeight="1">
      <c r="A181" s="134" t="s">
        <v>155</v>
      </c>
      <c r="B181" s="135">
        <v>12</v>
      </c>
      <c r="C181" s="136">
        <v>46102</v>
      </c>
      <c r="D181" s="137" t="s">
        <v>142</v>
      </c>
      <c r="E181" s="458" t="s">
        <v>386</v>
      </c>
      <c r="F181" s="458" t="s">
        <v>273</v>
      </c>
      <c r="G181" s="458" t="s">
        <v>36</v>
      </c>
      <c r="H181" s="139">
        <v>5535135</v>
      </c>
      <c r="I181" s="458" t="s">
        <v>464</v>
      </c>
      <c r="J181" s="458">
        <v>50</v>
      </c>
      <c r="K181" s="1143"/>
      <c r="L181" s="1143"/>
      <c r="M181" s="1143"/>
      <c r="N181" s="1143"/>
      <c r="O181" s="1143"/>
      <c r="P181" s="1143"/>
      <c r="Q181" s="1143"/>
      <c r="R181" s="1143"/>
      <c r="S181" s="1143"/>
      <c r="T181" s="1143"/>
      <c r="U181" s="1143"/>
      <c r="V181" s="1143"/>
      <c r="W181" s="1145"/>
    </row>
    <row r="182" spans="1:23" customFormat="1" ht="16.5" customHeight="1">
      <c r="A182" s="134" t="s">
        <v>155</v>
      </c>
      <c r="B182" s="135">
        <v>12</v>
      </c>
      <c r="C182" s="136">
        <v>46102</v>
      </c>
      <c r="D182" s="137" t="s">
        <v>142</v>
      </c>
      <c r="E182" s="458" t="s">
        <v>386</v>
      </c>
      <c r="F182" s="458" t="s">
        <v>273</v>
      </c>
      <c r="G182" s="458" t="s">
        <v>28</v>
      </c>
      <c r="H182" s="139">
        <v>5535134</v>
      </c>
      <c r="I182" s="458" t="s">
        <v>466</v>
      </c>
      <c r="J182" s="458">
        <v>216</v>
      </c>
      <c r="K182" s="1143"/>
      <c r="L182" s="1143"/>
      <c r="M182" s="1143"/>
      <c r="N182" s="1143"/>
      <c r="O182" s="1143"/>
      <c r="P182" s="1143"/>
      <c r="Q182" s="1143"/>
      <c r="R182" s="1143"/>
      <c r="S182" s="1143"/>
      <c r="T182" s="1143"/>
      <c r="U182" s="1143"/>
      <c r="V182" s="1143"/>
      <c r="W182" s="1145"/>
    </row>
    <row r="183" spans="1:23" customFormat="1" ht="16.5" customHeight="1" thickBot="1">
      <c r="A183" s="116" t="s">
        <v>155</v>
      </c>
      <c r="B183" s="141">
        <v>12</v>
      </c>
      <c r="C183" s="142">
        <v>46102</v>
      </c>
      <c r="D183" s="143" t="s">
        <v>142</v>
      </c>
      <c r="E183" s="459" t="s">
        <v>386</v>
      </c>
      <c r="F183" s="459" t="s">
        <v>273</v>
      </c>
      <c r="G183" s="459" t="s">
        <v>28</v>
      </c>
      <c r="H183" s="145">
        <v>5535134</v>
      </c>
      <c r="I183" s="459" t="s">
        <v>467</v>
      </c>
      <c r="J183" s="459">
        <v>150</v>
      </c>
      <c r="K183" s="1156"/>
      <c r="L183" s="1156"/>
      <c r="M183" s="1156"/>
      <c r="N183" s="1156"/>
      <c r="O183" s="1156"/>
      <c r="P183" s="1156"/>
      <c r="Q183" s="1156"/>
      <c r="R183" s="1156"/>
      <c r="S183" s="1156"/>
      <c r="T183" s="1156"/>
      <c r="U183" s="1156"/>
      <c r="V183" s="1156"/>
      <c r="W183" s="1158"/>
    </row>
    <row r="184" spans="1:23" customFormat="1" ht="16.5" customHeight="1">
      <c r="A184" s="63" t="s">
        <v>155</v>
      </c>
      <c r="B184" s="64">
        <v>13</v>
      </c>
      <c r="C184" s="65">
        <v>46104</v>
      </c>
      <c r="D184" s="66" t="s">
        <v>142</v>
      </c>
      <c r="E184" s="467" t="s">
        <v>386</v>
      </c>
      <c r="F184" s="467" t="s">
        <v>273</v>
      </c>
      <c r="G184" s="467" t="s">
        <v>28</v>
      </c>
      <c r="H184" s="163">
        <v>5535134</v>
      </c>
      <c r="I184" s="467" t="s">
        <v>467</v>
      </c>
      <c r="J184" s="467">
        <v>250</v>
      </c>
      <c r="K184" s="1242">
        <v>1</v>
      </c>
      <c r="L184" s="467">
        <v>5</v>
      </c>
      <c r="M184" s="1242">
        <v>1</v>
      </c>
      <c r="N184" s="467" t="s">
        <v>149</v>
      </c>
      <c r="O184" s="467" t="s">
        <v>39</v>
      </c>
      <c r="P184" s="467" t="s">
        <v>40</v>
      </c>
      <c r="Q184" s="467" t="s">
        <v>316</v>
      </c>
      <c r="R184" s="467" t="s">
        <v>31</v>
      </c>
      <c r="S184" s="467" t="s">
        <v>184</v>
      </c>
      <c r="T184" s="467" t="s">
        <v>185</v>
      </c>
      <c r="U184" s="1242"/>
      <c r="V184" s="1242" t="s">
        <v>149</v>
      </c>
      <c r="W184" s="1243">
        <v>1</v>
      </c>
    </row>
    <row r="185" spans="1:23" customFormat="1" ht="16.5" customHeight="1" thickBot="1">
      <c r="A185" s="474" t="s">
        <v>155</v>
      </c>
      <c r="B185" s="475">
        <v>13</v>
      </c>
      <c r="C185" s="476">
        <v>46104</v>
      </c>
      <c r="D185" s="477" t="s">
        <v>142</v>
      </c>
      <c r="E185" s="473" t="s">
        <v>386</v>
      </c>
      <c r="F185" s="473" t="s">
        <v>273</v>
      </c>
      <c r="G185" s="473" t="s">
        <v>28</v>
      </c>
      <c r="H185" s="478">
        <v>5535134</v>
      </c>
      <c r="I185" s="473" t="s">
        <v>470</v>
      </c>
      <c r="J185" s="473">
        <v>100</v>
      </c>
      <c r="K185" s="1150"/>
      <c r="L185" s="473">
        <v>5</v>
      </c>
      <c r="M185" s="1150"/>
      <c r="N185" s="473" t="s">
        <v>149</v>
      </c>
      <c r="O185" s="473" t="s">
        <v>61</v>
      </c>
      <c r="P185" s="473" t="s">
        <v>62</v>
      </c>
      <c r="Q185" s="473" t="s">
        <v>471</v>
      </c>
      <c r="R185" s="473" t="s">
        <v>31</v>
      </c>
      <c r="S185" s="473" t="s">
        <v>184</v>
      </c>
      <c r="T185" s="473" t="s">
        <v>185</v>
      </c>
      <c r="U185" s="1150"/>
      <c r="V185" s="1150"/>
      <c r="W185" s="1151"/>
    </row>
    <row r="186" spans="1:23" customFormat="1" ht="16.5" customHeight="1">
      <c r="A186" s="63" t="s">
        <v>155</v>
      </c>
      <c r="B186" s="64">
        <v>13</v>
      </c>
      <c r="C186" s="65">
        <v>46105</v>
      </c>
      <c r="D186" s="66" t="s">
        <v>142</v>
      </c>
      <c r="E186" s="467" t="s">
        <v>386</v>
      </c>
      <c r="F186" s="467" t="s">
        <v>273</v>
      </c>
      <c r="G186" s="467" t="s">
        <v>28</v>
      </c>
      <c r="H186" s="163">
        <v>5535134</v>
      </c>
      <c r="I186" s="467" t="s">
        <v>470</v>
      </c>
      <c r="J186" s="467">
        <v>100</v>
      </c>
      <c r="K186" s="1142">
        <v>1</v>
      </c>
      <c r="L186" s="1142"/>
      <c r="M186" s="1142">
        <v>0</v>
      </c>
      <c r="N186" s="1142" t="s">
        <v>149</v>
      </c>
      <c r="O186" s="1142"/>
      <c r="P186" s="1142"/>
      <c r="Q186" s="1142"/>
      <c r="R186" s="1142"/>
      <c r="S186" s="1142"/>
      <c r="T186" s="1142"/>
      <c r="U186" s="1142"/>
      <c r="V186" s="1142"/>
      <c r="W186" s="1153"/>
    </row>
    <row r="187" spans="1:23" customFormat="1" ht="16.5" customHeight="1">
      <c r="A187" s="134" t="s">
        <v>155</v>
      </c>
      <c r="B187" s="135">
        <v>13</v>
      </c>
      <c r="C187" s="136">
        <v>46105</v>
      </c>
      <c r="D187" s="137" t="s">
        <v>142</v>
      </c>
      <c r="E187" s="468" t="s">
        <v>386</v>
      </c>
      <c r="F187" s="468" t="s">
        <v>273</v>
      </c>
      <c r="G187" s="468" t="s">
        <v>32</v>
      </c>
      <c r="H187" s="139">
        <v>5535133</v>
      </c>
      <c r="I187" s="468" t="s">
        <v>468</v>
      </c>
      <c r="J187" s="468">
        <v>24</v>
      </c>
      <c r="K187" s="1165"/>
      <c r="L187" s="1165"/>
      <c r="M187" s="1165"/>
      <c r="N187" s="1165"/>
      <c r="O187" s="1165"/>
      <c r="P187" s="1165"/>
      <c r="Q187" s="1165"/>
      <c r="R187" s="1165"/>
      <c r="S187" s="1165"/>
      <c r="T187" s="1165"/>
      <c r="U187" s="1165"/>
      <c r="V187" s="1165"/>
      <c r="W187" s="1167"/>
    </row>
    <row r="188" spans="1:23" customFormat="1" ht="16.5" customHeight="1">
      <c r="A188" s="134" t="s">
        <v>155</v>
      </c>
      <c r="B188" s="135">
        <v>13</v>
      </c>
      <c r="C188" s="136">
        <v>46105</v>
      </c>
      <c r="D188" s="137" t="s">
        <v>142</v>
      </c>
      <c r="E188" s="468" t="s">
        <v>386</v>
      </c>
      <c r="F188" s="468" t="s">
        <v>273</v>
      </c>
      <c r="G188" s="468" t="s">
        <v>32</v>
      </c>
      <c r="H188" s="139">
        <v>5535133</v>
      </c>
      <c r="I188" s="468" t="s">
        <v>469</v>
      </c>
      <c r="J188" s="468">
        <v>68</v>
      </c>
      <c r="K188" s="1143"/>
      <c r="L188" s="1143"/>
      <c r="M188" s="1143"/>
      <c r="N188" s="1143"/>
      <c r="O188" s="1143"/>
      <c r="P188" s="1143"/>
      <c r="Q188" s="1143"/>
      <c r="R188" s="1143"/>
      <c r="S188" s="1143"/>
      <c r="T188" s="1143"/>
      <c r="U188" s="1143"/>
      <c r="V188" s="1143"/>
      <c r="W188" s="1145"/>
    </row>
    <row r="189" spans="1:23" customFormat="1" ht="16.5" customHeight="1">
      <c r="A189" s="134" t="s">
        <v>155</v>
      </c>
      <c r="B189" s="135">
        <v>13</v>
      </c>
      <c r="C189" s="136">
        <v>46105</v>
      </c>
      <c r="D189" s="137" t="s">
        <v>142</v>
      </c>
      <c r="E189" s="468" t="s">
        <v>387</v>
      </c>
      <c r="F189" s="468" t="s">
        <v>282</v>
      </c>
      <c r="G189" s="468" t="s">
        <v>36</v>
      </c>
      <c r="H189" s="139">
        <v>5535142</v>
      </c>
      <c r="I189" s="468" t="s">
        <v>484</v>
      </c>
      <c r="J189" s="468">
        <v>8</v>
      </c>
      <c r="K189" s="1143">
        <v>1</v>
      </c>
      <c r="L189" s="1143"/>
      <c r="M189" s="1143">
        <v>0</v>
      </c>
      <c r="N189" s="1143" t="s">
        <v>149</v>
      </c>
      <c r="O189" s="1143"/>
      <c r="P189" s="1143"/>
      <c r="Q189" s="1143"/>
      <c r="R189" s="1143"/>
      <c r="S189" s="1143"/>
      <c r="T189" s="1143"/>
      <c r="U189" s="1143"/>
      <c r="V189" s="1143"/>
      <c r="W189" s="1145"/>
    </row>
    <row r="190" spans="1:23" customFormat="1" ht="16.5" customHeight="1">
      <c r="A190" s="134" t="s">
        <v>155</v>
      </c>
      <c r="B190" s="135">
        <v>13</v>
      </c>
      <c r="C190" s="136">
        <v>46105</v>
      </c>
      <c r="D190" s="137" t="s">
        <v>142</v>
      </c>
      <c r="E190" s="468" t="s">
        <v>387</v>
      </c>
      <c r="F190" s="468" t="s">
        <v>282</v>
      </c>
      <c r="G190" s="468" t="s">
        <v>36</v>
      </c>
      <c r="H190" s="139">
        <v>5535142</v>
      </c>
      <c r="I190" s="468" t="s">
        <v>485</v>
      </c>
      <c r="J190" s="468">
        <v>8</v>
      </c>
      <c r="K190" s="1143"/>
      <c r="L190" s="1143"/>
      <c r="M190" s="1143"/>
      <c r="N190" s="1143"/>
      <c r="O190" s="1143"/>
      <c r="P190" s="1143"/>
      <c r="Q190" s="1143"/>
      <c r="R190" s="1143"/>
      <c r="S190" s="1143"/>
      <c r="T190" s="1143"/>
      <c r="U190" s="1143"/>
      <c r="V190" s="1143"/>
      <c r="W190" s="1145"/>
    </row>
    <row r="191" spans="1:23" customFormat="1" ht="16.5" customHeight="1">
      <c r="A191" s="134" t="s">
        <v>155</v>
      </c>
      <c r="B191" s="135">
        <v>13</v>
      </c>
      <c r="C191" s="136">
        <v>46105</v>
      </c>
      <c r="D191" s="137" t="s">
        <v>142</v>
      </c>
      <c r="E191" s="468" t="s">
        <v>387</v>
      </c>
      <c r="F191" s="468" t="s">
        <v>282</v>
      </c>
      <c r="G191" s="468" t="s">
        <v>28</v>
      </c>
      <c r="H191" s="139">
        <v>5535141</v>
      </c>
      <c r="I191" s="468" t="s">
        <v>486</v>
      </c>
      <c r="J191" s="468">
        <v>64</v>
      </c>
      <c r="K191" s="1143"/>
      <c r="L191" s="1143"/>
      <c r="M191" s="1143"/>
      <c r="N191" s="1143"/>
      <c r="O191" s="1143"/>
      <c r="P191" s="1143"/>
      <c r="Q191" s="1143"/>
      <c r="R191" s="1143"/>
      <c r="S191" s="1143"/>
      <c r="T191" s="1143"/>
      <c r="U191" s="1143"/>
      <c r="V191" s="1143"/>
      <c r="W191" s="1145"/>
    </row>
    <row r="192" spans="1:23" customFormat="1" ht="16.5" customHeight="1">
      <c r="A192" s="134" t="s">
        <v>155</v>
      </c>
      <c r="B192" s="135">
        <v>13</v>
      </c>
      <c r="C192" s="136">
        <v>46105</v>
      </c>
      <c r="D192" s="137" t="s">
        <v>142</v>
      </c>
      <c r="E192" s="468" t="s">
        <v>387</v>
      </c>
      <c r="F192" s="468" t="s">
        <v>282</v>
      </c>
      <c r="G192" s="468" t="s">
        <v>32</v>
      </c>
      <c r="H192" s="139">
        <v>5535140</v>
      </c>
      <c r="I192" s="468" t="s">
        <v>487</v>
      </c>
      <c r="J192" s="468">
        <v>16</v>
      </c>
      <c r="K192" s="1143"/>
      <c r="L192" s="1143"/>
      <c r="M192" s="1143"/>
      <c r="N192" s="1143"/>
      <c r="O192" s="1143"/>
      <c r="P192" s="1143"/>
      <c r="Q192" s="1143"/>
      <c r="R192" s="1143"/>
      <c r="S192" s="1143"/>
      <c r="T192" s="1143"/>
      <c r="U192" s="1143"/>
      <c r="V192" s="1143"/>
      <c r="W192" s="1145"/>
    </row>
    <row r="193" spans="1:23" customFormat="1" ht="16.5" customHeight="1">
      <c r="A193" s="134" t="s">
        <v>155</v>
      </c>
      <c r="B193" s="135">
        <v>13</v>
      </c>
      <c r="C193" s="136">
        <v>46105</v>
      </c>
      <c r="D193" s="137" t="s">
        <v>142</v>
      </c>
      <c r="E193" s="468" t="s">
        <v>387</v>
      </c>
      <c r="F193" s="468" t="s">
        <v>283</v>
      </c>
      <c r="G193" s="468" t="s">
        <v>28</v>
      </c>
      <c r="H193" s="139">
        <v>5535145</v>
      </c>
      <c r="I193" s="468" t="s">
        <v>488</v>
      </c>
      <c r="J193" s="468">
        <v>24</v>
      </c>
      <c r="K193" s="1143"/>
      <c r="L193" s="1143"/>
      <c r="M193" s="1143"/>
      <c r="N193" s="1143"/>
      <c r="O193" s="1143"/>
      <c r="P193" s="1143"/>
      <c r="Q193" s="1143"/>
      <c r="R193" s="1143"/>
      <c r="S193" s="1143"/>
      <c r="T193" s="1143"/>
      <c r="U193" s="1143"/>
      <c r="V193" s="1143"/>
      <c r="W193" s="1145"/>
    </row>
    <row r="194" spans="1:23" customFormat="1" ht="16.5" customHeight="1" thickBot="1">
      <c r="A194" s="481" t="s">
        <v>155</v>
      </c>
      <c r="B194" s="482">
        <v>13</v>
      </c>
      <c r="C194" s="483">
        <v>46105</v>
      </c>
      <c r="D194" s="484" t="s">
        <v>142</v>
      </c>
      <c r="E194" s="485" t="s">
        <v>387</v>
      </c>
      <c r="F194" s="485" t="s">
        <v>283</v>
      </c>
      <c r="G194" s="485" t="s">
        <v>32</v>
      </c>
      <c r="H194" s="486">
        <v>5535144</v>
      </c>
      <c r="I194" s="485" t="s">
        <v>489</v>
      </c>
      <c r="J194" s="485">
        <v>80</v>
      </c>
      <c r="K194" s="1240"/>
      <c r="L194" s="1240"/>
      <c r="M194" s="1240"/>
      <c r="N194" s="1240"/>
      <c r="O194" s="1240"/>
      <c r="P194" s="1240"/>
      <c r="Q194" s="1240"/>
      <c r="R194" s="1240"/>
      <c r="S194" s="1240"/>
      <c r="T194" s="1240"/>
      <c r="U194" s="1240"/>
      <c r="V194" s="1240"/>
      <c r="W194" s="1241"/>
    </row>
    <row r="195" spans="1:23" customFormat="1" ht="16.5" customHeight="1">
      <c r="A195" s="63" t="s">
        <v>155</v>
      </c>
      <c r="B195" s="64">
        <v>13</v>
      </c>
      <c r="C195" s="65">
        <v>46105</v>
      </c>
      <c r="D195" s="66" t="s">
        <v>142</v>
      </c>
      <c r="E195" s="469" t="s">
        <v>232</v>
      </c>
      <c r="F195" s="469" t="s">
        <v>275</v>
      </c>
      <c r="G195" s="469" t="s">
        <v>37</v>
      </c>
      <c r="H195" s="163">
        <v>5823326</v>
      </c>
      <c r="I195" s="469">
        <v>4523454105</v>
      </c>
      <c r="J195" s="469">
        <v>10</v>
      </c>
      <c r="K195" s="1142">
        <v>1</v>
      </c>
      <c r="L195" s="1142"/>
      <c r="M195" s="1142">
        <v>0</v>
      </c>
      <c r="N195" s="1142" t="s">
        <v>149</v>
      </c>
      <c r="O195" s="1142"/>
      <c r="P195" s="1142"/>
      <c r="Q195" s="1142"/>
      <c r="R195" s="1142"/>
      <c r="S195" s="1142"/>
      <c r="T195" s="1142"/>
      <c r="U195" s="1142"/>
      <c r="V195" s="1142"/>
      <c r="W195" s="1153"/>
    </row>
    <row r="196" spans="1:23" customFormat="1" ht="16.5" customHeight="1">
      <c r="A196" s="134" t="s">
        <v>155</v>
      </c>
      <c r="B196" s="135">
        <v>13</v>
      </c>
      <c r="C196" s="136">
        <v>46106</v>
      </c>
      <c r="D196" s="137" t="s">
        <v>142</v>
      </c>
      <c r="E196" s="470" t="s">
        <v>232</v>
      </c>
      <c r="F196" s="470" t="s">
        <v>266</v>
      </c>
      <c r="G196" s="470" t="s">
        <v>37</v>
      </c>
      <c r="H196" s="139">
        <v>5766065</v>
      </c>
      <c r="I196" s="470" t="s">
        <v>490</v>
      </c>
      <c r="J196" s="470">
        <v>270</v>
      </c>
      <c r="K196" s="1165"/>
      <c r="L196" s="1165"/>
      <c r="M196" s="1165"/>
      <c r="N196" s="1165"/>
      <c r="O196" s="1165"/>
      <c r="P196" s="1165"/>
      <c r="Q196" s="1165"/>
      <c r="R196" s="1165"/>
      <c r="S196" s="1165"/>
      <c r="T196" s="1165"/>
      <c r="U196" s="1165"/>
      <c r="V196" s="1165"/>
      <c r="W196" s="1167"/>
    </row>
    <row r="197" spans="1:23" customFormat="1" ht="16.5" customHeight="1" thickBot="1">
      <c r="A197" s="116" t="s">
        <v>155</v>
      </c>
      <c r="B197" s="141">
        <v>13</v>
      </c>
      <c r="C197" s="142">
        <v>46106</v>
      </c>
      <c r="D197" s="143" t="s">
        <v>142</v>
      </c>
      <c r="E197" s="471" t="s">
        <v>232</v>
      </c>
      <c r="F197" s="471" t="s">
        <v>266</v>
      </c>
      <c r="G197" s="471" t="s">
        <v>37</v>
      </c>
      <c r="H197" s="145">
        <v>5766065</v>
      </c>
      <c r="I197" s="471" t="s">
        <v>491</v>
      </c>
      <c r="J197" s="471">
        <v>230</v>
      </c>
      <c r="K197" s="1156"/>
      <c r="L197" s="1156"/>
      <c r="M197" s="1156"/>
      <c r="N197" s="1156"/>
      <c r="O197" s="1156"/>
      <c r="P197" s="1156"/>
      <c r="Q197" s="1156"/>
      <c r="R197" s="1156"/>
      <c r="S197" s="1156"/>
      <c r="T197" s="1156"/>
      <c r="U197" s="1156"/>
      <c r="V197" s="1156"/>
      <c r="W197" s="1158"/>
    </row>
    <row r="198" spans="1:23" customFormat="1" ht="16.5" customHeight="1">
      <c r="A198" s="219" t="s">
        <v>155</v>
      </c>
      <c r="B198" s="214">
        <v>13</v>
      </c>
      <c r="C198" s="215">
        <v>46107</v>
      </c>
      <c r="D198" s="216" t="s">
        <v>142</v>
      </c>
      <c r="E198" s="472" t="s">
        <v>232</v>
      </c>
      <c r="F198" s="472" t="s">
        <v>266</v>
      </c>
      <c r="G198" s="472" t="s">
        <v>37</v>
      </c>
      <c r="H198" s="217">
        <v>5766065</v>
      </c>
      <c r="I198" s="472" t="s">
        <v>491</v>
      </c>
      <c r="J198" s="472">
        <v>170</v>
      </c>
      <c r="K198" s="1150">
        <v>1</v>
      </c>
      <c r="L198" s="1150"/>
      <c r="M198" s="1150">
        <v>0</v>
      </c>
      <c r="N198" s="1150" t="s">
        <v>149</v>
      </c>
      <c r="O198" s="1150"/>
      <c r="P198" s="1150"/>
      <c r="Q198" s="1150"/>
      <c r="R198" s="1150"/>
      <c r="S198" s="1150"/>
      <c r="T198" s="1150"/>
      <c r="U198" s="1150"/>
      <c r="V198" s="1150"/>
      <c r="W198" s="1151"/>
    </row>
    <row r="199" spans="1:23" customFormat="1" ht="16.5" customHeight="1" thickBot="1">
      <c r="A199" s="116" t="s">
        <v>155</v>
      </c>
      <c r="B199" s="141">
        <v>13</v>
      </c>
      <c r="C199" s="142">
        <v>46107</v>
      </c>
      <c r="D199" s="143" t="s">
        <v>142</v>
      </c>
      <c r="E199" s="471" t="s">
        <v>232</v>
      </c>
      <c r="F199" s="471" t="s">
        <v>266</v>
      </c>
      <c r="G199" s="471" t="s">
        <v>37</v>
      </c>
      <c r="H199" s="145">
        <v>5766065</v>
      </c>
      <c r="I199" s="471" t="s">
        <v>492</v>
      </c>
      <c r="J199" s="471">
        <v>359</v>
      </c>
      <c r="K199" s="1147"/>
      <c r="L199" s="1147"/>
      <c r="M199" s="1147"/>
      <c r="N199" s="1147"/>
      <c r="O199" s="1147"/>
      <c r="P199" s="1147"/>
      <c r="Q199" s="1147"/>
      <c r="R199" s="1147"/>
      <c r="S199" s="1147"/>
      <c r="T199" s="1147"/>
      <c r="U199" s="1147"/>
      <c r="V199" s="1147"/>
      <c r="W199" s="1149"/>
    </row>
    <row r="200" spans="1:23" customFormat="1" ht="16.5" customHeight="1">
      <c r="A200" s="63" t="s">
        <v>155</v>
      </c>
      <c r="B200" s="64">
        <v>13</v>
      </c>
      <c r="C200" s="65">
        <v>46108</v>
      </c>
      <c r="D200" s="66" t="s">
        <v>142</v>
      </c>
      <c r="E200" s="480" t="s">
        <v>232</v>
      </c>
      <c r="F200" s="480" t="s">
        <v>266</v>
      </c>
      <c r="G200" s="480" t="s">
        <v>37</v>
      </c>
      <c r="H200" s="163">
        <v>5766065</v>
      </c>
      <c r="I200" s="480" t="s">
        <v>492</v>
      </c>
      <c r="J200" s="480">
        <v>100</v>
      </c>
      <c r="K200" s="1238">
        <v>1</v>
      </c>
      <c r="L200" s="1238"/>
      <c r="M200" s="1238">
        <v>0</v>
      </c>
      <c r="N200" s="1238" t="s">
        <v>149</v>
      </c>
      <c r="O200" s="1238"/>
      <c r="P200" s="1238"/>
      <c r="Q200" s="1238"/>
      <c r="R200" s="1238"/>
      <c r="S200" s="1238"/>
      <c r="T200" s="1238"/>
      <c r="U200" s="1238"/>
      <c r="V200" s="1238"/>
      <c r="W200" s="1239"/>
    </row>
    <row r="201" spans="1:23" customFormat="1" ht="16.5" customHeight="1" thickBot="1">
      <c r="A201" s="116" t="s">
        <v>155</v>
      </c>
      <c r="B201" s="141">
        <v>13</v>
      </c>
      <c r="C201" s="142">
        <v>46108</v>
      </c>
      <c r="D201" s="143" t="s">
        <v>142</v>
      </c>
      <c r="E201" s="479" t="s">
        <v>232</v>
      </c>
      <c r="F201" s="479" t="s">
        <v>267</v>
      </c>
      <c r="G201" s="479" t="s">
        <v>37</v>
      </c>
      <c r="H201" s="145">
        <v>5771962</v>
      </c>
      <c r="I201" s="479" t="s">
        <v>493</v>
      </c>
      <c r="J201" s="479">
        <v>430</v>
      </c>
      <c r="K201" s="1147"/>
      <c r="L201" s="1147"/>
      <c r="M201" s="1147"/>
      <c r="N201" s="1147"/>
      <c r="O201" s="1147"/>
      <c r="P201" s="1147"/>
      <c r="Q201" s="1147"/>
      <c r="R201" s="1147"/>
      <c r="S201" s="1147"/>
      <c r="T201" s="1147"/>
      <c r="U201" s="1147"/>
      <c r="V201" s="1147"/>
      <c r="W201" s="1149"/>
    </row>
    <row r="202" spans="1:23" customFormat="1" ht="16.5" customHeight="1" thickBot="1">
      <c r="A202" s="63" t="s">
        <v>155</v>
      </c>
      <c r="B202" s="149">
        <v>13</v>
      </c>
      <c r="C202" s="150">
        <v>46109</v>
      </c>
      <c r="D202" s="151" t="s">
        <v>142</v>
      </c>
      <c r="E202" s="491" t="s">
        <v>265</v>
      </c>
      <c r="F202" s="491" t="s">
        <v>270</v>
      </c>
      <c r="G202" s="491" t="s">
        <v>37</v>
      </c>
      <c r="H202" s="153">
        <v>5447763</v>
      </c>
      <c r="I202" s="489" t="s">
        <v>496</v>
      </c>
      <c r="J202" s="491">
        <v>100</v>
      </c>
      <c r="K202" s="1229">
        <v>1</v>
      </c>
      <c r="L202" s="1229">
        <v>5</v>
      </c>
      <c r="M202" s="1229">
        <v>1</v>
      </c>
      <c r="N202" s="1229" t="s">
        <v>149</v>
      </c>
      <c r="O202" s="1229" t="s">
        <v>61</v>
      </c>
      <c r="P202" s="1229" t="s">
        <v>74</v>
      </c>
      <c r="Q202" s="1229" t="s">
        <v>494</v>
      </c>
      <c r="R202" s="1229" t="s">
        <v>31</v>
      </c>
      <c r="S202" s="1229" t="s">
        <v>301</v>
      </c>
      <c r="T202" s="1229" t="s">
        <v>185</v>
      </c>
      <c r="U202" s="1229"/>
      <c r="V202" s="1229" t="s">
        <v>149</v>
      </c>
      <c r="W202" s="1233">
        <v>1</v>
      </c>
    </row>
    <row r="203" spans="1:23" customFormat="1" ht="16.5" customHeight="1" thickBot="1">
      <c r="A203" s="134" t="s">
        <v>155</v>
      </c>
      <c r="B203" s="135">
        <v>13</v>
      </c>
      <c r="C203" s="136">
        <v>46109</v>
      </c>
      <c r="D203" s="137" t="s">
        <v>142</v>
      </c>
      <c r="E203" s="487" t="s">
        <v>265</v>
      </c>
      <c r="F203" s="487" t="s">
        <v>270</v>
      </c>
      <c r="G203" s="487" t="s">
        <v>37</v>
      </c>
      <c r="H203" s="139">
        <v>5447763</v>
      </c>
      <c r="I203" s="489" t="s">
        <v>497</v>
      </c>
      <c r="J203" s="487">
        <v>200</v>
      </c>
      <c r="K203" s="1150"/>
      <c r="L203" s="1165"/>
      <c r="M203" s="1150"/>
      <c r="N203" s="1150"/>
      <c r="O203" s="1165"/>
      <c r="P203" s="1165"/>
      <c r="Q203" s="1165"/>
      <c r="R203" s="1165"/>
      <c r="S203" s="1165"/>
      <c r="T203" s="1165"/>
      <c r="U203" s="1150"/>
      <c r="V203" s="1150"/>
      <c r="W203" s="1151"/>
    </row>
    <row r="204" spans="1:23" customFormat="1" ht="16.5" customHeight="1" thickBot="1">
      <c r="A204" s="496" t="s">
        <v>155</v>
      </c>
      <c r="B204" s="497">
        <v>13</v>
      </c>
      <c r="C204" s="498">
        <v>46109</v>
      </c>
      <c r="D204" s="499" t="s">
        <v>142</v>
      </c>
      <c r="E204" s="500" t="s">
        <v>265</v>
      </c>
      <c r="F204" s="500" t="s">
        <v>270</v>
      </c>
      <c r="G204" s="500" t="s">
        <v>37</v>
      </c>
      <c r="H204" s="501">
        <v>5447763</v>
      </c>
      <c r="I204" s="495" t="s">
        <v>498</v>
      </c>
      <c r="J204" s="500">
        <v>200</v>
      </c>
      <c r="K204" s="1150"/>
      <c r="L204" s="488">
        <v>5</v>
      </c>
      <c r="M204" s="1150"/>
      <c r="N204" s="1150"/>
      <c r="O204" s="488" t="s">
        <v>96</v>
      </c>
      <c r="P204" s="488" t="s">
        <v>40</v>
      </c>
      <c r="Q204" s="488" t="s">
        <v>495</v>
      </c>
      <c r="R204" s="488" t="s">
        <v>31</v>
      </c>
      <c r="S204" s="488" t="s">
        <v>184</v>
      </c>
      <c r="T204" s="488" t="s">
        <v>185</v>
      </c>
      <c r="U204" s="1150"/>
      <c r="V204" s="1150"/>
      <c r="W204" s="1151"/>
    </row>
    <row r="205" spans="1:23" customFormat="1" ht="16.5" customHeight="1">
      <c r="A205" s="63" t="s">
        <v>155</v>
      </c>
      <c r="B205" s="149">
        <v>14</v>
      </c>
      <c r="C205" s="150">
        <v>46111</v>
      </c>
      <c r="D205" s="151" t="s">
        <v>142</v>
      </c>
      <c r="E205" s="491" t="s">
        <v>265</v>
      </c>
      <c r="F205" s="491" t="s">
        <v>271</v>
      </c>
      <c r="G205" s="491" t="s">
        <v>37</v>
      </c>
      <c r="H205" s="153">
        <v>5447762</v>
      </c>
      <c r="I205" s="491" t="s">
        <v>499</v>
      </c>
      <c r="J205" s="491">
        <v>200</v>
      </c>
      <c r="K205" s="1152">
        <v>1</v>
      </c>
      <c r="L205" s="1152">
        <v>5</v>
      </c>
      <c r="M205" s="1152">
        <v>1</v>
      </c>
      <c r="N205" s="1152" t="s">
        <v>149</v>
      </c>
      <c r="O205" s="1152" t="s">
        <v>39</v>
      </c>
      <c r="P205" s="1152" t="s">
        <v>40</v>
      </c>
      <c r="Q205" s="1152" t="s">
        <v>316</v>
      </c>
      <c r="R205" s="1152" t="s">
        <v>31</v>
      </c>
      <c r="S205" s="1152" t="s">
        <v>184</v>
      </c>
      <c r="T205" s="1152" t="s">
        <v>185</v>
      </c>
      <c r="U205" s="1152"/>
      <c r="V205" s="1152" t="s">
        <v>149</v>
      </c>
      <c r="W205" s="1153">
        <v>1</v>
      </c>
    </row>
    <row r="206" spans="1:23" customFormat="1" ht="16.5" customHeight="1">
      <c r="A206" s="134" t="s">
        <v>155</v>
      </c>
      <c r="B206" s="135">
        <v>14</v>
      </c>
      <c r="C206" s="136">
        <v>46111</v>
      </c>
      <c r="D206" s="137" t="s">
        <v>142</v>
      </c>
      <c r="E206" s="487" t="s">
        <v>265</v>
      </c>
      <c r="F206" s="487" t="s">
        <v>271</v>
      </c>
      <c r="G206" s="487" t="s">
        <v>37</v>
      </c>
      <c r="H206" s="139">
        <v>5447762</v>
      </c>
      <c r="I206" s="487" t="s">
        <v>500</v>
      </c>
      <c r="J206" s="487">
        <v>200</v>
      </c>
      <c r="K206" s="1143"/>
      <c r="L206" s="1143"/>
      <c r="M206" s="1143"/>
      <c r="N206" s="1143"/>
      <c r="O206" s="1143"/>
      <c r="P206" s="1143"/>
      <c r="Q206" s="1143"/>
      <c r="R206" s="1143"/>
      <c r="S206" s="1143"/>
      <c r="T206" s="1143"/>
      <c r="U206" s="1143"/>
      <c r="V206" s="1143"/>
      <c r="W206" s="1145"/>
    </row>
    <row r="207" spans="1:23" customFormat="1" ht="16.5" customHeight="1">
      <c r="A207" s="134" t="s">
        <v>155</v>
      </c>
      <c r="B207" s="135">
        <v>14</v>
      </c>
      <c r="C207" s="136">
        <v>46111</v>
      </c>
      <c r="D207" s="137" t="s">
        <v>142</v>
      </c>
      <c r="E207" s="487" t="s">
        <v>387</v>
      </c>
      <c r="F207" s="487" t="s">
        <v>282</v>
      </c>
      <c r="G207" s="487" t="s">
        <v>32</v>
      </c>
      <c r="H207" s="139">
        <v>5535140</v>
      </c>
      <c r="I207" s="487" t="s">
        <v>501</v>
      </c>
      <c r="J207" s="487">
        <v>56</v>
      </c>
      <c r="K207" s="1143">
        <v>1</v>
      </c>
      <c r="L207" s="1143">
        <v>5</v>
      </c>
      <c r="M207" s="1143">
        <v>1</v>
      </c>
      <c r="N207" s="1143" t="s">
        <v>149</v>
      </c>
      <c r="O207" s="1143" t="s">
        <v>39</v>
      </c>
      <c r="P207" s="1143" t="s">
        <v>30</v>
      </c>
      <c r="Q207" s="1143" t="s">
        <v>512</v>
      </c>
      <c r="R207" s="1143" t="s">
        <v>31</v>
      </c>
      <c r="S207" s="1143" t="s">
        <v>184</v>
      </c>
      <c r="T207" s="1143" t="s">
        <v>185</v>
      </c>
      <c r="U207" s="1143"/>
      <c r="V207" s="1143" t="s">
        <v>149</v>
      </c>
      <c r="W207" s="1145">
        <v>1</v>
      </c>
    </row>
    <row r="208" spans="1:23" customFormat="1" ht="16.5" customHeight="1">
      <c r="A208" s="134" t="s">
        <v>155</v>
      </c>
      <c r="B208" s="135">
        <v>14</v>
      </c>
      <c r="C208" s="136">
        <v>46111</v>
      </c>
      <c r="D208" s="137" t="s">
        <v>142</v>
      </c>
      <c r="E208" s="487" t="s">
        <v>387</v>
      </c>
      <c r="F208" s="487" t="s">
        <v>282</v>
      </c>
      <c r="G208" s="487" t="s">
        <v>32</v>
      </c>
      <c r="H208" s="139">
        <v>5535140</v>
      </c>
      <c r="I208" s="487" t="s">
        <v>502</v>
      </c>
      <c r="J208" s="487">
        <v>24</v>
      </c>
      <c r="K208" s="1143"/>
      <c r="L208" s="1143"/>
      <c r="M208" s="1143"/>
      <c r="N208" s="1143"/>
      <c r="O208" s="1143"/>
      <c r="P208" s="1143"/>
      <c r="Q208" s="1143"/>
      <c r="R208" s="1143"/>
      <c r="S208" s="1143"/>
      <c r="T208" s="1143"/>
      <c r="U208" s="1143"/>
      <c r="V208" s="1143"/>
      <c r="W208" s="1145"/>
    </row>
    <row r="209" spans="1:23" customFormat="1" ht="16.5" customHeight="1" thickBot="1">
      <c r="A209" s="507" t="s">
        <v>155</v>
      </c>
      <c r="B209" s="508">
        <v>14</v>
      </c>
      <c r="C209" s="509">
        <v>46111</v>
      </c>
      <c r="D209" s="510" t="s">
        <v>142</v>
      </c>
      <c r="E209" s="511" t="s">
        <v>387</v>
      </c>
      <c r="F209" s="511" t="s">
        <v>282</v>
      </c>
      <c r="G209" s="511" t="s">
        <v>32</v>
      </c>
      <c r="H209" s="512">
        <v>5535140</v>
      </c>
      <c r="I209" s="511" t="s">
        <v>503</v>
      </c>
      <c r="J209" s="511">
        <v>24</v>
      </c>
      <c r="K209" s="1236"/>
      <c r="L209" s="1236"/>
      <c r="M209" s="1236"/>
      <c r="N209" s="1236"/>
      <c r="O209" s="1236"/>
      <c r="P209" s="1236"/>
      <c r="Q209" s="1236"/>
      <c r="R209" s="1236"/>
      <c r="S209" s="1236"/>
      <c r="T209" s="1236"/>
      <c r="U209" s="1236"/>
      <c r="V209" s="1236"/>
      <c r="W209" s="1237"/>
    </row>
    <row r="210" spans="1:23" customFormat="1" ht="16.5" customHeight="1">
      <c r="A210" s="63" t="s">
        <v>155</v>
      </c>
      <c r="B210" s="64">
        <v>14</v>
      </c>
      <c r="C210" s="65">
        <v>46112</v>
      </c>
      <c r="D210" s="66" t="s">
        <v>143</v>
      </c>
      <c r="E210" s="504" t="s">
        <v>157</v>
      </c>
      <c r="F210" s="504" t="s">
        <v>158</v>
      </c>
      <c r="G210" s="504" t="s">
        <v>28</v>
      </c>
      <c r="H210" s="163">
        <v>4248138</v>
      </c>
      <c r="I210" s="504">
        <v>4523957701</v>
      </c>
      <c r="J210" s="1142">
        <v>7</v>
      </c>
      <c r="K210" s="1142">
        <v>1</v>
      </c>
      <c r="L210" s="504">
        <v>5</v>
      </c>
      <c r="M210" s="1142">
        <v>1</v>
      </c>
      <c r="N210" s="1142" t="s">
        <v>149</v>
      </c>
      <c r="O210" s="504" t="s">
        <v>299</v>
      </c>
      <c r="P210" s="504" t="s">
        <v>62</v>
      </c>
      <c r="Q210" s="504" t="s">
        <v>341</v>
      </c>
      <c r="R210" s="504" t="s">
        <v>31</v>
      </c>
      <c r="S210" s="504" t="s">
        <v>184</v>
      </c>
      <c r="T210" s="504" t="s">
        <v>185</v>
      </c>
      <c r="U210" s="1142"/>
      <c r="V210" s="1142" t="s">
        <v>149</v>
      </c>
      <c r="W210" s="1153">
        <v>1</v>
      </c>
    </row>
    <row r="211" spans="1:23" customFormat="1" ht="16.5" customHeight="1">
      <c r="A211" s="134" t="s">
        <v>155</v>
      </c>
      <c r="B211" s="135">
        <v>14</v>
      </c>
      <c r="C211" s="136">
        <v>46112</v>
      </c>
      <c r="D211" s="137" t="s">
        <v>143</v>
      </c>
      <c r="E211" s="502" t="s">
        <v>157</v>
      </c>
      <c r="F211" s="502" t="s">
        <v>158</v>
      </c>
      <c r="G211" s="502" t="s">
        <v>28</v>
      </c>
      <c r="H211" s="139">
        <v>4248138</v>
      </c>
      <c r="I211" s="502">
        <v>4523957701</v>
      </c>
      <c r="J211" s="1143"/>
      <c r="K211" s="1143"/>
      <c r="L211" s="502">
        <v>5</v>
      </c>
      <c r="M211" s="1143"/>
      <c r="N211" s="1143"/>
      <c r="O211" s="502" t="s">
        <v>29</v>
      </c>
      <c r="P211" s="502" t="s">
        <v>30</v>
      </c>
      <c r="Q211" s="502" t="s">
        <v>300</v>
      </c>
      <c r="R211" s="502" t="s">
        <v>31</v>
      </c>
      <c r="S211" s="502" t="s">
        <v>184</v>
      </c>
      <c r="T211" s="502" t="s">
        <v>185</v>
      </c>
      <c r="U211" s="1143"/>
      <c r="V211" s="1143"/>
      <c r="W211" s="1145"/>
    </row>
    <row r="212" spans="1:23" customFormat="1" ht="16.5" customHeight="1">
      <c r="A212" s="134" t="s">
        <v>155</v>
      </c>
      <c r="B212" s="135">
        <v>14</v>
      </c>
      <c r="C212" s="136">
        <v>46112</v>
      </c>
      <c r="D212" s="137" t="s">
        <v>142</v>
      </c>
      <c r="E212" s="502" t="s">
        <v>232</v>
      </c>
      <c r="F212" s="502" t="s">
        <v>268</v>
      </c>
      <c r="G212" s="502" t="s">
        <v>176</v>
      </c>
      <c r="H212" s="139">
        <v>5771802</v>
      </c>
      <c r="I212" s="502" t="s">
        <v>504</v>
      </c>
      <c r="J212" s="502">
        <v>75</v>
      </c>
      <c r="K212" s="1143">
        <v>1</v>
      </c>
      <c r="L212" s="1143"/>
      <c r="M212" s="1143">
        <v>0</v>
      </c>
      <c r="N212" s="1143" t="s">
        <v>149</v>
      </c>
      <c r="O212" s="1143"/>
      <c r="P212" s="1143"/>
      <c r="Q212" s="1143"/>
      <c r="R212" s="1143"/>
      <c r="S212" s="1143"/>
      <c r="T212" s="1143"/>
      <c r="U212" s="1143"/>
      <c r="V212" s="1143"/>
      <c r="W212" s="1145"/>
    </row>
    <row r="213" spans="1:23" customFormat="1" ht="16.5" customHeight="1">
      <c r="A213" s="134" t="s">
        <v>155</v>
      </c>
      <c r="B213" s="135">
        <v>14</v>
      </c>
      <c r="C213" s="136">
        <v>46112</v>
      </c>
      <c r="D213" s="137" t="s">
        <v>142</v>
      </c>
      <c r="E213" s="502" t="s">
        <v>232</v>
      </c>
      <c r="F213" s="502" t="s">
        <v>268</v>
      </c>
      <c r="G213" s="502" t="s">
        <v>176</v>
      </c>
      <c r="H213" s="139">
        <v>5771802</v>
      </c>
      <c r="I213" s="502" t="s">
        <v>505</v>
      </c>
      <c r="J213" s="502">
        <v>100</v>
      </c>
      <c r="K213" s="1143"/>
      <c r="L213" s="1143"/>
      <c r="M213" s="1143"/>
      <c r="N213" s="1143"/>
      <c r="O213" s="1143"/>
      <c r="P213" s="1143"/>
      <c r="Q213" s="1143"/>
      <c r="R213" s="1143"/>
      <c r="S213" s="1143"/>
      <c r="T213" s="1143"/>
      <c r="U213" s="1143"/>
      <c r="V213" s="1143"/>
      <c r="W213" s="1145"/>
    </row>
    <row r="214" spans="1:23" customFormat="1" ht="16.5" customHeight="1">
      <c r="A214" s="134" t="s">
        <v>155</v>
      </c>
      <c r="B214" s="135">
        <v>14</v>
      </c>
      <c r="C214" s="136">
        <v>46112</v>
      </c>
      <c r="D214" s="137" t="s">
        <v>142</v>
      </c>
      <c r="E214" s="502" t="s">
        <v>232</v>
      </c>
      <c r="F214" s="502" t="s">
        <v>268</v>
      </c>
      <c r="G214" s="502" t="s">
        <v>176</v>
      </c>
      <c r="H214" s="139">
        <v>5771802</v>
      </c>
      <c r="I214" s="502" t="s">
        <v>506</v>
      </c>
      <c r="J214" s="502">
        <v>200</v>
      </c>
      <c r="K214" s="1143"/>
      <c r="L214" s="1143"/>
      <c r="M214" s="1143"/>
      <c r="N214" s="1143"/>
      <c r="O214" s="1143"/>
      <c r="P214" s="1143"/>
      <c r="Q214" s="1143"/>
      <c r="R214" s="1143"/>
      <c r="S214" s="1143"/>
      <c r="T214" s="1143"/>
      <c r="U214" s="1143"/>
      <c r="V214" s="1143"/>
      <c r="W214" s="1145"/>
    </row>
    <row r="215" spans="1:23" customFormat="1" ht="16.5" customHeight="1" thickBot="1">
      <c r="A215" s="116" t="s">
        <v>155</v>
      </c>
      <c r="B215" s="141">
        <v>14</v>
      </c>
      <c r="C215" s="142">
        <v>46112</v>
      </c>
      <c r="D215" s="143" t="s">
        <v>142</v>
      </c>
      <c r="E215" s="503" t="s">
        <v>232</v>
      </c>
      <c r="F215" s="503" t="s">
        <v>268</v>
      </c>
      <c r="G215" s="503" t="s">
        <v>176</v>
      </c>
      <c r="H215" s="145">
        <v>5771802</v>
      </c>
      <c r="I215" s="503" t="s">
        <v>507</v>
      </c>
      <c r="J215" s="503">
        <v>110</v>
      </c>
      <c r="K215" s="1156"/>
      <c r="L215" s="1156"/>
      <c r="M215" s="1156"/>
      <c r="N215" s="1156"/>
      <c r="O215" s="1156"/>
      <c r="P215" s="1156"/>
      <c r="Q215" s="1156"/>
      <c r="R215" s="1156"/>
      <c r="S215" s="1156"/>
      <c r="T215" s="1156"/>
      <c r="U215" s="1156"/>
      <c r="V215" s="1156"/>
      <c r="W215" s="1158"/>
    </row>
    <row r="216" spans="1:23" customFormat="1" ht="16.5" customHeight="1">
      <c r="A216" s="63" t="s">
        <v>156</v>
      </c>
      <c r="B216" s="64">
        <v>14</v>
      </c>
      <c r="C216" s="65">
        <v>46113</v>
      </c>
      <c r="D216" s="66" t="s">
        <v>142</v>
      </c>
      <c r="E216" s="506" t="s">
        <v>232</v>
      </c>
      <c r="F216" s="506" t="s">
        <v>268</v>
      </c>
      <c r="G216" s="506" t="s">
        <v>176</v>
      </c>
      <c r="H216" s="163">
        <v>5771802</v>
      </c>
      <c r="I216" s="506" t="s">
        <v>507</v>
      </c>
      <c r="J216" s="506">
        <v>90</v>
      </c>
      <c r="K216" s="1229">
        <v>1</v>
      </c>
      <c r="L216" s="1229">
        <v>5</v>
      </c>
      <c r="M216" s="1229">
        <v>1</v>
      </c>
      <c r="N216" s="1229" t="s">
        <v>149</v>
      </c>
      <c r="O216" s="1229" t="s">
        <v>67</v>
      </c>
      <c r="P216" s="1229" t="s">
        <v>57</v>
      </c>
      <c r="Q216" s="1229" t="s">
        <v>520</v>
      </c>
      <c r="R216" s="1229" t="s">
        <v>58</v>
      </c>
      <c r="S216" s="1229" t="s">
        <v>184</v>
      </c>
      <c r="T216" s="1229" t="s">
        <v>185</v>
      </c>
      <c r="U216" s="1229"/>
      <c r="V216" s="1229" t="s">
        <v>149</v>
      </c>
      <c r="W216" s="1233">
        <v>1</v>
      </c>
    </row>
    <row r="217" spans="1:23" customFormat="1" ht="16.5" customHeight="1">
      <c r="A217" s="134" t="s">
        <v>156</v>
      </c>
      <c r="B217" s="135">
        <v>14</v>
      </c>
      <c r="C217" s="136">
        <v>46113</v>
      </c>
      <c r="D217" s="137" t="s">
        <v>142</v>
      </c>
      <c r="E217" s="505" t="s">
        <v>232</v>
      </c>
      <c r="F217" s="505" t="s">
        <v>269</v>
      </c>
      <c r="G217" s="505" t="s">
        <v>176</v>
      </c>
      <c r="H217" s="139">
        <v>5773217</v>
      </c>
      <c r="I217" s="505" t="s">
        <v>513</v>
      </c>
      <c r="J217" s="505">
        <v>200</v>
      </c>
      <c r="K217" s="1150"/>
      <c r="L217" s="1150"/>
      <c r="M217" s="1150"/>
      <c r="N217" s="1150"/>
      <c r="O217" s="1150"/>
      <c r="P217" s="1150"/>
      <c r="Q217" s="1150"/>
      <c r="R217" s="1150"/>
      <c r="S217" s="1150"/>
      <c r="T217" s="1150"/>
      <c r="U217" s="1150"/>
      <c r="V217" s="1150"/>
      <c r="W217" s="1151"/>
    </row>
    <row r="218" spans="1:23" customFormat="1" ht="16.5" customHeight="1" thickBot="1">
      <c r="A218" s="520" t="s">
        <v>156</v>
      </c>
      <c r="B218" s="521">
        <v>14</v>
      </c>
      <c r="C218" s="522">
        <v>46113</v>
      </c>
      <c r="D218" s="523" t="s">
        <v>142</v>
      </c>
      <c r="E218" s="524" t="s">
        <v>232</v>
      </c>
      <c r="F218" s="524" t="s">
        <v>269</v>
      </c>
      <c r="G218" s="524" t="s">
        <v>176</v>
      </c>
      <c r="H218" s="525">
        <v>5773217</v>
      </c>
      <c r="I218" s="524" t="s">
        <v>514</v>
      </c>
      <c r="J218" s="524">
        <v>157</v>
      </c>
      <c r="K218" s="1150"/>
      <c r="L218" s="1150"/>
      <c r="M218" s="1150"/>
      <c r="N218" s="1150"/>
      <c r="O218" s="1150"/>
      <c r="P218" s="1150"/>
      <c r="Q218" s="1150"/>
      <c r="R218" s="1150"/>
      <c r="S218" s="1150"/>
      <c r="T218" s="1150"/>
      <c r="U218" s="1150"/>
      <c r="V218" s="1150"/>
      <c r="W218" s="1151"/>
    </row>
    <row r="219" spans="1:23" customFormat="1" ht="16.5" customHeight="1">
      <c r="A219" s="63" t="s">
        <v>156</v>
      </c>
      <c r="B219" s="149">
        <v>14</v>
      </c>
      <c r="C219" s="150">
        <v>46114</v>
      </c>
      <c r="D219" s="151" t="s">
        <v>142</v>
      </c>
      <c r="E219" s="514" t="s">
        <v>232</v>
      </c>
      <c r="F219" s="514" t="s">
        <v>269</v>
      </c>
      <c r="G219" s="514" t="s">
        <v>176</v>
      </c>
      <c r="H219" s="153">
        <v>5773217</v>
      </c>
      <c r="I219" s="514" t="s">
        <v>514</v>
      </c>
      <c r="J219" s="514">
        <v>50</v>
      </c>
      <c r="K219" s="1152">
        <v>1</v>
      </c>
      <c r="L219" s="1152">
        <v>5</v>
      </c>
      <c r="M219" s="1152">
        <v>160</v>
      </c>
      <c r="N219" s="1231" t="s">
        <v>187</v>
      </c>
      <c r="O219" s="1152" t="s">
        <v>96</v>
      </c>
      <c r="P219" s="1152" t="s">
        <v>40</v>
      </c>
      <c r="Q219" s="1235" t="s">
        <v>521</v>
      </c>
      <c r="R219" s="1152" t="s">
        <v>31</v>
      </c>
      <c r="S219" s="1152" t="s">
        <v>184</v>
      </c>
      <c r="T219" s="1152" t="s">
        <v>185</v>
      </c>
      <c r="U219" s="1234" t="s">
        <v>522</v>
      </c>
      <c r="V219" s="1152" t="s">
        <v>149</v>
      </c>
      <c r="W219" s="1153">
        <v>128</v>
      </c>
    </row>
    <row r="220" spans="1:23" customFormat="1" ht="16.5" customHeight="1">
      <c r="A220" s="134" t="s">
        <v>156</v>
      </c>
      <c r="B220" s="135">
        <v>14</v>
      </c>
      <c r="C220" s="136">
        <v>46114</v>
      </c>
      <c r="D220" s="137" t="s">
        <v>142</v>
      </c>
      <c r="E220" s="513" t="s">
        <v>232</v>
      </c>
      <c r="F220" s="513" t="s">
        <v>269</v>
      </c>
      <c r="G220" s="513" t="s">
        <v>176</v>
      </c>
      <c r="H220" s="139">
        <v>5773217</v>
      </c>
      <c r="I220" s="513" t="s">
        <v>515</v>
      </c>
      <c r="J220" s="513">
        <v>200</v>
      </c>
      <c r="K220" s="1143"/>
      <c r="L220" s="1143"/>
      <c r="M220" s="1143"/>
      <c r="N220" s="1232"/>
      <c r="O220" s="1143"/>
      <c r="P220" s="1143"/>
      <c r="Q220" s="1143"/>
      <c r="R220" s="1143"/>
      <c r="S220" s="1143"/>
      <c r="T220" s="1143"/>
      <c r="U220" s="1143"/>
      <c r="V220" s="1143"/>
      <c r="W220" s="1145"/>
    </row>
    <row r="221" spans="1:23" customFormat="1" ht="16.5" customHeight="1" thickBot="1">
      <c r="A221" s="520" t="s">
        <v>156</v>
      </c>
      <c r="B221" s="521">
        <v>14</v>
      </c>
      <c r="C221" s="522">
        <v>46114</v>
      </c>
      <c r="D221" s="523" t="s">
        <v>142</v>
      </c>
      <c r="E221" s="524" t="s">
        <v>232</v>
      </c>
      <c r="F221" s="524" t="s">
        <v>269</v>
      </c>
      <c r="G221" s="524" t="s">
        <v>176</v>
      </c>
      <c r="H221" s="525">
        <v>5773217</v>
      </c>
      <c r="I221" s="524" t="s">
        <v>516</v>
      </c>
      <c r="J221" s="524">
        <v>200</v>
      </c>
      <c r="K221" s="1230"/>
      <c r="L221" s="524">
        <v>5</v>
      </c>
      <c r="M221" s="524">
        <v>1</v>
      </c>
      <c r="N221" s="524" t="s">
        <v>149</v>
      </c>
      <c r="O221" s="524" t="s">
        <v>29</v>
      </c>
      <c r="P221" s="524" t="s">
        <v>30</v>
      </c>
      <c r="Q221" s="524" t="s">
        <v>300</v>
      </c>
      <c r="R221" s="524" t="s">
        <v>31</v>
      </c>
      <c r="S221" s="524" t="s">
        <v>184</v>
      </c>
      <c r="T221" s="524" t="s">
        <v>185</v>
      </c>
      <c r="U221" s="1230"/>
      <c r="V221" s="524" t="s">
        <v>149</v>
      </c>
      <c r="W221" s="526">
        <v>1</v>
      </c>
    </row>
    <row r="222" spans="1:23" customFormat="1" ht="16.5" customHeight="1">
      <c r="A222" s="63" t="s">
        <v>156</v>
      </c>
      <c r="B222" s="64">
        <v>14</v>
      </c>
      <c r="C222" s="65">
        <v>46115</v>
      </c>
      <c r="D222" s="66" t="s">
        <v>142</v>
      </c>
      <c r="E222" s="518" t="s">
        <v>387</v>
      </c>
      <c r="F222" s="518" t="s">
        <v>282</v>
      </c>
      <c r="G222" s="518" t="s">
        <v>28</v>
      </c>
      <c r="H222" s="163">
        <v>5535141</v>
      </c>
      <c r="I222" s="518" t="s">
        <v>486</v>
      </c>
      <c r="J222" s="518">
        <v>6</v>
      </c>
      <c r="K222" s="1142">
        <v>1</v>
      </c>
      <c r="L222" s="1142"/>
      <c r="M222" s="1142">
        <v>0</v>
      </c>
      <c r="N222" s="1142" t="s">
        <v>149</v>
      </c>
      <c r="O222" s="1142"/>
      <c r="P222" s="1142"/>
      <c r="Q222" s="1142"/>
      <c r="R222" s="1142"/>
      <c r="S222" s="1142"/>
      <c r="T222" s="1142"/>
      <c r="U222" s="1142"/>
      <c r="V222" s="1142"/>
      <c r="W222" s="1153"/>
    </row>
    <row r="223" spans="1:23" customFormat="1" ht="16.5" customHeight="1">
      <c r="A223" s="134" t="s">
        <v>156</v>
      </c>
      <c r="B223" s="135">
        <v>14</v>
      </c>
      <c r="C223" s="136">
        <v>46115</v>
      </c>
      <c r="D223" s="137" t="s">
        <v>142</v>
      </c>
      <c r="E223" s="516" t="s">
        <v>387</v>
      </c>
      <c r="F223" s="516" t="s">
        <v>282</v>
      </c>
      <c r="G223" s="516" t="s">
        <v>28</v>
      </c>
      <c r="H223" s="139">
        <v>5535141</v>
      </c>
      <c r="I223" s="516" t="s">
        <v>517</v>
      </c>
      <c r="J223" s="516">
        <v>44</v>
      </c>
      <c r="K223" s="1143"/>
      <c r="L223" s="1143"/>
      <c r="M223" s="1143"/>
      <c r="N223" s="1143"/>
      <c r="O223" s="1143"/>
      <c r="P223" s="1143"/>
      <c r="Q223" s="1143"/>
      <c r="R223" s="1143"/>
      <c r="S223" s="1143"/>
      <c r="T223" s="1143"/>
      <c r="U223" s="1143"/>
      <c r="V223" s="1143"/>
      <c r="W223" s="1145"/>
    </row>
    <row r="224" spans="1:23" customFormat="1" ht="16.5" customHeight="1">
      <c r="A224" s="134" t="s">
        <v>156</v>
      </c>
      <c r="B224" s="135">
        <v>14</v>
      </c>
      <c r="C224" s="136">
        <v>46115</v>
      </c>
      <c r="D224" s="137" t="s">
        <v>142</v>
      </c>
      <c r="E224" s="516" t="s">
        <v>232</v>
      </c>
      <c r="F224" s="516" t="s">
        <v>275</v>
      </c>
      <c r="G224" s="516" t="s">
        <v>37</v>
      </c>
      <c r="H224" s="139">
        <v>5823326</v>
      </c>
      <c r="I224" s="516">
        <v>4523448893</v>
      </c>
      <c r="J224" s="516">
        <v>15</v>
      </c>
      <c r="K224" s="1143">
        <v>1</v>
      </c>
      <c r="L224" s="1143">
        <v>5</v>
      </c>
      <c r="M224" s="1143">
        <v>1</v>
      </c>
      <c r="N224" s="1143" t="s">
        <v>149</v>
      </c>
      <c r="O224" s="1143" t="s">
        <v>61</v>
      </c>
      <c r="P224" s="1143" t="s">
        <v>62</v>
      </c>
      <c r="Q224" s="1143" t="s">
        <v>295</v>
      </c>
      <c r="R224" s="1143" t="s">
        <v>31</v>
      </c>
      <c r="S224" s="1143" t="s">
        <v>184</v>
      </c>
      <c r="T224" s="1143" t="s">
        <v>185</v>
      </c>
      <c r="U224" s="1143"/>
      <c r="V224" s="1143" t="s">
        <v>149</v>
      </c>
      <c r="W224" s="1145">
        <v>1</v>
      </c>
    </row>
    <row r="225" spans="1:23" customFormat="1" ht="16.5" customHeight="1">
      <c r="A225" s="134" t="s">
        <v>156</v>
      </c>
      <c r="B225" s="135">
        <v>14</v>
      </c>
      <c r="C225" s="136">
        <v>46115</v>
      </c>
      <c r="D225" s="137" t="s">
        <v>142</v>
      </c>
      <c r="E225" s="516" t="s">
        <v>232</v>
      </c>
      <c r="F225" s="516" t="s">
        <v>275</v>
      </c>
      <c r="G225" s="516" t="s">
        <v>37</v>
      </c>
      <c r="H225" s="139">
        <v>5823326</v>
      </c>
      <c r="I225" s="516">
        <v>4523453479</v>
      </c>
      <c r="J225" s="516">
        <v>13</v>
      </c>
      <c r="K225" s="1143"/>
      <c r="L225" s="1143"/>
      <c r="M225" s="1143"/>
      <c r="N225" s="1143"/>
      <c r="O225" s="1143"/>
      <c r="P225" s="1143"/>
      <c r="Q225" s="1143"/>
      <c r="R225" s="1143"/>
      <c r="S225" s="1143"/>
      <c r="T225" s="1143"/>
      <c r="U225" s="1143"/>
      <c r="V225" s="1143"/>
      <c r="W225" s="1145"/>
    </row>
    <row r="226" spans="1:23" customFormat="1" ht="16.5" customHeight="1">
      <c r="A226" s="134" t="s">
        <v>156</v>
      </c>
      <c r="B226" s="135">
        <v>14</v>
      </c>
      <c r="C226" s="136">
        <v>46115</v>
      </c>
      <c r="D226" s="137" t="s">
        <v>142</v>
      </c>
      <c r="E226" s="516" t="s">
        <v>232</v>
      </c>
      <c r="F226" s="516" t="s">
        <v>266</v>
      </c>
      <c r="G226" s="516" t="s">
        <v>37</v>
      </c>
      <c r="H226" s="139">
        <v>5766065</v>
      </c>
      <c r="I226" s="516" t="s">
        <v>518</v>
      </c>
      <c r="J226" s="516">
        <v>400</v>
      </c>
      <c r="K226" s="1143"/>
      <c r="L226" s="1143"/>
      <c r="M226" s="1143"/>
      <c r="N226" s="1143"/>
      <c r="O226" s="1143"/>
      <c r="P226" s="1143"/>
      <c r="Q226" s="1143"/>
      <c r="R226" s="1143"/>
      <c r="S226" s="1143"/>
      <c r="T226" s="1143"/>
      <c r="U226" s="1143"/>
      <c r="V226" s="1143"/>
      <c r="W226" s="1145"/>
    </row>
    <row r="227" spans="1:23" customFormat="1" ht="16.5" customHeight="1" thickBot="1">
      <c r="A227" s="116" t="s">
        <v>156</v>
      </c>
      <c r="B227" s="141">
        <v>14</v>
      </c>
      <c r="C227" s="142">
        <v>46115</v>
      </c>
      <c r="D227" s="143" t="s">
        <v>142</v>
      </c>
      <c r="E227" s="519" t="s">
        <v>232</v>
      </c>
      <c r="F227" s="519" t="s">
        <v>266</v>
      </c>
      <c r="G227" s="519" t="s">
        <v>37</v>
      </c>
      <c r="H227" s="145">
        <v>5766065</v>
      </c>
      <c r="I227" s="519" t="s">
        <v>523</v>
      </c>
      <c r="J227" s="519">
        <v>100</v>
      </c>
      <c r="K227" s="1156"/>
      <c r="L227" s="1156"/>
      <c r="M227" s="1156"/>
      <c r="N227" s="1156"/>
      <c r="O227" s="1156"/>
      <c r="P227" s="1156"/>
      <c r="Q227" s="1156"/>
      <c r="R227" s="1156"/>
      <c r="S227" s="1156"/>
      <c r="T227" s="1156"/>
      <c r="U227" s="1156"/>
      <c r="V227" s="1156"/>
      <c r="W227" s="1158"/>
    </row>
    <row r="228" spans="1:23" customFormat="1" ht="16.5" customHeight="1">
      <c r="A228" s="219" t="s">
        <v>156</v>
      </c>
      <c r="B228" s="214">
        <v>14</v>
      </c>
      <c r="C228" s="215">
        <v>46116</v>
      </c>
      <c r="D228" s="216" t="s">
        <v>142</v>
      </c>
      <c r="E228" s="517" t="s">
        <v>232</v>
      </c>
      <c r="F228" s="517" t="s">
        <v>266</v>
      </c>
      <c r="G228" s="517" t="s">
        <v>37</v>
      </c>
      <c r="H228" s="217">
        <v>5766065</v>
      </c>
      <c r="I228" s="517" t="s">
        <v>523</v>
      </c>
      <c r="J228" s="517">
        <v>300</v>
      </c>
      <c r="K228" s="1165">
        <v>1</v>
      </c>
      <c r="L228" s="1165">
        <v>5</v>
      </c>
      <c r="M228" s="1165">
        <v>1</v>
      </c>
      <c r="N228" s="1165" t="s">
        <v>149</v>
      </c>
      <c r="O228" s="1165" t="s">
        <v>61</v>
      </c>
      <c r="P228" s="1165" t="s">
        <v>62</v>
      </c>
      <c r="Q228" s="1165" t="s">
        <v>295</v>
      </c>
      <c r="R228" s="1165" t="s">
        <v>31</v>
      </c>
      <c r="S228" s="1165" t="s">
        <v>184</v>
      </c>
      <c r="T228" s="1165" t="s">
        <v>185</v>
      </c>
      <c r="U228" s="1165"/>
      <c r="V228" s="1165" t="s">
        <v>149</v>
      </c>
      <c r="W228" s="1167">
        <v>1</v>
      </c>
    </row>
    <row r="229" spans="1:23" customFormat="1" ht="16.5" customHeight="1" thickBot="1">
      <c r="A229" s="534" t="s">
        <v>156</v>
      </c>
      <c r="B229" s="535">
        <v>14</v>
      </c>
      <c r="C229" s="536">
        <v>46116</v>
      </c>
      <c r="D229" s="537" t="s">
        <v>142</v>
      </c>
      <c r="E229" s="533" t="s">
        <v>232</v>
      </c>
      <c r="F229" s="533" t="s">
        <v>267</v>
      </c>
      <c r="G229" s="533" t="s">
        <v>37</v>
      </c>
      <c r="H229" s="538">
        <v>5771962</v>
      </c>
      <c r="I229" s="533" t="s">
        <v>524</v>
      </c>
      <c r="J229" s="533">
        <v>200</v>
      </c>
      <c r="K229" s="1292"/>
      <c r="L229" s="1292"/>
      <c r="M229" s="1292"/>
      <c r="N229" s="1292"/>
      <c r="O229" s="1292"/>
      <c r="P229" s="1292"/>
      <c r="Q229" s="1292"/>
      <c r="R229" s="1292"/>
      <c r="S229" s="1292"/>
      <c r="T229" s="1292"/>
      <c r="U229" s="1292"/>
      <c r="V229" s="1292"/>
      <c r="W229" s="1293"/>
    </row>
    <row r="230" spans="1:23" customFormat="1" ht="16.5" customHeight="1">
      <c r="A230" s="63" t="s">
        <v>156</v>
      </c>
      <c r="B230" s="149">
        <v>15</v>
      </c>
      <c r="C230" s="150">
        <v>46119</v>
      </c>
      <c r="D230" s="151" t="s">
        <v>142</v>
      </c>
      <c r="E230" s="531" t="s">
        <v>232</v>
      </c>
      <c r="F230" s="531" t="s">
        <v>266</v>
      </c>
      <c r="G230" s="531" t="s">
        <v>37</v>
      </c>
      <c r="H230" s="153">
        <v>5766065</v>
      </c>
      <c r="I230" s="531" t="s">
        <v>525</v>
      </c>
      <c r="J230" s="531">
        <v>400</v>
      </c>
      <c r="K230" s="531">
        <v>1</v>
      </c>
      <c r="L230" s="531"/>
      <c r="M230" s="531">
        <v>0</v>
      </c>
      <c r="N230" s="531" t="s">
        <v>149</v>
      </c>
      <c r="O230" s="531"/>
      <c r="P230" s="531"/>
      <c r="Q230" s="531"/>
      <c r="R230" s="531"/>
      <c r="S230" s="531"/>
      <c r="T230" s="531"/>
      <c r="U230" s="531"/>
      <c r="V230" s="531"/>
      <c r="W230" s="532"/>
    </row>
    <row r="231" spans="1:23" customFormat="1" ht="16.5" customHeight="1">
      <c r="A231" s="134" t="s">
        <v>156</v>
      </c>
      <c r="B231" s="135">
        <v>15</v>
      </c>
      <c r="C231" s="136">
        <v>46119</v>
      </c>
      <c r="D231" s="137" t="s">
        <v>142</v>
      </c>
      <c r="E231" s="529" t="s">
        <v>386</v>
      </c>
      <c r="F231" s="529" t="s">
        <v>273</v>
      </c>
      <c r="G231" s="529" t="s">
        <v>36</v>
      </c>
      <c r="H231" s="139">
        <v>5535135</v>
      </c>
      <c r="I231" s="529" t="s">
        <v>530</v>
      </c>
      <c r="J231" s="529">
        <v>70</v>
      </c>
      <c r="K231" s="1143">
        <v>1</v>
      </c>
      <c r="L231" s="529">
        <v>5</v>
      </c>
      <c r="M231" s="1226">
        <v>1</v>
      </c>
      <c r="N231" s="1226" t="s">
        <v>149</v>
      </c>
      <c r="O231" s="529" t="s">
        <v>39</v>
      </c>
      <c r="P231" s="529" t="s">
        <v>40</v>
      </c>
      <c r="Q231" s="529" t="s">
        <v>316</v>
      </c>
      <c r="R231" s="529" t="s">
        <v>31</v>
      </c>
      <c r="S231" s="529" t="s">
        <v>184</v>
      </c>
      <c r="T231" s="529" t="s">
        <v>185</v>
      </c>
      <c r="U231" s="1226"/>
      <c r="V231" s="1226" t="s">
        <v>149</v>
      </c>
      <c r="W231" s="1227">
        <v>1</v>
      </c>
    </row>
    <row r="232" spans="1:23" customFormat="1" ht="16.5" customHeight="1">
      <c r="A232" s="134" t="s">
        <v>156</v>
      </c>
      <c r="B232" s="135">
        <v>15</v>
      </c>
      <c r="C232" s="136">
        <v>46119</v>
      </c>
      <c r="D232" s="137" t="s">
        <v>142</v>
      </c>
      <c r="E232" s="529" t="s">
        <v>386</v>
      </c>
      <c r="F232" s="529" t="s">
        <v>273</v>
      </c>
      <c r="G232" s="529" t="s">
        <v>28</v>
      </c>
      <c r="H232" s="139">
        <v>5535134</v>
      </c>
      <c r="I232" s="529" t="s">
        <v>531</v>
      </c>
      <c r="J232" s="529">
        <v>89</v>
      </c>
      <c r="K232" s="1143"/>
      <c r="L232" s="1226">
        <v>5</v>
      </c>
      <c r="M232" s="1150"/>
      <c r="N232" s="1150"/>
      <c r="O232" s="1226" t="s">
        <v>61</v>
      </c>
      <c r="P232" s="1226" t="s">
        <v>62</v>
      </c>
      <c r="Q232" s="1226" t="s">
        <v>538</v>
      </c>
      <c r="R232" s="1226" t="s">
        <v>31</v>
      </c>
      <c r="S232" s="1226" t="s">
        <v>184</v>
      </c>
      <c r="T232" s="1226" t="s">
        <v>185</v>
      </c>
      <c r="U232" s="1150"/>
      <c r="V232" s="1150"/>
      <c r="W232" s="1151"/>
    </row>
    <row r="233" spans="1:23" customFormat="1" ht="16.5" customHeight="1" thickBot="1">
      <c r="A233" s="549" t="s">
        <v>156</v>
      </c>
      <c r="B233" s="550">
        <v>15</v>
      </c>
      <c r="C233" s="551">
        <v>46119</v>
      </c>
      <c r="D233" s="552" t="s">
        <v>142</v>
      </c>
      <c r="E233" s="548" t="s">
        <v>386</v>
      </c>
      <c r="F233" s="548" t="s">
        <v>273</v>
      </c>
      <c r="G233" s="548" t="s">
        <v>32</v>
      </c>
      <c r="H233" s="547">
        <v>5535133</v>
      </c>
      <c r="I233" s="548" t="s">
        <v>532</v>
      </c>
      <c r="J233" s="548">
        <v>63</v>
      </c>
      <c r="K233" s="1228"/>
      <c r="L233" s="1150"/>
      <c r="M233" s="1150"/>
      <c r="N233" s="1150"/>
      <c r="O233" s="1150"/>
      <c r="P233" s="1150"/>
      <c r="Q233" s="1150"/>
      <c r="R233" s="1150"/>
      <c r="S233" s="1150"/>
      <c r="T233" s="1150"/>
      <c r="U233" s="1150"/>
      <c r="V233" s="1150"/>
      <c r="W233" s="1151"/>
    </row>
    <row r="234" spans="1:23" customFormat="1" ht="16.5" customHeight="1">
      <c r="A234" s="63" t="s">
        <v>156</v>
      </c>
      <c r="B234" s="64">
        <v>15</v>
      </c>
      <c r="C234" s="65">
        <v>46120</v>
      </c>
      <c r="D234" s="66" t="s">
        <v>142</v>
      </c>
      <c r="E234" s="541" t="s">
        <v>387</v>
      </c>
      <c r="F234" s="541" t="s">
        <v>282</v>
      </c>
      <c r="G234" s="541" t="s">
        <v>52</v>
      </c>
      <c r="H234" s="163">
        <v>5535143</v>
      </c>
      <c r="I234" s="541" t="s">
        <v>533</v>
      </c>
      <c r="J234" s="541">
        <v>2</v>
      </c>
      <c r="K234" s="1142">
        <v>1</v>
      </c>
      <c r="L234" s="1142">
        <v>5</v>
      </c>
      <c r="M234" s="1142">
        <v>1</v>
      </c>
      <c r="N234" s="1142" t="s">
        <v>149</v>
      </c>
      <c r="O234" s="1142" t="s">
        <v>299</v>
      </c>
      <c r="P234" s="1142" t="s">
        <v>62</v>
      </c>
      <c r="Q234" s="1142" t="s">
        <v>539</v>
      </c>
      <c r="R234" s="1142" t="s">
        <v>31</v>
      </c>
      <c r="S234" s="1142" t="s">
        <v>184</v>
      </c>
      <c r="T234" s="1142" t="s">
        <v>185</v>
      </c>
      <c r="U234" s="1142"/>
      <c r="V234" s="1142" t="s">
        <v>149</v>
      </c>
      <c r="W234" s="1153">
        <v>1</v>
      </c>
    </row>
    <row r="235" spans="1:23" customFormat="1" ht="16.5" customHeight="1">
      <c r="A235" s="134" t="s">
        <v>156</v>
      </c>
      <c r="B235" s="135">
        <v>15</v>
      </c>
      <c r="C235" s="136">
        <v>46120</v>
      </c>
      <c r="D235" s="137" t="s">
        <v>142</v>
      </c>
      <c r="E235" s="539" t="s">
        <v>387</v>
      </c>
      <c r="F235" s="539" t="s">
        <v>282</v>
      </c>
      <c r="G235" s="539" t="s">
        <v>36</v>
      </c>
      <c r="H235" s="139">
        <v>5535142</v>
      </c>
      <c r="I235" s="539" t="s">
        <v>534</v>
      </c>
      <c r="J235" s="539">
        <v>16</v>
      </c>
      <c r="K235" s="1143"/>
      <c r="L235" s="1143"/>
      <c r="M235" s="1143"/>
      <c r="N235" s="1143"/>
      <c r="O235" s="1143"/>
      <c r="P235" s="1143"/>
      <c r="Q235" s="1143"/>
      <c r="R235" s="1143"/>
      <c r="S235" s="1143"/>
      <c r="T235" s="1143"/>
      <c r="U235" s="1143"/>
      <c r="V235" s="1143"/>
      <c r="W235" s="1145"/>
    </row>
    <row r="236" spans="1:23" customFormat="1" ht="16.5" customHeight="1">
      <c r="A236" s="134" t="s">
        <v>156</v>
      </c>
      <c r="B236" s="135">
        <v>15</v>
      </c>
      <c r="C236" s="136">
        <v>46120</v>
      </c>
      <c r="D236" s="137" t="s">
        <v>142</v>
      </c>
      <c r="E236" s="539" t="s">
        <v>387</v>
      </c>
      <c r="F236" s="539" t="s">
        <v>282</v>
      </c>
      <c r="G236" s="539" t="s">
        <v>32</v>
      </c>
      <c r="H236" s="139">
        <v>5535140</v>
      </c>
      <c r="I236" s="539" t="s">
        <v>535</v>
      </c>
      <c r="J236" s="539">
        <v>63</v>
      </c>
      <c r="K236" s="1143"/>
      <c r="L236" s="1143"/>
      <c r="M236" s="1143"/>
      <c r="N236" s="1143"/>
      <c r="O236" s="1143"/>
      <c r="P236" s="1143"/>
      <c r="Q236" s="1143"/>
      <c r="R236" s="1143"/>
      <c r="S236" s="1143"/>
      <c r="T236" s="1143"/>
      <c r="U236" s="1143"/>
      <c r="V236" s="1143"/>
      <c r="W236" s="1145"/>
    </row>
    <row r="237" spans="1:23" customFormat="1" ht="16.5" customHeight="1">
      <c r="A237" s="134" t="s">
        <v>156</v>
      </c>
      <c r="B237" s="135">
        <v>15</v>
      </c>
      <c r="C237" s="136">
        <v>46120</v>
      </c>
      <c r="D237" s="137" t="s">
        <v>142</v>
      </c>
      <c r="E237" s="539" t="s">
        <v>232</v>
      </c>
      <c r="F237" s="539" t="s">
        <v>268</v>
      </c>
      <c r="G237" s="539" t="s">
        <v>176</v>
      </c>
      <c r="H237" s="139">
        <v>5771802</v>
      </c>
      <c r="I237" s="539" t="s">
        <v>536</v>
      </c>
      <c r="J237" s="539">
        <v>200</v>
      </c>
      <c r="K237" s="1143">
        <v>1</v>
      </c>
      <c r="L237" s="1143"/>
      <c r="M237" s="1143">
        <v>0</v>
      </c>
      <c r="N237" s="1143" t="s">
        <v>149</v>
      </c>
      <c r="O237" s="1143"/>
      <c r="P237" s="1143"/>
      <c r="Q237" s="1143"/>
      <c r="R237" s="1143"/>
      <c r="S237" s="1143"/>
      <c r="T237" s="1143"/>
      <c r="U237" s="1143"/>
      <c r="V237" s="1143"/>
      <c r="W237" s="1145"/>
    </row>
    <row r="238" spans="1:23" customFormat="1" ht="16.5" customHeight="1">
      <c r="A238" s="134" t="s">
        <v>156</v>
      </c>
      <c r="B238" s="135">
        <v>15</v>
      </c>
      <c r="C238" s="136">
        <v>46120</v>
      </c>
      <c r="D238" s="137" t="s">
        <v>142</v>
      </c>
      <c r="E238" s="539" t="s">
        <v>232</v>
      </c>
      <c r="F238" s="539" t="s">
        <v>268</v>
      </c>
      <c r="G238" s="539" t="s">
        <v>176</v>
      </c>
      <c r="H238" s="139">
        <v>5771802</v>
      </c>
      <c r="I238" s="539" t="s">
        <v>537</v>
      </c>
      <c r="J238" s="539">
        <v>180</v>
      </c>
      <c r="K238" s="1143"/>
      <c r="L238" s="1143"/>
      <c r="M238" s="1143"/>
      <c r="N238" s="1143"/>
      <c r="O238" s="1143"/>
      <c r="P238" s="1143"/>
      <c r="Q238" s="1143"/>
      <c r="R238" s="1143"/>
      <c r="S238" s="1143"/>
      <c r="T238" s="1143"/>
      <c r="U238" s="1143"/>
      <c r="V238" s="1143"/>
      <c r="W238" s="1145"/>
    </row>
    <row r="239" spans="1:23" customFormat="1" ht="16.5" customHeight="1" thickBot="1">
      <c r="A239" s="116" t="s">
        <v>156</v>
      </c>
      <c r="B239" s="141">
        <v>15</v>
      </c>
      <c r="C239" s="142">
        <v>46120</v>
      </c>
      <c r="D239" s="143" t="s">
        <v>142</v>
      </c>
      <c r="E239" s="540" t="s">
        <v>232</v>
      </c>
      <c r="F239" s="540" t="s">
        <v>269</v>
      </c>
      <c r="G239" s="540" t="s">
        <v>176</v>
      </c>
      <c r="H239" s="145">
        <v>5773217</v>
      </c>
      <c r="I239" s="540" t="s">
        <v>540</v>
      </c>
      <c r="J239" s="540">
        <v>200</v>
      </c>
      <c r="K239" s="1156"/>
      <c r="L239" s="1156"/>
      <c r="M239" s="1156"/>
      <c r="N239" s="1156"/>
      <c r="O239" s="1156"/>
      <c r="P239" s="1156"/>
      <c r="Q239" s="1156"/>
      <c r="R239" s="1156"/>
      <c r="S239" s="1156"/>
      <c r="T239" s="1156"/>
      <c r="U239" s="1156"/>
      <c r="V239" s="1156"/>
      <c r="W239" s="1158"/>
    </row>
    <row r="240" spans="1:23" customFormat="1" ht="16.5" customHeight="1">
      <c r="A240" s="63" t="s">
        <v>156</v>
      </c>
      <c r="B240" s="64">
        <v>15</v>
      </c>
      <c r="C240" s="65">
        <v>46121</v>
      </c>
      <c r="D240" s="66" t="s">
        <v>142</v>
      </c>
      <c r="E240" s="541" t="s">
        <v>232</v>
      </c>
      <c r="F240" s="541" t="s">
        <v>266</v>
      </c>
      <c r="G240" s="541" t="s">
        <v>37</v>
      </c>
      <c r="H240" s="163">
        <v>5766065</v>
      </c>
      <c r="I240" s="541" t="s">
        <v>541</v>
      </c>
      <c r="J240" s="541">
        <v>392</v>
      </c>
      <c r="K240" s="1142">
        <v>1</v>
      </c>
      <c r="L240" s="1142">
        <v>5</v>
      </c>
      <c r="M240" s="1142">
        <v>1</v>
      </c>
      <c r="N240" s="1142" t="s">
        <v>149</v>
      </c>
      <c r="O240" s="1142" t="s">
        <v>61</v>
      </c>
      <c r="P240" s="1142" t="s">
        <v>74</v>
      </c>
      <c r="Q240" s="1142" t="s">
        <v>494</v>
      </c>
      <c r="R240" s="1142" t="s">
        <v>31</v>
      </c>
      <c r="S240" s="1142" t="s">
        <v>301</v>
      </c>
      <c r="T240" s="1142" t="s">
        <v>185</v>
      </c>
      <c r="U240" s="1142"/>
      <c r="V240" s="1142" t="s">
        <v>149</v>
      </c>
      <c r="W240" s="1153">
        <v>1</v>
      </c>
    </row>
    <row r="241" spans="1:23" customFormat="1" ht="16.5" customHeight="1" thickBot="1">
      <c r="A241" s="116" t="s">
        <v>156</v>
      </c>
      <c r="B241" s="141">
        <v>15</v>
      </c>
      <c r="C241" s="142">
        <v>46121</v>
      </c>
      <c r="D241" s="143" t="s">
        <v>142</v>
      </c>
      <c r="E241" s="540" t="s">
        <v>232</v>
      </c>
      <c r="F241" s="540" t="s">
        <v>267</v>
      </c>
      <c r="G241" s="540" t="s">
        <v>37</v>
      </c>
      <c r="H241" s="145">
        <v>5771962</v>
      </c>
      <c r="I241" s="540" t="s">
        <v>554</v>
      </c>
      <c r="J241" s="540">
        <v>238</v>
      </c>
      <c r="K241" s="1156"/>
      <c r="L241" s="1156"/>
      <c r="M241" s="1156"/>
      <c r="N241" s="1156"/>
      <c r="O241" s="1156"/>
      <c r="P241" s="1156"/>
      <c r="Q241" s="1156"/>
      <c r="R241" s="1156"/>
      <c r="S241" s="1156"/>
      <c r="T241" s="1156"/>
      <c r="U241" s="1156"/>
      <c r="V241" s="1156"/>
      <c r="W241" s="1158"/>
    </row>
    <row r="242" spans="1:23" customFormat="1" ht="16.5" customHeight="1">
      <c r="A242" s="63" t="s">
        <v>156</v>
      </c>
      <c r="B242" s="64">
        <v>15</v>
      </c>
      <c r="C242" s="65">
        <v>46122</v>
      </c>
      <c r="D242" s="66" t="s">
        <v>142</v>
      </c>
      <c r="E242" s="544" t="s">
        <v>232</v>
      </c>
      <c r="F242" s="544" t="s">
        <v>267</v>
      </c>
      <c r="G242" s="544" t="s">
        <v>37</v>
      </c>
      <c r="H242" s="163">
        <v>5771962</v>
      </c>
      <c r="I242" s="544" t="s">
        <v>554</v>
      </c>
      <c r="J242" s="544">
        <v>120</v>
      </c>
      <c r="K242" s="544">
        <v>1</v>
      </c>
      <c r="L242" s="544">
        <v>5</v>
      </c>
      <c r="M242" s="544">
        <v>1</v>
      </c>
      <c r="N242" s="544" t="s">
        <v>149</v>
      </c>
      <c r="O242" s="544" t="s">
        <v>56</v>
      </c>
      <c r="P242" s="544" t="s">
        <v>64</v>
      </c>
      <c r="Q242" s="544" t="s">
        <v>562</v>
      </c>
      <c r="R242" s="544" t="s">
        <v>31</v>
      </c>
      <c r="S242" s="544" t="s">
        <v>301</v>
      </c>
      <c r="T242" s="544" t="s">
        <v>185</v>
      </c>
      <c r="U242" s="544"/>
      <c r="V242" s="544" t="s">
        <v>149</v>
      </c>
      <c r="W242" s="543">
        <v>1</v>
      </c>
    </row>
    <row r="243" spans="1:23" customFormat="1" ht="16.5" customHeight="1">
      <c r="A243" s="134" t="s">
        <v>156</v>
      </c>
      <c r="B243" s="135">
        <v>15</v>
      </c>
      <c r="C243" s="136">
        <v>46122</v>
      </c>
      <c r="D243" s="137" t="s">
        <v>142</v>
      </c>
      <c r="E243" s="542" t="s">
        <v>387</v>
      </c>
      <c r="F243" s="542" t="s">
        <v>282</v>
      </c>
      <c r="G243" s="542" t="s">
        <v>52</v>
      </c>
      <c r="H243" s="139">
        <v>5535143</v>
      </c>
      <c r="I243" s="542" t="s">
        <v>555</v>
      </c>
      <c r="J243" s="542">
        <v>16</v>
      </c>
      <c r="K243" s="1294">
        <v>1</v>
      </c>
      <c r="L243" s="1294">
        <v>5</v>
      </c>
      <c r="M243" s="1294">
        <v>1</v>
      </c>
      <c r="N243" s="1294" t="s">
        <v>149</v>
      </c>
      <c r="O243" s="1294" t="s">
        <v>61</v>
      </c>
      <c r="P243" s="1294" t="s">
        <v>62</v>
      </c>
      <c r="Q243" s="1294" t="s">
        <v>295</v>
      </c>
      <c r="R243" s="1294" t="s">
        <v>31</v>
      </c>
      <c r="S243" s="1294" t="s">
        <v>184</v>
      </c>
      <c r="T243" s="1294" t="s">
        <v>185</v>
      </c>
      <c r="U243" s="1294"/>
      <c r="V243" s="1294" t="s">
        <v>149</v>
      </c>
      <c r="W243" s="1295">
        <v>1</v>
      </c>
    </row>
    <row r="244" spans="1:23" customFormat="1" ht="16.5" customHeight="1">
      <c r="A244" s="134" t="s">
        <v>156</v>
      </c>
      <c r="B244" s="135">
        <v>15</v>
      </c>
      <c r="C244" s="136">
        <v>46122</v>
      </c>
      <c r="D244" s="137" t="s">
        <v>142</v>
      </c>
      <c r="E244" s="542" t="s">
        <v>387</v>
      </c>
      <c r="F244" s="542" t="s">
        <v>282</v>
      </c>
      <c r="G244" s="542" t="s">
        <v>28</v>
      </c>
      <c r="H244" s="139">
        <v>5535141</v>
      </c>
      <c r="I244" s="542" t="s">
        <v>556</v>
      </c>
      <c r="J244" s="542">
        <v>80</v>
      </c>
      <c r="K244" s="1150"/>
      <c r="L244" s="1150"/>
      <c r="M244" s="1150"/>
      <c r="N244" s="1150"/>
      <c r="O244" s="1150"/>
      <c r="P244" s="1150"/>
      <c r="Q244" s="1150"/>
      <c r="R244" s="1150"/>
      <c r="S244" s="1150"/>
      <c r="T244" s="1150"/>
      <c r="U244" s="1150"/>
      <c r="V244" s="1150"/>
      <c r="W244" s="1151"/>
    </row>
    <row r="245" spans="1:23" customFormat="1" ht="16.5" customHeight="1">
      <c r="A245" s="134" t="s">
        <v>156</v>
      </c>
      <c r="B245" s="135">
        <v>15</v>
      </c>
      <c r="C245" s="136">
        <v>46122</v>
      </c>
      <c r="D245" s="137" t="s">
        <v>142</v>
      </c>
      <c r="E245" s="542" t="s">
        <v>387</v>
      </c>
      <c r="F245" s="542" t="s">
        <v>282</v>
      </c>
      <c r="G245" s="542" t="s">
        <v>28</v>
      </c>
      <c r="H245" s="139">
        <v>5535141</v>
      </c>
      <c r="I245" s="542" t="s">
        <v>557</v>
      </c>
      <c r="J245" s="542">
        <v>4</v>
      </c>
      <c r="K245" s="1165"/>
      <c r="L245" s="1165"/>
      <c r="M245" s="1165"/>
      <c r="N245" s="1165"/>
      <c r="O245" s="1165"/>
      <c r="P245" s="1165"/>
      <c r="Q245" s="1165"/>
      <c r="R245" s="1165"/>
      <c r="S245" s="1165"/>
      <c r="T245" s="1165"/>
      <c r="U245" s="1165"/>
      <c r="V245" s="1165"/>
      <c r="W245" s="1167"/>
    </row>
    <row r="246" spans="1:23" customFormat="1" ht="16.5" customHeight="1" thickBot="1">
      <c r="A246" s="572" t="s">
        <v>156</v>
      </c>
      <c r="B246" s="573">
        <v>15</v>
      </c>
      <c r="C246" s="574">
        <v>46122</v>
      </c>
      <c r="D246" s="575" t="s">
        <v>142</v>
      </c>
      <c r="E246" s="576" t="s">
        <v>265</v>
      </c>
      <c r="F246" s="576" t="s">
        <v>271</v>
      </c>
      <c r="G246" s="576" t="s">
        <v>37</v>
      </c>
      <c r="H246" s="577">
        <v>5447762</v>
      </c>
      <c r="I246" s="576" t="s">
        <v>558</v>
      </c>
      <c r="J246" s="576">
        <v>400</v>
      </c>
      <c r="K246" s="576">
        <v>1</v>
      </c>
      <c r="L246" s="576"/>
      <c r="M246" s="576">
        <v>0</v>
      </c>
      <c r="N246" s="576" t="s">
        <v>149</v>
      </c>
      <c r="O246" s="576"/>
      <c r="P246" s="576"/>
      <c r="Q246" s="576"/>
      <c r="R246" s="576"/>
      <c r="S246" s="576"/>
      <c r="T246" s="576"/>
      <c r="U246" s="576"/>
      <c r="V246" s="576"/>
      <c r="W246" s="578"/>
    </row>
    <row r="247" spans="1:23" customFormat="1" ht="16.5" customHeight="1">
      <c r="A247" s="63" t="s">
        <v>156</v>
      </c>
      <c r="B247" s="149">
        <v>15</v>
      </c>
      <c r="C247" s="150">
        <v>46123</v>
      </c>
      <c r="D247" s="151" t="s">
        <v>142</v>
      </c>
      <c r="E247" s="558" t="s">
        <v>265</v>
      </c>
      <c r="F247" s="558" t="s">
        <v>271</v>
      </c>
      <c r="G247" s="558" t="s">
        <v>37</v>
      </c>
      <c r="H247" s="153">
        <v>5447762</v>
      </c>
      <c r="I247" s="558" t="s">
        <v>558</v>
      </c>
      <c r="J247" s="558">
        <v>200</v>
      </c>
      <c r="K247" s="1152">
        <v>1</v>
      </c>
      <c r="L247" s="1152"/>
      <c r="M247" s="1152">
        <v>0</v>
      </c>
      <c r="N247" s="1152" t="s">
        <v>149</v>
      </c>
      <c r="O247" s="1152"/>
      <c r="P247" s="1152"/>
      <c r="Q247" s="1152"/>
      <c r="R247" s="1152"/>
      <c r="S247" s="1152"/>
      <c r="T247" s="1152"/>
      <c r="U247" s="1152"/>
      <c r="V247" s="1152"/>
      <c r="W247" s="1153"/>
    </row>
    <row r="248" spans="1:23" customFormat="1" ht="16.5" customHeight="1">
      <c r="A248" s="134" t="s">
        <v>156</v>
      </c>
      <c r="B248" s="135">
        <v>15</v>
      </c>
      <c r="C248" s="136">
        <v>46123</v>
      </c>
      <c r="D248" s="137" t="s">
        <v>142</v>
      </c>
      <c r="E248" s="554" t="s">
        <v>265</v>
      </c>
      <c r="F248" s="554" t="s">
        <v>271</v>
      </c>
      <c r="G248" s="554" t="s">
        <v>37</v>
      </c>
      <c r="H248" s="139">
        <v>5447762</v>
      </c>
      <c r="I248" s="554" t="s">
        <v>559</v>
      </c>
      <c r="J248" s="554">
        <v>200</v>
      </c>
      <c r="K248" s="1143"/>
      <c r="L248" s="1143"/>
      <c r="M248" s="1143"/>
      <c r="N248" s="1143"/>
      <c r="O248" s="1143"/>
      <c r="P248" s="1143"/>
      <c r="Q248" s="1143"/>
      <c r="R248" s="1143"/>
      <c r="S248" s="1143"/>
      <c r="T248" s="1143"/>
      <c r="U248" s="1143"/>
      <c r="V248" s="1143"/>
      <c r="W248" s="1145"/>
    </row>
    <row r="249" spans="1:23" customFormat="1" ht="16.5" customHeight="1">
      <c r="A249" s="134" t="s">
        <v>156</v>
      </c>
      <c r="B249" s="135">
        <v>15</v>
      </c>
      <c r="C249" s="136">
        <v>46123</v>
      </c>
      <c r="D249" s="137" t="s">
        <v>142</v>
      </c>
      <c r="E249" s="554" t="s">
        <v>386</v>
      </c>
      <c r="F249" s="554" t="s">
        <v>394</v>
      </c>
      <c r="G249" s="554" t="s">
        <v>52</v>
      </c>
      <c r="H249" s="139">
        <v>5872654</v>
      </c>
      <c r="I249" s="554">
        <v>4522054869</v>
      </c>
      <c r="J249" s="554">
        <v>16</v>
      </c>
      <c r="K249" s="1143">
        <v>1</v>
      </c>
      <c r="L249" s="1143">
        <v>5</v>
      </c>
      <c r="M249" s="1143">
        <v>1</v>
      </c>
      <c r="N249" s="1143" t="s">
        <v>149</v>
      </c>
      <c r="O249" s="1143" t="s">
        <v>61</v>
      </c>
      <c r="P249" s="1143" t="s">
        <v>74</v>
      </c>
      <c r="Q249" s="1143" t="s">
        <v>494</v>
      </c>
      <c r="R249" s="1143" t="s">
        <v>31</v>
      </c>
      <c r="S249" s="1143" t="s">
        <v>184</v>
      </c>
      <c r="T249" s="1143" t="s">
        <v>185</v>
      </c>
      <c r="U249" s="1143"/>
      <c r="V249" s="1143" t="s">
        <v>149</v>
      </c>
      <c r="W249" s="1145">
        <v>1</v>
      </c>
    </row>
    <row r="250" spans="1:23" customFormat="1" ht="16.5" customHeight="1">
      <c r="A250" s="134" t="s">
        <v>156</v>
      </c>
      <c r="B250" s="135">
        <v>15</v>
      </c>
      <c r="C250" s="136">
        <v>46123</v>
      </c>
      <c r="D250" s="137" t="s">
        <v>142</v>
      </c>
      <c r="E250" s="554" t="s">
        <v>386</v>
      </c>
      <c r="F250" s="554" t="s">
        <v>394</v>
      </c>
      <c r="G250" s="554" t="s">
        <v>36</v>
      </c>
      <c r="H250" s="139">
        <v>5872653</v>
      </c>
      <c r="I250" s="554">
        <v>4522054869</v>
      </c>
      <c r="J250" s="554">
        <v>34</v>
      </c>
      <c r="K250" s="1143"/>
      <c r="L250" s="1143"/>
      <c r="M250" s="1143"/>
      <c r="N250" s="1143"/>
      <c r="O250" s="1143"/>
      <c r="P250" s="1143"/>
      <c r="Q250" s="1143"/>
      <c r="R250" s="1143"/>
      <c r="S250" s="1143"/>
      <c r="T250" s="1143"/>
      <c r="U250" s="1143"/>
      <c r="V250" s="1143"/>
      <c r="W250" s="1145"/>
    </row>
    <row r="251" spans="1:23" customFormat="1" ht="16.5" customHeight="1">
      <c r="A251" s="134" t="s">
        <v>156</v>
      </c>
      <c r="B251" s="135">
        <v>15</v>
      </c>
      <c r="C251" s="136">
        <v>46123</v>
      </c>
      <c r="D251" s="137" t="s">
        <v>142</v>
      </c>
      <c r="E251" s="554" t="s">
        <v>386</v>
      </c>
      <c r="F251" s="554" t="s">
        <v>394</v>
      </c>
      <c r="G251" s="554" t="s">
        <v>28</v>
      </c>
      <c r="H251" s="139">
        <v>5872652</v>
      </c>
      <c r="I251" s="554" t="s">
        <v>560</v>
      </c>
      <c r="J251" s="554">
        <v>46</v>
      </c>
      <c r="K251" s="1143"/>
      <c r="L251" s="1143"/>
      <c r="M251" s="1143"/>
      <c r="N251" s="1143"/>
      <c r="O251" s="1143"/>
      <c r="P251" s="1143"/>
      <c r="Q251" s="1143"/>
      <c r="R251" s="1143"/>
      <c r="S251" s="1143"/>
      <c r="T251" s="1143"/>
      <c r="U251" s="1143"/>
      <c r="V251" s="1143"/>
      <c r="W251" s="1145"/>
    </row>
    <row r="252" spans="1:23" customFormat="1" ht="16.5" customHeight="1">
      <c r="A252" s="134" t="s">
        <v>156</v>
      </c>
      <c r="B252" s="135">
        <v>15</v>
      </c>
      <c r="C252" s="136">
        <v>46123</v>
      </c>
      <c r="D252" s="137" t="s">
        <v>142</v>
      </c>
      <c r="E252" s="554" t="s">
        <v>386</v>
      </c>
      <c r="F252" s="554" t="s">
        <v>394</v>
      </c>
      <c r="G252" s="554" t="s">
        <v>32</v>
      </c>
      <c r="H252" s="139">
        <v>5872651</v>
      </c>
      <c r="I252" s="554" t="s">
        <v>561</v>
      </c>
      <c r="J252" s="554">
        <v>52</v>
      </c>
      <c r="K252" s="1143"/>
      <c r="L252" s="1143"/>
      <c r="M252" s="1143"/>
      <c r="N252" s="1143"/>
      <c r="O252" s="1143"/>
      <c r="P252" s="1143"/>
      <c r="Q252" s="1143"/>
      <c r="R252" s="1143"/>
      <c r="S252" s="1143"/>
      <c r="T252" s="1143"/>
      <c r="U252" s="1143"/>
      <c r="V252" s="1143"/>
      <c r="W252" s="1145"/>
    </row>
    <row r="253" spans="1:23" customFormat="1" ht="16.5" customHeight="1" thickBot="1">
      <c r="A253" s="116" t="s">
        <v>156</v>
      </c>
      <c r="B253" s="141">
        <v>15</v>
      </c>
      <c r="C253" s="142">
        <v>46123</v>
      </c>
      <c r="D253" s="143" t="s">
        <v>142</v>
      </c>
      <c r="E253" s="556" t="s">
        <v>386</v>
      </c>
      <c r="F253" s="556" t="s">
        <v>273</v>
      </c>
      <c r="G253" s="556" t="s">
        <v>28</v>
      </c>
      <c r="H253" s="145">
        <v>5535134</v>
      </c>
      <c r="I253" s="556" t="s">
        <v>565</v>
      </c>
      <c r="J253" s="556">
        <v>40</v>
      </c>
      <c r="K253" s="1156"/>
      <c r="L253" s="1156"/>
      <c r="M253" s="1156"/>
      <c r="N253" s="1156"/>
      <c r="O253" s="1156"/>
      <c r="P253" s="1156"/>
      <c r="Q253" s="1156"/>
      <c r="R253" s="1156"/>
      <c r="S253" s="1156"/>
      <c r="T253" s="1156"/>
      <c r="U253" s="1156"/>
      <c r="V253" s="1156"/>
      <c r="W253" s="1158"/>
    </row>
    <row r="254" spans="1:23" customFormat="1" ht="16.5" customHeight="1">
      <c r="A254" s="219" t="s">
        <v>156</v>
      </c>
      <c r="B254" s="214">
        <v>16</v>
      </c>
      <c r="C254" s="215">
        <v>46125</v>
      </c>
      <c r="D254" s="216" t="s">
        <v>142</v>
      </c>
      <c r="E254" s="553" t="s">
        <v>386</v>
      </c>
      <c r="F254" s="553" t="s">
        <v>273</v>
      </c>
      <c r="G254" s="553" t="s">
        <v>28</v>
      </c>
      <c r="H254" s="217">
        <v>5535134</v>
      </c>
      <c r="I254" s="553" t="s">
        <v>565</v>
      </c>
      <c r="J254" s="553">
        <v>48</v>
      </c>
      <c r="K254" s="1165">
        <v>1</v>
      </c>
      <c r="L254" s="1165"/>
      <c r="M254" s="1165">
        <v>0</v>
      </c>
      <c r="N254" s="1165" t="s">
        <v>149</v>
      </c>
      <c r="O254" s="1165"/>
      <c r="P254" s="1165"/>
      <c r="Q254" s="1165"/>
      <c r="R254" s="1165"/>
      <c r="S254" s="1165"/>
      <c r="T254" s="1165"/>
      <c r="U254" s="1165"/>
      <c r="V254" s="1165"/>
      <c r="W254" s="1167"/>
    </row>
    <row r="255" spans="1:23" customFormat="1" ht="16.5" customHeight="1">
      <c r="A255" s="134" t="s">
        <v>156</v>
      </c>
      <c r="B255" s="135">
        <v>16</v>
      </c>
      <c r="C255" s="136">
        <v>46125</v>
      </c>
      <c r="D255" s="137" t="s">
        <v>142</v>
      </c>
      <c r="E255" s="554" t="s">
        <v>386</v>
      </c>
      <c r="F255" s="554" t="s">
        <v>274</v>
      </c>
      <c r="G255" s="554" t="s">
        <v>52</v>
      </c>
      <c r="H255" s="139">
        <v>5535132</v>
      </c>
      <c r="I255" s="554" t="s">
        <v>566</v>
      </c>
      <c r="J255" s="554">
        <v>12</v>
      </c>
      <c r="K255" s="1143"/>
      <c r="L255" s="1143"/>
      <c r="M255" s="1143"/>
      <c r="N255" s="1143"/>
      <c r="O255" s="1143"/>
      <c r="P255" s="1143"/>
      <c r="Q255" s="1143"/>
      <c r="R255" s="1143"/>
      <c r="S255" s="1143"/>
      <c r="T255" s="1143"/>
      <c r="U255" s="1143"/>
      <c r="V255" s="1143"/>
      <c r="W255" s="1145"/>
    </row>
    <row r="256" spans="1:23" customFormat="1" ht="16.5" customHeight="1">
      <c r="A256" s="134" t="s">
        <v>156</v>
      </c>
      <c r="B256" s="135">
        <v>16</v>
      </c>
      <c r="C256" s="136">
        <v>46125</v>
      </c>
      <c r="D256" s="137" t="s">
        <v>142</v>
      </c>
      <c r="E256" s="554" t="s">
        <v>386</v>
      </c>
      <c r="F256" s="554" t="s">
        <v>274</v>
      </c>
      <c r="G256" s="554" t="s">
        <v>52</v>
      </c>
      <c r="H256" s="139">
        <v>5535132</v>
      </c>
      <c r="I256" s="554" t="s">
        <v>567</v>
      </c>
      <c r="J256" s="554">
        <v>20</v>
      </c>
      <c r="K256" s="1143"/>
      <c r="L256" s="1143"/>
      <c r="M256" s="1143"/>
      <c r="N256" s="1143"/>
      <c r="O256" s="1143"/>
      <c r="P256" s="1143"/>
      <c r="Q256" s="1143"/>
      <c r="R256" s="1143"/>
      <c r="S256" s="1143"/>
      <c r="T256" s="1143"/>
      <c r="U256" s="1143"/>
      <c r="V256" s="1143"/>
      <c r="W256" s="1145"/>
    </row>
    <row r="257" spans="1:23" customFormat="1" ht="16.5" customHeight="1">
      <c r="A257" s="134" t="s">
        <v>156</v>
      </c>
      <c r="B257" s="135">
        <v>16</v>
      </c>
      <c r="C257" s="136">
        <v>46125</v>
      </c>
      <c r="D257" s="137" t="s">
        <v>142</v>
      </c>
      <c r="E257" s="554" t="s">
        <v>386</v>
      </c>
      <c r="F257" s="554" t="s">
        <v>274</v>
      </c>
      <c r="G257" s="554" t="s">
        <v>36</v>
      </c>
      <c r="H257" s="139">
        <v>5535131</v>
      </c>
      <c r="I257" s="554" t="s">
        <v>568</v>
      </c>
      <c r="J257" s="554">
        <v>200</v>
      </c>
      <c r="K257" s="1143"/>
      <c r="L257" s="1143"/>
      <c r="M257" s="1143"/>
      <c r="N257" s="1143"/>
      <c r="O257" s="1143"/>
      <c r="P257" s="1143"/>
      <c r="Q257" s="1143"/>
      <c r="R257" s="1143"/>
      <c r="S257" s="1143"/>
      <c r="T257" s="1143"/>
      <c r="U257" s="1143"/>
      <c r="V257" s="1143"/>
      <c r="W257" s="1145"/>
    </row>
    <row r="258" spans="1:23" customFormat="1" ht="16.5" customHeight="1" thickBot="1">
      <c r="A258" s="116" t="s">
        <v>156</v>
      </c>
      <c r="B258" s="141">
        <v>16</v>
      </c>
      <c r="C258" s="142">
        <v>46125</v>
      </c>
      <c r="D258" s="143" t="s">
        <v>142</v>
      </c>
      <c r="E258" s="556" t="s">
        <v>386</v>
      </c>
      <c r="F258" s="556" t="s">
        <v>274</v>
      </c>
      <c r="G258" s="556" t="s">
        <v>28</v>
      </c>
      <c r="H258" s="145">
        <v>5535130</v>
      </c>
      <c r="I258" s="556" t="s">
        <v>569</v>
      </c>
      <c r="J258" s="556">
        <v>200</v>
      </c>
      <c r="K258" s="1156"/>
      <c r="L258" s="1156"/>
      <c r="M258" s="1156"/>
      <c r="N258" s="1156"/>
      <c r="O258" s="1156"/>
      <c r="P258" s="1156"/>
      <c r="Q258" s="1156"/>
      <c r="R258" s="1156"/>
      <c r="S258" s="1156"/>
      <c r="T258" s="1156"/>
      <c r="U258" s="1156"/>
      <c r="V258" s="1156"/>
      <c r="W258" s="1158"/>
    </row>
    <row r="259" spans="1:23" customFormat="1" ht="16.5" customHeight="1">
      <c r="A259" s="63" t="s">
        <v>156</v>
      </c>
      <c r="B259" s="149">
        <v>16</v>
      </c>
      <c r="C259" s="150">
        <v>46126</v>
      </c>
      <c r="D259" s="151" t="s">
        <v>142</v>
      </c>
      <c r="E259" s="582" t="s">
        <v>386</v>
      </c>
      <c r="F259" s="582" t="s">
        <v>274</v>
      </c>
      <c r="G259" s="582" t="s">
        <v>32</v>
      </c>
      <c r="H259" s="153">
        <v>5535129</v>
      </c>
      <c r="I259" s="582" t="s">
        <v>570</v>
      </c>
      <c r="J259" s="582">
        <v>200</v>
      </c>
      <c r="K259" s="582">
        <v>1</v>
      </c>
      <c r="L259" s="582">
        <v>5</v>
      </c>
      <c r="M259" s="582">
        <v>1</v>
      </c>
      <c r="N259" s="582" t="s">
        <v>149</v>
      </c>
      <c r="O259" s="582" t="s">
        <v>61</v>
      </c>
      <c r="P259" s="582" t="s">
        <v>62</v>
      </c>
      <c r="Q259" s="582" t="s">
        <v>573</v>
      </c>
      <c r="R259" s="582" t="s">
        <v>31</v>
      </c>
      <c r="S259" s="582" t="s">
        <v>184</v>
      </c>
      <c r="T259" s="582" t="s">
        <v>185</v>
      </c>
      <c r="U259" s="582"/>
      <c r="V259" s="582" t="s">
        <v>149</v>
      </c>
      <c r="W259" s="583">
        <v>1</v>
      </c>
    </row>
    <row r="260" spans="1:23" customFormat="1" ht="16.5" customHeight="1" thickBot="1">
      <c r="A260" s="116" t="s">
        <v>156</v>
      </c>
      <c r="B260" s="141">
        <v>16</v>
      </c>
      <c r="C260" s="142">
        <v>46126</v>
      </c>
      <c r="D260" s="143" t="s">
        <v>142</v>
      </c>
      <c r="E260" s="580" t="s">
        <v>232</v>
      </c>
      <c r="F260" s="580" t="s">
        <v>267</v>
      </c>
      <c r="G260" s="580" t="s">
        <v>37</v>
      </c>
      <c r="H260" s="145">
        <v>5771962</v>
      </c>
      <c r="I260" s="580" t="s">
        <v>571</v>
      </c>
      <c r="J260" s="580">
        <v>280</v>
      </c>
      <c r="K260" s="580">
        <v>1</v>
      </c>
      <c r="L260" s="580">
        <v>5</v>
      </c>
      <c r="M260" s="580">
        <v>1</v>
      </c>
      <c r="N260" s="580" t="s">
        <v>149</v>
      </c>
      <c r="O260" s="580" t="s">
        <v>81</v>
      </c>
      <c r="P260" s="580" t="s">
        <v>47</v>
      </c>
      <c r="Q260" s="580" t="s">
        <v>574</v>
      </c>
      <c r="R260" s="580" t="s">
        <v>31</v>
      </c>
      <c r="S260" s="580" t="s">
        <v>184</v>
      </c>
      <c r="T260" s="580" t="s">
        <v>185</v>
      </c>
      <c r="U260" s="580"/>
      <c r="V260" s="580" t="s">
        <v>149</v>
      </c>
      <c r="W260" s="581">
        <v>1</v>
      </c>
    </row>
    <row r="261" spans="1:23" customFormat="1" ht="16.5" customHeight="1">
      <c r="A261" s="219" t="s">
        <v>156</v>
      </c>
      <c r="B261" s="214">
        <v>16</v>
      </c>
      <c r="C261" s="215">
        <v>46127</v>
      </c>
      <c r="D261" s="216" t="s">
        <v>142</v>
      </c>
      <c r="E261" s="579" t="s">
        <v>232</v>
      </c>
      <c r="F261" s="579" t="s">
        <v>267</v>
      </c>
      <c r="G261" s="579" t="s">
        <v>37</v>
      </c>
      <c r="H261" s="217">
        <v>5771962</v>
      </c>
      <c r="I261" s="579" t="s">
        <v>571</v>
      </c>
      <c r="J261" s="579">
        <v>220</v>
      </c>
      <c r="K261" s="1150">
        <v>1</v>
      </c>
      <c r="L261" s="1150"/>
      <c r="M261" s="1150">
        <v>0</v>
      </c>
      <c r="N261" s="1150"/>
      <c r="O261" s="1150"/>
      <c r="P261" s="1150"/>
      <c r="Q261" s="1150"/>
      <c r="R261" s="1150"/>
      <c r="S261" s="1150"/>
      <c r="T261" s="1150"/>
      <c r="U261" s="1150"/>
      <c r="V261" s="1150"/>
      <c r="W261" s="1151"/>
    </row>
    <row r="262" spans="1:23" customFormat="1" ht="16.5" customHeight="1" thickBot="1">
      <c r="A262" s="116" t="s">
        <v>156</v>
      </c>
      <c r="B262" s="141">
        <v>16</v>
      </c>
      <c r="C262" s="142">
        <v>46127</v>
      </c>
      <c r="D262" s="143" t="s">
        <v>142</v>
      </c>
      <c r="E262" s="567" t="s">
        <v>232</v>
      </c>
      <c r="F262" s="567" t="s">
        <v>266</v>
      </c>
      <c r="G262" s="567" t="s">
        <v>37</v>
      </c>
      <c r="H262" s="145">
        <v>5766065</v>
      </c>
      <c r="I262" s="567" t="s">
        <v>572</v>
      </c>
      <c r="J262" s="567">
        <v>400</v>
      </c>
      <c r="K262" s="1147"/>
      <c r="L262" s="1147"/>
      <c r="M262" s="1147"/>
      <c r="N262" s="1147"/>
      <c r="O262" s="1147"/>
      <c r="P262" s="1147"/>
      <c r="Q262" s="1147"/>
      <c r="R262" s="1147"/>
      <c r="S262" s="1147"/>
      <c r="T262" s="1147"/>
      <c r="U262" s="1147"/>
      <c r="V262" s="1147"/>
      <c r="W262" s="1149"/>
    </row>
    <row r="263" spans="1:23" customFormat="1" ht="16.5" customHeight="1">
      <c r="A263" s="63" t="s">
        <v>156</v>
      </c>
      <c r="B263" s="64">
        <v>16</v>
      </c>
      <c r="C263" s="65">
        <v>46128</v>
      </c>
      <c r="D263" s="66" t="s">
        <v>142</v>
      </c>
      <c r="E263" s="587" t="s">
        <v>232</v>
      </c>
      <c r="F263" s="587" t="s">
        <v>268</v>
      </c>
      <c r="G263" s="587" t="s">
        <v>176</v>
      </c>
      <c r="H263" s="163">
        <v>5771802</v>
      </c>
      <c r="I263" s="587" t="s">
        <v>575</v>
      </c>
      <c r="J263" s="587">
        <v>250</v>
      </c>
      <c r="K263" s="1224">
        <v>1</v>
      </c>
      <c r="L263" s="1224">
        <v>5</v>
      </c>
      <c r="M263" s="1224">
        <v>1</v>
      </c>
      <c r="N263" s="1224" t="s">
        <v>149</v>
      </c>
      <c r="O263" s="1224" t="s">
        <v>67</v>
      </c>
      <c r="P263" s="1224" t="s">
        <v>57</v>
      </c>
      <c r="Q263" s="1224" t="s">
        <v>520</v>
      </c>
      <c r="R263" s="1224" t="s">
        <v>58</v>
      </c>
      <c r="S263" s="1224" t="s">
        <v>184</v>
      </c>
      <c r="T263" s="1224" t="s">
        <v>185</v>
      </c>
      <c r="U263" s="1224"/>
      <c r="V263" s="1224" t="s">
        <v>149</v>
      </c>
      <c r="W263" s="1225">
        <v>1</v>
      </c>
    </row>
    <row r="264" spans="1:23" customFormat="1" ht="16.5" customHeight="1">
      <c r="A264" s="134" t="s">
        <v>156</v>
      </c>
      <c r="B264" s="135">
        <v>16</v>
      </c>
      <c r="C264" s="136">
        <v>46128</v>
      </c>
      <c r="D264" s="137" t="s">
        <v>142</v>
      </c>
      <c r="E264" s="590" t="s">
        <v>232</v>
      </c>
      <c r="F264" s="590" t="s">
        <v>269</v>
      </c>
      <c r="G264" s="590" t="s">
        <v>176</v>
      </c>
      <c r="H264" s="139">
        <v>5773217</v>
      </c>
      <c r="I264" s="590" t="s">
        <v>576</v>
      </c>
      <c r="J264" s="590">
        <v>100</v>
      </c>
      <c r="K264" s="1165"/>
      <c r="L264" s="1165"/>
      <c r="M264" s="1165"/>
      <c r="N264" s="1165"/>
      <c r="O264" s="1165"/>
      <c r="P264" s="1165"/>
      <c r="Q264" s="1165"/>
      <c r="R264" s="1165"/>
      <c r="S264" s="1165"/>
      <c r="T264" s="1165"/>
      <c r="U264" s="1165"/>
      <c r="V264" s="1165"/>
      <c r="W264" s="1167"/>
    </row>
    <row r="265" spans="1:23" customFormat="1" ht="16.5" customHeight="1" thickBot="1">
      <c r="A265" s="116" t="s">
        <v>156</v>
      </c>
      <c r="B265" s="141">
        <v>16</v>
      </c>
      <c r="C265" s="142">
        <v>46128</v>
      </c>
      <c r="D265" s="143" t="s">
        <v>142</v>
      </c>
      <c r="E265" s="588" t="s">
        <v>265</v>
      </c>
      <c r="F265" s="588" t="s">
        <v>270</v>
      </c>
      <c r="G265" s="588" t="s">
        <v>37</v>
      </c>
      <c r="H265" s="145">
        <v>5447763</v>
      </c>
      <c r="I265" s="588" t="s">
        <v>577</v>
      </c>
      <c r="J265" s="588">
        <v>150</v>
      </c>
      <c r="K265" s="588">
        <v>1</v>
      </c>
      <c r="L265" s="588"/>
      <c r="M265" s="588">
        <v>0</v>
      </c>
      <c r="N265" s="588" t="s">
        <v>149</v>
      </c>
      <c r="O265" s="588"/>
      <c r="P265" s="588"/>
      <c r="Q265" s="588"/>
      <c r="R265" s="588"/>
      <c r="S265" s="588"/>
      <c r="T265" s="588"/>
      <c r="U265" s="588"/>
      <c r="V265" s="588"/>
      <c r="W265" s="589"/>
    </row>
    <row r="266" spans="1:23" customFormat="1" ht="16.5" customHeight="1">
      <c r="A266" s="63" t="s">
        <v>156</v>
      </c>
      <c r="B266" s="64">
        <v>16</v>
      </c>
      <c r="C266" s="65">
        <v>46129</v>
      </c>
      <c r="D266" s="66" t="s">
        <v>142</v>
      </c>
      <c r="E266" s="592" t="s">
        <v>265</v>
      </c>
      <c r="F266" s="592" t="s">
        <v>270</v>
      </c>
      <c r="G266" s="592" t="s">
        <v>37</v>
      </c>
      <c r="H266" s="163">
        <v>5447763</v>
      </c>
      <c r="I266" s="592" t="s">
        <v>577</v>
      </c>
      <c r="J266" s="592">
        <v>298</v>
      </c>
      <c r="K266" s="1220">
        <v>1</v>
      </c>
      <c r="L266" s="1220">
        <v>5</v>
      </c>
      <c r="M266" s="1220">
        <v>1</v>
      </c>
      <c r="N266" s="1220" t="s">
        <v>149</v>
      </c>
      <c r="O266" s="1220" t="s">
        <v>39</v>
      </c>
      <c r="P266" s="1220" t="s">
        <v>40</v>
      </c>
      <c r="Q266" s="1220" t="s">
        <v>585</v>
      </c>
      <c r="R266" s="1220" t="s">
        <v>31</v>
      </c>
      <c r="S266" s="1220" t="s">
        <v>184</v>
      </c>
      <c r="T266" s="1220" t="s">
        <v>185</v>
      </c>
      <c r="U266" s="1220"/>
      <c r="V266" s="1220" t="s">
        <v>149</v>
      </c>
      <c r="W266" s="1222">
        <v>1</v>
      </c>
    </row>
    <row r="267" spans="1:23" customFormat="1" ht="16.5" customHeight="1">
      <c r="A267" s="134" t="s">
        <v>156</v>
      </c>
      <c r="B267" s="135">
        <v>16</v>
      </c>
      <c r="C267" s="136">
        <v>46129</v>
      </c>
      <c r="D267" s="137" t="s">
        <v>142</v>
      </c>
      <c r="E267" s="593" t="s">
        <v>265</v>
      </c>
      <c r="F267" s="593" t="s">
        <v>270</v>
      </c>
      <c r="G267" s="593" t="s">
        <v>37</v>
      </c>
      <c r="H267" s="139">
        <v>5447763</v>
      </c>
      <c r="I267" s="593" t="s">
        <v>580</v>
      </c>
      <c r="J267" s="593">
        <v>144</v>
      </c>
      <c r="K267" s="1165"/>
      <c r="L267" s="1165"/>
      <c r="M267" s="1165"/>
      <c r="N267" s="1165"/>
      <c r="O267" s="1165"/>
      <c r="P267" s="1165"/>
      <c r="Q267" s="1165"/>
      <c r="R267" s="1165"/>
      <c r="S267" s="1165"/>
      <c r="T267" s="1165"/>
      <c r="U267" s="1165"/>
      <c r="V267" s="1165"/>
      <c r="W267" s="1167"/>
    </row>
    <row r="268" spans="1:23" customFormat="1" ht="16.5" customHeight="1" thickBot="1">
      <c r="A268" s="615" t="s">
        <v>156</v>
      </c>
      <c r="B268" s="616">
        <v>16</v>
      </c>
      <c r="C268" s="617">
        <v>46129</v>
      </c>
      <c r="D268" s="618" t="s">
        <v>142</v>
      </c>
      <c r="E268" s="613" t="s">
        <v>386</v>
      </c>
      <c r="F268" s="613" t="s">
        <v>274</v>
      </c>
      <c r="G268" s="613" t="s">
        <v>36</v>
      </c>
      <c r="H268" s="619">
        <v>5535131</v>
      </c>
      <c r="I268" s="613" t="s">
        <v>581</v>
      </c>
      <c r="J268" s="613">
        <v>100</v>
      </c>
      <c r="K268" s="613">
        <v>1</v>
      </c>
      <c r="L268" s="613">
        <v>5</v>
      </c>
      <c r="M268" s="613">
        <v>1</v>
      </c>
      <c r="N268" s="613" t="s">
        <v>149</v>
      </c>
      <c r="O268" s="613" t="s">
        <v>61</v>
      </c>
      <c r="P268" s="613" t="s">
        <v>62</v>
      </c>
      <c r="Q268" s="613" t="s">
        <v>420</v>
      </c>
      <c r="R268" s="613" t="s">
        <v>31</v>
      </c>
      <c r="S268" s="613" t="s">
        <v>184</v>
      </c>
      <c r="T268" s="613" t="s">
        <v>185</v>
      </c>
      <c r="U268" s="613"/>
      <c r="V268" s="613" t="s">
        <v>149</v>
      </c>
      <c r="W268" s="614">
        <v>1</v>
      </c>
    </row>
    <row r="269" spans="1:23" customFormat="1" ht="16.5" customHeight="1">
      <c r="A269" s="63" t="s">
        <v>156</v>
      </c>
      <c r="B269" s="149">
        <v>16</v>
      </c>
      <c r="C269" s="150">
        <v>46130</v>
      </c>
      <c r="D269" s="151" t="s">
        <v>142</v>
      </c>
      <c r="E269" s="609" t="s">
        <v>386</v>
      </c>
      <c r="F269" s="609" t="s">
        <v>274</v>
      </c>
      <c r="G269" s="609" t="s">
        <v>36</v>
      </c>
      <c r="H269" s="153">
        <v>5535131</v>
      </c>
      <c r="I269" s="609" t="s">
        <v>581</v>
      </c>
      <c r="J269" s="609">
        <v>100</v>
      </c>
      <c r="K269" s="1221">
        <v>1</v>
      </c>
      <c r="L269" s="609">
        <v>5</v>
      </c>
      <c r="M269" s="1221">
        <v>1</v>
      </c>
      <c r="N269" s="1221" t="s">
        <v>149</v>
      </c>
      <c r="O269" s="609" t="s">
        <v>39</v>
      </c>
      <c r="P269" s="609" t="s">
        <v>40</v>
      </c>
      <c r="Q269" s="609" t="s">
        <v>316</v>
      </c>
      <c r="R269" s="609" t="s">
        <v>31</v>
      </c>
      <c r="S269" s="609" t="s">
        <v>184</v>
      </c>
      <c r="T269" s="609" t="s">
        <v>185</v>
      </c>
      <c r="U269" s="1221"/>
      <c r="V269" s="1221" t="s">
        <v>149</v>
      </c>
      <c r="W269" s="1223">
        <v>1</v>
      </c>
    </row>
    <row r="270" spans="1:23" customFormat="1" ht="16.5" customHeight="1">
      <c r="A270" s="134" t="s">
        <v>156</v>
      </c>
      <c r="B270" s="135">
        <v>16</v>
      </c>
      <c r="C270" s="136">
        <v>46130</v>
      </c>
      <c r="D270" s="137" t="s">
        <v>142</v>
      </c>
      <c r="E270" s="608" t="s">
        <v>386</v>
      </c>
      <c r="F270" s="608" t="s">
        <v>274</v>
      </c>
      <c r="G270" s="608" t="s">
        <v>28</v>
      </c>
      <c r="H270" s="139">
        <v>5535130</v>
      </c>
      <c r="I270" s="608" t="s">
        <v>583</v>
      </c>
      <c r="J270" s="608">
        <v>200</v>
      </c>
      <c r="K270" s="1150"/>
      <c r="L270" s="1143">
        <v>5</v>
      </c>
      <c r="M270" s="1150"/>
      <c r="N270" s="1150"/>
      <c r="O270" s="1143" t="s">
        <v>56</v>
      </c>
      <c r="P270" s="1143" t="s">
        <v>40</v>
      </c>
      <c r="Q270" s="1143" t="s">
        <v>586</v>
      </c>
      <c r="R270" s="1143" t="s">
        <v>31</v>
      </c>
      <c r="S270" s="1143" t="s">
        <v>301</v>
      </c>
      <c r="T270" s="1143" t="s">
        <v>185</v>
      </c>
      <c r="U270" s="1150"/>
      <c r="V270" s="1150"/>
      <c r="W270" s="1151"/>
    </row>
    <row r="271" spans="1:23" customFormat="1" ht="16.5" customHeight="1" thickBot="1">
      <c r="A271" s="116" t="s">
        <v>156</v>
      </c>
      <c r="B271" s="141">
        <v>16</v>
      </c>
      <c r="C271" s="142">
        <v>46130</v>
      </c>
      <c r="D271" s="143" t="s">
        <v>142</v>
      </c>
      <c r="E271" s="607" t="s">
        <v>386</v>
      </c>
      <c r="F271" s="607" t="s">
        <v>274</v>
      </c>
      <c r="G271" s="607" t="s">
        <v>28</v>
      </c>
      <c r="H271" s="145">
        <v>5535130</v>
      </c>
      <c r="I271" s="607" t="s">
        <v>584</v>
      </c>
      <c r="J271" s="607">
        <v>170</v>
      </c>
      <c r="K271" s="1147"/>
      <c r="L271" s="1156"/>
      <c r="M271" s="1147"/>
      <c r="N271" s="1147"/>
      <c r="O271" s="1156"/>
      <c r="P271" s="1156"/>
      <c r="Q271" s="1156"/>
      <c r="R271" s="1156"/>
      <c r="S271" s="1156"/>
      <c r="T271" s="1156"/>
      <c r="U271" s="1147"/>
      <c r="V271" s="1147"/>
      <c r="W271" s="1149"/>
    </row>
    <row r="272" spans="1:23" customFormat="1" ht="16.5" customHeight="1">
      <c r="A272" s="63" t="s">
        <v>156</v>
      </c>
      <c r="B272" s="64">
        <v>17</v>
      </c>
      <c r="C272" s="65">
        <v>46132</v>
      </c>
      <c r="D272" s="66" t="s">
        <v>142</v>
      </c>
      <c r="E272" s="612" t="s">
        <v>386</v>
      </c>
      <c r="F272" s="612" t="s">
        <v>274</v>
      </c>
      <c r="G272" s="612" t="s">
        <v>28</v>
      </c>
      <c r="H272" s="163">
        <v>5535130</v>
      </c>
      <c r="I272" s="612" t="s">
        <v>584</v>
      </c>
      <c r="J272" s="612">
        <v>30</v>
      </c>
      <c r="K272" s="1296">
        <v>1</v>
      </c>
      <c r="L272" s="1296">
        <v>5</v>
      </c>
      <c r="M272" s="1296">
        <v>1</v>
      </c>
      <c r="N272" s="1296" t="s">
        <v>149</v>
      </c>
      <c r="O272" s="1296" t="s">
        <v>61</v>
      </c>
      <c r="P272" s="1296" t="s">
        <v>62</v>
      </c>
      <c r="Q272" s="1296" t="s">
        <v>573</v>
      </c>
      <c r="R272" s="1296" t="s">
        <v>31</v>
      </c>
      <c r="S272" s="1296" t="s">
        <v>184</v>
      </c>
      <c r="T272" s="1296" t="s">
        <v>185</v>
      </c>
      <c r="U272" s="1296"/>
      <c r="V272" s="1296" t="s">
        <v>149</v>
      </c>
      <c r="W272" s="1297">
        <v>1</v>
      </c>
    </row>
    <row r="273" spans="1:23" customFormat="1" ht="16.5" customHeight="1">
      <c r="A273" s="134" t="s">
        <v>156</v>
      </c>
      <c r="B273" s="135">
        <v>17</v>
      </c>
      <c r="C273" s="136">
        <v>46132</v>
      </c>
      <c r="D273" s="137" t="s">
        <v>142</v>
      </c>
      <c r="E273" s="611" t="s">
        <v>386</v>
      </c>
      <c r="F273" s="611" t="s">
        <v>274</v>
      </c>
      <c r="G273" s="611" t="s">
        <v>32</v>
      </c>
      <c r="H273" s="139">
        <v>5535129</v>
      </c>
      <c r="I273" s="611" t="s">
        <v>589</v>
      </c>
      <c r="J273" s="611">
        <v>200</v>
      </c>
      <c r="K273" s="1150"/>
      <c r="L273" s="1150"/>
      <c r="M273" s="1150"/>
      <c r="N273" s="1150"/>
      <c r="O273" s="1150"/>
      <c r="P273" s="1150"/>
      <c r="Q273" s="1150"/>
      <c r="R273" s="1150"/>
      <c r="S273" s="1150"/>
      <c r="T273" s="1150"/>
      <c r="U273" s="1150"/>
      <c r="V273" s="1150"/>
      <c r="W273" s="1151"/>
    </row>
    <row r="274" spans="1:23" customFormat="1" ht="16.5" customHeight="1">
      <c r="A274" s="134" t="s">
        <v>156</v>
      </c>
      <c r="B274" s="135">
        <v>17</v>
      </c>
      <c r="C274" s="136">
        <v>46132</v>
      </c>
      <c r="D274" s="137" t="s">
        <v>142</v>
      </c>
      <c r="E274" s="611" t="s">
        <v>386</v>
      </c>
      <c r="F274" s="611" t="s">
        <v>274</v>
      </c>
      <c r="G274" s="611" t="s">
        <v>32</v>
      </c>
      <c r="H274" s="139">
        <v>5535129</v>
      </c>
      <c r="I274" s="611" t="s">
        <v>590</v>
      </c>
      <c r="J274" s="611">
        <v>200</v>
      </c>
      <c r="K274" s="1150"/>
      <c r="L274" s="1150"/>
      <c r="M274" s="1150"/>
      <c r="N274" s="1150"/>
      <c r="O274" s="1150"/>
      <c r="P274" s="1150"/>
      <c r="Q274" s="1150"/>
      <c r="R274" s="1150"/>
      <c r="S274" s="1150"/>
      <c r="T274" s="1150"/>
      <c r="U274" s="1150"/>
      <c r="V274" s="1150"/>
      <c r="W274" s="1151"/>
    </row>
    <row r="275" spans="1:23" customFormat="1" ht="16.5" customHeight="1" thickBot="1">
      <c r="A275" s="624" t="s">
        <v>156</v>
      </c>
      <c r="B275" s="625">
        <v>17</v>
      </c>
      <c r="C275" s="626">
        <v>46132</v>
      </c>
      <c r="D275" s="627" t="s">
        <v>142</v>
      </c>
      <c r="E275" s="628" t="s">
        <v>386</v>
      </c>
      <c r="F275" s="628" t="s">
        <v>273</v>
      </c>
      <c r="G275" s="628" t="s">
        <v>28</v>
      </c>
      <c r="H275" s="629">
        <v>5535134</v>
      </c>
      <c r="I275" s="628" t="s">
        <v>591</v>
      </c>
      <c r="J275" s="628">
        <v>20</v>
      </c>
      <c r="K275" s="1150"/>
      <c r="L275" s="1150"/>
      <c r="M275" s="1150"/>
      <c r="N275" s="1150"/>
      <c r="O275" s="1150"/>
      <c r="P275" s="1150"/>
      <c r="Q275" s="1150"/>
      <c r="R275" s="1150"/>
      <c r="S275" s="1150"/>
      <c r="T275" s="1150"/>
      <c r="U275" s="1150"/>
      <c r="V275" s="1150"/>
      <c r="W275" s="1151"/>
    </row>
    <row r="276" spans="1:23" customFormat="1" ht="16.5" customHeight="1">
      <c r="A276" s="63" t="s">
        <v>156</v>
      </c>
      <c r="B276" s="64">
        <v>17</v>
      </c>
      <c r="C276" s="65">
        <v>46133</v>
      </c>
      <c r="D276" s="66" t="s">
        <v>142</v>
      </c>
      <c r="E276" s="620" t="s">
        <v>386</v>
      </c>
      <c r="F276" s="620" t="s">
        <v>273</v>
      </c>
      <c r="G276" s="620" t="s">
        <v>28</v>
      </c>
      <c r="H276" s="163">
        <v>5535134</v>
      </c>
      <c r="I276" s="620" t="s">
        <v>591</v>
      </c>
      <c r="J276" s="620">
        <v>180</v>
      </c>
      <c r="K276" s="620">
        <v>1</v>
      </c>
      <c r="L276" s="620"/>
      <c r="M276" s="620">
        <v>0</v>
      </c>
      <c r="N276" s="620" t="s">
        <v>149</v>
      </c>
      <c r="O276" s="620"/>
      <c r="P276" s="620"/>
      <c r="Q276" s="620"/>
      <c r="R276" s="620"/>
      <c r="S276" s="620"/>
      <c r="T276" s="620"/>
      <c r="U276" s="620"/>
      <c r="V276" s="620"/>
      <c r="W276" s="621"/>
    </row>
    <row r="277" spans="1:23" customFormat="1" ht="16.5" customHeight="1">
      <c r="A277" s="134" t="s">
        <v>156</v>
      </c>
      <c r="B277" s="135">
        <v>17</v>
      </c>
      <c r="C277" s="136">
        <v>46133</v>
      </c>
      <c r="D277" s="137" t="s">
        <v>142</v>
      </c>
      <c r="E277" s="622" t="s">
        <v>387</v>
      </c>
      <c r="F277" s="622" t="s">
        <v>284</v>
      </c>
      <c r="G277" s="622" t="s">
        <v>36</v>
      </c>
      <c r="H277" s="139">
        <v>5797282</v>
      </c>
      <c r="I277" s="622">
        <v>4523630960</v>
      </c>
      <c r="J277" s="622">
        <v>120</v>
      </c>
      <c r="K277" s="1143">
        <v>1</v>
      </c>
      <c r="L277" s="1143">
        <v>5</v>
      </c>
      <c r="M277" s="1143">
        <v>1</v>
      </c>
      <c r="N277" s="1143" t="s">
        <v>149</v>
      </c>
      <c r="O277" s="1143" t="s">
        <v>39</v>
      </c>
      <c r="P277" s="1143" t="s">
        <v>40</v>
      </c>
      <c r="Q277" s="1143" t="s">
        <v>316</v>
      </c>
      <c r="R277" s="1143" t="s">
        <v>31</v>
      </c>
      <c r="S277" s="1143" t="s">
        <v>184</v>
      </c>
      <c r="T277" s="1143" t="s">
        <v>185</v>
      </c>
      <c r="U277" s="1143"/>
      <c r="V277" s="1143" t="s">
        <v>149</v>
      </c>
      <c r="W277" s="1145">
        <v>1</v>
      </c>
    </row>
    <row r="278" spans="1:23" customFormat="1" ht="16.5" customHeight="1">
      <c r="A278" s="134" t="s">
        <v>156</v>
      </c>
      <c r="B278" s="135">
        <v>17</v>
      </c>
      <c r="C278" s="136">
        <v>46133</v>
      </c>
      <c r="D278" s="137" t="s">
        <v>142</v>
      </c>
      <c r="E278" s="622" t="s">
        <v>387</v>
      </c>
      <c r="F278" s="622" t="s">
        <v>284</v>
      </c>
      <c r="G278" s="622" t="s">
        <v>28</v>
      </c>
      <c r="H278" s="139">
        <v>5797283</v>
      </c>
      <c r="I278" s="622">
        <v>4523630960</v>
      </c>
      <c r="J278" s="622">
        <v>2</v>
      </c>
      <c r="K278" s="1143"/>
      <c r="L278" s="1143"/>
      <c r="M278" s="1143"/>
      <c r="N278" s="1143"/>
      <c r="O278" s="1143"/>
      <c r="P278" s="1143"/>
      <c r="Q278" s="1143"/>
      <c r="R278" s="1143"/>
      <c r="S278" s="1143"/>
      <c r="T278" s="1143"/>
      <c r="U278" s="1143"/>
      <c r="V278" s="1143"/>
      <c r="W278" s="1145"/>
    </row>
    <row r="279" spans="1:23" customFormat="1" ht="16.5" customHeight="1">
      <c r="A279" s="134" t="s">
        <v>156</v>
      </c>
      <c r="B279" s="135">
        <v>17</v>
      </c>
      <c r="C279" s="136">
        <v>46133</v>
      </c>
      <c r="D279" s="137" t="s">
        <v>142</v>
      </c>
      <c r="E279" s="623" t="s">
        <v>387</v>
      </c>
      <c r="F279" s="623" t="s">
        <v>284</v>
      </c>
      <c r="G279" s="623" t="s">
        <v>28</v>
      </c>
      <c r="H279" s="139">
        <v>5797283</v>
      </c>
      <c r="I279" s="623">
        <v>4523650553</v>
      </c>
      <c r="J279" s="623">
        <v>144</v>
      </c>
      <c r="K279" s="1143"/>
      <c r="L279" s="1143"/>
      <c r="M279" s="1143"/>
      <c r="N279" s="1143"/>
      <c r="O279" s="1143"/>
      <c r="P279" s="1143"/>
      <c r="Q279" s="1143"/>
      <c r="R279" s="1143"/>
      <c r="S279" s="1143"/>
      <c r="T279" s="1143"/>
      <c r="U279" s="1143"/>
      <c r="V279" s="1143"/>
      <c r="W279" s="1145"/>
    </row>
    <row r="280" spans="1:23" customFormat="1" ht="16.5" customHeight="1">
      <c r="A280" s="134" t="s">
        <v>156</v>
      </c>
      <c r="B280" s="135">
        <v>17</v>
      </c>
      <c r="C280" s="136">
        <v>46133</v>
      </c>
      <c r="D280" s="137" t="s">
        <v>142</v>
      </c>
      <c r="E280" s="622" t="s">
        <v>387</v>
      </c>
      <c r="F280" s="622" t="s">
        <v>284</v>
      </c>
      <c r="G280" s="622" t="s">
        <v>32</v>
      </c>
      <c r="H280" s="139">
        <v>5797281</v>
      </c>
      <c r="I280" s="622">
        <v>4523650553</v>
      </c>
      <c r="J280" s="622">
        <v>2</v>
      </c>
      <c r="K280" s="1143"/>
      <c r="L280" s="1143"/>
      <c r="M280" s="1143"/>
      <c r="N280" s="1143"/>
      <c r="O280" s="1143"/>
      <c r="P280" s="1143"/>
      <c r="Q280" s="1143"/>
      <c r="R280" s="1143"/>
      <c r="S280" s="1143"/>
      <c r="T280" s="1143"/>
      <c r="U280" s="1143"/>
      <c r="V280" s="1143"/>
      <c r="W280" s="1145"/>
    </row>
    <row r="281" spans="1:23" customFormat="1" ht="16.5" customHeight="1" thickBot="1">
      <c r="A281" s="636" t="s">
        <v>156</v>
      </c>
      <c r="B281" s="637">
        <v>17</v>
      </c>
      <c r="C281" s="638">
        <v>46133</v>
      </c>
      <c r="D281" s="639" t="s">
        <v>142</v>
      </c>
      <c r="E281" s="640" t="s">
        <v>387</v>
      </c>
      <c r="F281" s="640" t="s">
        <v>284</v>
      </c>
      <c r="G281" s="640" t="s">
        <v>32</v>
      </c>
      <c r="H281" s="641">
        <v>5797281</v>
      </c>
      <c r="I281" s="640">
        <v>4523650553</v>
      </c>
      <c r="J281" s="640">
        <v>36</v>
      </c>
      <c r="K281" s="1218"/>
      <c r="L281" s="1218"/>
      <c r="M281" s="1218"/>
      <c r="N281" s="1218"/>
      <c r="O281" s="1218"/>
      <c r="P281" s="1218"/>
      <c r="Q281" s="1218"/>
      <c r="R281" s="1218"/>
      <c r="S281" s="1218"/>
      <c r="T281" s="1218"/>
      <c r="U281" s="1218"/>
      <c r="V281" s="1218"/>
      <c r="W281" s="1219"/>
    </row>
    <row r="282" spans="1:23" customFormat="1" ht="16.5" customHeight="1">
      <c r="A282" s="63" t="s">
        <v>156</v>
      </c>
      <c r="B282" s="64">
        <v>17</v>
      </c>
      <c r="C282" s="65">
        <v>46134</v>
      </c>
      <c r="D282" s="66" t="s">
        <v>142</v>
      </c>
      <c r="E282" s="631" t="s">
        <v>387</v>
      </c>
      <c r="F282" s="631" t="s">
        <v>284</v>
      </c>
      <c r="G282" s="631" t="s">
        <v>32</v>
      </c>
      <c r="H282" s="163">
        <v>5797281</v>
      </c>
      <c r="I282" s="631">
        <v>4523650553</v>
      </c>
      <c r="J282" s="631">
        <v>100</v>
      </c>
      <c r="K282" s="1142">
        <v>1</v>
      </c>
      <c r="L282" s="1142"/>
      <c r="M282" s="1142">
        <v>0</v>
      </c>
      <c r="N282" s="1142" t="s">
        <v>149</v>
      </c>
      <c r="O282" s="1142"/>
      <c r="P282" s="1142"/>
      <c r="Q282" s="1142"/>
      <c r="R282" s="1142"/>
      <c r="S282" s="1142"/>
      <c r="T282" s="1142"/>
      <c r="U282" s="1142"/>
      <c r="V282" s="1142"/>
      <c r="W282" s="1153"/>
    </row>
    <row r="283" spans="1:23" customFormat="1" ht="16.5" customHeight="1">
      <c r="A283" s="134" t="s">
        <v>156</v>
      </c>
      <c r="B283" s="135">
        <v>17</v>
      </c>
      <c r="C283" s="136">
        <v>46134</v>
      </c>
      <c r="D283" s="137" t="s">
        <v>142</v>
      </c>
      <c r="E283" s="630" t="s">
        <v>387</v>
      </c>
      <c r="F283" s="630" t="s">
        <v>282</v>
      </c>
      <c r="G283" s="630" t="s">
        <v>28</v>
      </c>
      <c r="H283" s="139">
        <v>5535141</v>
      </c>
      <c r="I283" s="630" t="s">
        <v>592</v>
      </c>
      <c r="J283" s="630">
        <v>120</v>
      </c>
      <c r="K283" s="1143"/>
      <c r="L283" s="1143"/>
      <c r="M283" s="1143"/>
      <c r="N283" s="1143"/>
      <c r="O283" s="1143"/>
      <c r="P283" s="1143"/>
      <c r="Q283" s="1143"/>
      <c r="R283" s="1143"/>
      <c r="S283" s="1143"/>
      <c r="T283" s="1143"/>
      <c r="U283" s="1143"/>
      <c r="V283" s="1143"/>
      <c r="W283" s="1145"/>
    </row>
    <row r="284" spans="1:23" customFormat="1" ht="16.5" customHeight="1">
      <c r="A284" s="134" t="s">
        <v>156</v>
      </c>
      <c r="B284" s="135">
        <v>17</v>
      </c>
      <c r="C284" s="136">
        <v>46134</v>
      </c>
      <c r="D284" s="137" t="s">
        <v>142</v>
      </c>
      <c r="E284" s="630" t="s">
        <v>387</v>
      </c>
      <c r="F284" s="630" t="s">
        <v>282</v>
      </c>
      <c r="G284" s="630" t="s">
        <v>32</v>
      </c>
      <c r="H284" s="139">
        <v>5535140</v>
      </c>
      <c r="I284" s="630" t="s">
        <v>593</v>
      </c>
      <c r="J284" s="630">
        <v>1</v>
      </c>
      <c r="K284" s="1143"/>
      <c r="L284" s="1143"/>
      <c r="M284" s="1143"/>
      <c r="N284" s="1143"/>
      <c r="O284" s="1143"/>
      <c r="P284" s="1143"/>
      <c r="Q284" s="1143"/>
      <c r="R284" s="1143"/>
      <c r="S284" s="1143"/>
      <c r="T284" s="1143"/>
      <c r="U284" s="1143"/>
      <c r="V284" s="1143"/>
      <c r="W284" s="1145"/>
    </row>
    <row r="285" spans="1:23" customFormat="1" ht="16.5" customHeight="1" thickBot="1">
      <c r="A285" s="642" t="s">
        <v>156</v>
      </c>
      <c r="B285" s="643">
        <v>17</v>
      </c>
      <c r="C285" s="644">
        <v>46134</v>
      </c>
      <c r="D285" s="645" t="s">
        <v>142</v>
      </c>
      <c r="E285" s="646" t="s">
        <v>387</v>
      </c>
      <c r="F285" s="646" t="s">
        <v>282</v>
      </c>
      <c r="G285" s="646" t="s">
        <v>32</v>
      </c>
      <c r="H285" s="647">
        <v>5535140</v>
      </c>
      <c r="I285" s="646" t="s">
        <v>594</v>
      </c>
      <c r="J285" s="646">
        <v>32</v>
      </c>
      <c r="K285" s="1216"/>
      <c r="L285" s="1216"/>
      <c r="M285" s="1216"/>
      <c r="N285" s="1216"/>
      <c r="O285" s="1216"/>
      <c r="P285" s="1216"/>
      <c r="Q285" s="1216"/>
      <c r="R285" s="1216"/>
      <c r="S285" s="1216"/>
      <c r="T285" s="1216"/>
      <c r="U285" s="1216"/>
      <c r="V285" s="1216"/>
      <c r="W285" s="1217"/>
    </row>
    <row r="286" spans="1:23" customFormat="1" ht="16.5" customHeight="1">
      <c r="A286" s="63" t="s">
        <v>156</v>
      </c>
      <c r="B286" s="64">
        <v>17</v>
      </c>
      <c r="C286" s="65">
        <v>46135</v>
      </c>
      <c r="D286" s="66" t="s">
        <v>142</v>
      </c>
      <c r="E286" s="632" t="s">
        <v>232</v>
      </c>
      <c r="F286" s="632" t="s">
        <v>275</v>
      </c>
      <c r="G286" s="632" t="s">
        <v>37</v>
      </c>
      <c r="H286" s="163">
        <v>5823326</v>
      </c>
      <c r="I286" s="632">
        <v>4523451693</v>
      </c>
      <c r="J286" s="632">
        <v>10</v>
      </c>
      <c r="K286" s="1142">
        <v>1</v>
      </c>
      <c r="L286" s="1142">
        <v>5</v>
      </c>
      <c r="M286" s="1142">
        <v>1</v>
      </c>
      <c r="N286" s="1142" t="s">
        <v>149</v>
      </c>
      <c r="O286" s="1142" t="s">
        <v>39</v>
      </c>
      <c r="P286" s="1142" t="s">
        <v>30</v>
      </c>
      <c r="Q286" s="1142" t="s">
        <v>512</v>
      </c>
      <c r="R286" s="1142" t="s">
        <v>31</v>
      </c>
      <c r="S286" s="1142" t="s">
        <v>184</v>
      </c>
      <c r="T286" s="1142" t="s">
        <v>185</v>
      </c>
      <c r="U286" s="1142"/>
      <c r="V286" s="1142" t="s">
        <v>149</v>
      </c>
      <c r="W286" s="1153">
        <v>1</v>
      </c>
    </row>
    <row r="287" spans="1:23" customFormat="1" ht="16.5" customHeight="1">
      <c r="A287" s="134" t="s">
        <v>156</v>
      </c>
      <c r="B287" s="135">
        <v>17</v>
      </c>
      <c r="C287" s="136">
        <v>46135</v>
      </c>
      <c r="D287" s="137" t="s">
        <v>142</v>
      </c>
      <c r="E287" s="633" t="s">
        <v>232</v>
      </c>
      <c r="F287" s="633" t="s">
        <v>275</v>
      </c>
      <c r="G287" s="633" t="s">
        <v>37</v>
      </c>
      <c r="H287" s="139">
        <v>5823326</v>
      </c>
      <c r="I287" s="633">
        <v>4523453958</v>
      </c>
      <c r="J287" s="633">
        <v>13</v>
      </c>
      <c r="K287" s="1143"/>
      <c r="L287" s="1143"/>
      <c r="M287" s="1143"/>
      <c r="N287" s="1143"/>
      <c r="O287" s="1143"/>
      <c r="P287" s="1143"/>
      <c r="Q287" s="1143"/>
      <c r="R287" s="1143"/>
      <c r="S287" s="1143"/>
      <c r="T287" s="1143"/>
      <c r="U287" s="1143"/>
      <c r="V287" s="1143"/>
      <c r="W287" s="1145"/>
    </row>
    <row r="288" spans="1:23" customFormat="1" ht="16.5" customHeight="1">
      <c r="A288" s="134" t="s">
        <v>156</v>
      </c>
      <c r="B288" s="135">
        <v>17</v>
      </c>
      <c r="C288" s="136">
        <v>46135</v>
      </c>
      <c r="D288" s="137" t="s">
        <v>142</v>
      </c>
      <c r="E288" s="633" t="s">
        <v>232</v>
      </c>
      <c r="F288" s="633" t="s">
        <v>266</v>
      </c>
      <c r="G288" s="633" t="s">
        <v>37</v>
      </c>
      <c r="H288" s="139">
        <v>5766065</v>
      </c>
      <c r="I288" s="633" t="s">
        <v>595</v>
      </c>
      <c r="J288" s="633">
        <v>432</v>
      </c>
      <c r="K288" s="1143"/>
      <c r="L288" s="1143"/>
      <c r="M288" s="1143"/>
      <c r="N288" s="1143"/>
      <c r="O288" s="1143"/>
      <c r="P288" s="1143"/>
      <c r="Q288" s="1143"/>
      <c r="R288" s="1143"/>
      <c r="S288" s="1143"/>
      <c r="T288" s="1143"/>
      <c r="U288" s="1143"/>
      <c r="V288" s="1143"/>
      <c r="W288" s="1145"/>
    </row>
    <row r="289" spans="1:23" customFormat="1" ht="16.5" customHeight="1" thickBot="1">
      <c r="A289" s="116" t="s">
        <v>156</v>
      </c>
      <c r="B289" s="141">
        <v>17</v>
      </c>
      <c r="C289" s="142">
        <v>46135</v>
      </c>
      <c r="D289" s="143" t="s">
        <v>142</v>
      </c>
      <c r="E289" s="634" t="s">
        <v>232</v>
      </c>
      <c r="F289" s="634" t="s">
        <v>268</v>
      </c>
      <c r="G289" s="634" t="s">
        <v>176</v>
      </c>
      <c r="H289" s="145">
        <v>5771802</v>
      </c>
      <c r="I289" s="634" t="s">
        <v>596</v>
      </c>
      <c r="J289" s="634">
        <v>100</v>
      </c>
      <c r="K289" s="634">
        <v>1</v>
      </c>
      <c r="L289" s="634"/>
      <c r="M289" s="634">
        <v>0</v>
      </c>
      <c r="N289" s="634" t="s">
        <v>149</v>
      </c>
      <c r="O289" s="634"/>
      <c r="P289" s="634"/>
      <c r="Q289" s="634"/>
      <c r="R289" s="634"/>
      <c r="S289" s="634"/>
      <c r="T289" s="634"/>
      <c r="U289" s="634"/>
      <c r="V289" s="634"/>
      <c r="W289" s="635"/>
    </row>
    <row r="290" spans="1:23" customFormat="1" ht="16.5" customHeight="1">
      <c r="A290" s="63" t="s">
        <v>156</v>
      </c>
      <c r="B290" s="64">
        <v>17</v>
      </c>
      <c r="C290" s="65">
        <v>46136</v>
      </c>
      <c r="D290" s="66" t="s">
        <v>142</v>
      </c>
      <c r="E290" s="632" t="s">
        <v>232</v>
      </c>
      <c r="F290" s="632" t="s">
        <v>268</v>
      </c>
      <c r="G290" s="632" t="s">
        <v>176</v>
      </c>
      <c r="H290" s="163">
        <v>5771802</v>
      </c>
      <c r="I290" s="632" t="s">
        <v>596</v>
      </c>
      <c r="J290" s="632">
        <v>42</v>
      </c>
      <c r="K290" s="1296">
        <v>1</v>
      </c>
      <c r="L290" s="1296">
        <v>5</v>
      </c>
      <c r="M290" s="1296">
        <v>1</v>
      </c>
      <c r="N290" s="1296" t="s">
        <v>149</v>
      </c>
      <c r="O290" s="1296" t="s">
        <v>67</v>
      </c>
      <c r="P290" s="1296" t="s">
        <v>57</v>
      </c>
      <c r="Q290" s="1296" t="s">
        <v>605</v>
      </c>
      <c r="R290" s="1296" t="s">
        <v>58</v>
      </c>
      <c r="S290" s="1296" t="s">
        <v>184</v>
      </c>
      <c r="T290" s="1296" t="s">
        <v>185</v>
      </c>
      <c r="U290" s="1296"/>
      <c r="V290" s="1296" t="s">
        <v>149</v>
      </c>
      <c r="W290" s="1297">
        <v>1</v>
      </c>
    </row>
    <row r="291" spans="1:23" customFormat="1" ht="16.5" customHeight="1">
      <c r="A291" s="134" t="s">
        <v>156</v>
      </c>
      <c r="B291" s="135">
        <v>17</v>
      </c>
      <c r="C291" s="136">
        <v>46136</v>
      </c>
      <c r="D291" s="137" t="s">
        <v>142</v>
      </c>
      <c r="E291" s="633" t="s">
        <v>232</v>
      </c>
      <c r="F291" s="633" t="s">
        <v>269</v>
      </c>
      <c r="G291" s="633" t="s">
        <v>176</v>
      </c>
      <c r="H291" s="139">
        <v>5773217</v>
      </c>
      <c r="I291" s="633" t="s">
        <v>597</v>
      </c>
      <c r="J291" s="633">
        <v>176</v>
      </c>
      <c r="K291" s="1165"/>
      <c r="L291" s="1165"/>
      <c r="M291" s="1165"/>
      <c r="N291" s="1165"/>
      <c r="O291" s="1165"/>
      <c r="P291" s="1165"/>
      <c r="Q291" s="1165"/>
      <c r="R291" s="1165"/>
      <c r="S291" s="1165"/>
      <c r="T291" s="1165"/>
      <c r="U291" s="1165"/>
      <c r="V291" s="1165"/>
      <c r="W291" s="1167"/>
    </row>
    <row r="292" spans="1:23" customFormat="1" ht="16.5" customHeight="1">
      <c r="A292" s="134" t="s">
        <v>156</v>
      </c>
      <c r="B292" s="135">
        <v>17</v>
      </c>
      <c r="C292" s="136">
        <v>46136</v>
      </c>
      <c r="D292" s="137" t="s">
        <v>142</v>
      </c>
      <c r="E292" s="633" t="s">
        <v>232</v>
      </c>
      <c r="F292" s="633" t="s">
        <v>267</v>
      </c>
      <c r="G292" s="633" t="s">
        <v>37</v>
      </c>
      <c r="H292" s="139">
        <v>5771962</v>
      </c>
      <c r="I292" s="633" t="s">
        <v>598</v>
      </c>
      <c r="J292" s="633">
        <v>320</v>
      </c>
      <c r="K292" s="1216">
        <v>1</v>
      </c>
      <c r="L292" s="1216">
        <v>5</v>
      </c>
      <c r="M292" s="1216">
        <v>1</v>
      </c>
      <c r="N292" s="1216" t="s">
        <v>149</v>
      </c>
      <c r="O292" s="1216" t="s">
        <v>29</v>
      </c>
      <c r="P292" s="1216" t="s">
        <v>30</v>
      </c>
      <c r="Q292" s="1216" t="s">
        <v>300</v>
      </c>
      <c r="R292" s="1216" t="s">
        <v>31</v>
      </c>
      <c r="S292" s="1216" t="s">
        <v>184</v>
      </c>
      <c r="T292" s="1216" t="s">
        <v>185</v>
      </c>
      <c r="U292" s="1216"/>
      <c r="V292" s="1216" t="s">
        <v>149</v>
      </c>
      <c r="W292" s="1217">
        <v>1</v>
      </c>
    </row>
    <row r="293" spans="1:23" customFormat="1" ht="16.5" customHeight="1" thickBot="1">
      <c r="A293" s="651" t="s">
        <v>156</v>
      </c>
      <c r="B293" s="652">
        <v>17</v>
      </c>
      <c r="C293" s="653">
        <v>46136</v>
      </c>
      <c r="D293" s="654" t="s">
        <v>142</v>
      </c>
      <c r="E293" s="655" t="s">
        <v>232</v>
      </c>
      <c r="F293" s="655" t="s">
        <v>267</v>
      </c>
      <c r="G293" s="655" t="s">
        <v>37</v>
      </c>
      <c r="H293" s="656">
        <v>5771962</v>
      </c>
      <c r="I293" s="655" t="s">
        <v>599</v>
      </c>
      <c r="J293" s="655">
        <v>52</v>
      </c>
      <c r="K293" s="1150"/>
      <c r="L293" s="1150"/>
      <c r="M293" s="1150"/>
      <c r="N293" s="1150"/>
      <c r="O293" s="1150"/>
      <c r="P293" s="1150"/>
      <c r="Q293" s="1150"/>
      <c r="R293" s="1150"/>
      <c r="S293" s="1150"/>
      <c r="T293" s="1150"/>
      <c r="U293" s="1150"/>
      <c r="V293" s="1150"/>
      <c r="W293" s="1151"/>
    </row>
    <row r="294" spans="1:23" customFormat="1" ht="16.5" customHeight="1">
      <c r="A294" s="63" t="s">
        <v>156</v>
      </c>
      <c r="B294" s="64">
        <v>17</v>
      </c>
      <c r="C294" s="65">
        <v>46137</v>
      </c>
      <c r="D294" s="66" t="s">
        <v>142</v>
      </c>
      <c r="E294" s="649" t="s">
        <v>232</v>
      </c>
      <c r="F294" s="649" t="s">
        <v>267</v>
      </c>
      <c r="G294" s="649" t="s">
        <v>37</v>
      </c>
      <c r="H294" s="163">
        <v>5771962</v>
      </c>
      <c r="I294" s="649" t="s">
        <v>599</v>
      </c>
      <c r="J294" s="649">
        <v>240</v>
      </c>
      <c r="K294" s="1142">
        <v>1</v>
      </c>
      <c r="L294" s="1142">
        <v>5</v>
      </c>
      <c r="M294" s="1142">
        <v>1</v>
      </c>
      <c r="N294" s="1142" t="s">
        <v>149</v>
      </c>
      <c r="O294" s="1142" t="s">
        <v>67</v>
      </c>
      <c r="P294" s="1142" t="s">
        <v>57</v>
      </c>
      <c r="Q294" s="1142" t="s">
        <v>520</v>
      </c>
      <c r="R294" s="1142" t="s">
        <v>31</v>
      </c>
      <c r="S294" s="1142" t="s">
        <v>184</v>
      </c>
      <c r="T294" s="1142" t="s">
        <v>185</v>
      </c>
      <c r="U294" s="1142"/>
      <c r="V294" s="1142" t="s">
        <v>149</v>
      </c>
      <c r="W294" s="1153">
        <v>1</v>
      </c>
    </row>
    <row r="295" spans="1:23" customFormat="1" ht="16.5" customHeight="1">
      <c r="A295" s="134" t="s">
        <v>156</v>
      </c>
      <c r="B295" s="135">
        <v>17</v>
      </c>
      <c r="C295" s="136">
        <v>46137</v>
      </c>
      <c r="D295" s="137" t="s">
        <v>142</v>
      </c>
      <c r="E295" s="648" t="s">
        <v>232</v>
      </c>
      <c r="F295" s="648" t="s">
        <v>267</v>
      </c>
      <c r="G295" s="648" t="s">
        <v>37</v>
      </c>
      <c r="H295" s="139">
        <v>5771962</v>
      </c>
      <c r="I295" s="648" t="s">
        <v>606</v>
      </c>
      <c r="J295" s="648">
        <v>100</v>
      </c>
      <c r="K295" s="1143"/>
      <c r="L295" s="1143"/>
      <c r="M295" s="1143"/>
      <c r="N295" s="1143"/>
      <c r="O295" s="1143"/>
      <c r="P295" s="1143"/>
      <c r="Q295" s="1143"/>
      <c r="R295" s="1143"/>
      <c r="S295" s="1143"/>
      <c r="T295" s="1143"/>
      <c r="U295" s="1143"/>
      <c r="V295" s="1143"/>
      <c r="W295" s="1145"/>
    </row>
    <row r="296" spans="1:23" customFormat="1" ht="16.5" customHeight="1">
      <c r="A296" s="134" t="s">
        <v>156</v>
      </c>
      <c r="B296" s="135">
        <v>17</v>
      </c>
      <c r="C296" s="136">
        <v>46137</v>
      </c>
      <c r="D296" s="137" t="s">
        <v>145</v>
      </c>
      <c r="E296" s="648" t="s">
        <v>50</v>
      </c>
      <c r="F296" s="648" t="s">
        <v>258</v>
      </c>
      <c r="G296" s="648" t="s">
        <v>36</v>
      </c>
      <c r="H296" s="139">
        <v>5797097</v>
      </c>
      <c r="I296" s="648">
        <v>4523409460</v>
      </c>
      <c r="J296" s="648">
        <v>5</v>
      </c>
      <c r="K296" s="1143">
        <v>1</v>
      </c>
      <c r="L296" s="1143"/>
      <c r="M296" s="1143">
        <v>0</v>
      </c>
      <c r="N296" s="1143" t="s">
        <v>149</v>
      </c>
      <c r="O296" s="1143"/>
      <c r="P296" s="1143"/>
      <c r="Q296" s="1143"/>
      <c r="R296" s="1143"/>
      <c r="S296" s="1143"/>
      <c r="T296" s="1143"/>
      <c r="U296" s="1143"/>
      <c r="V296" s="1143"/>
      <c r="W296" s="1145"/>
    </row>
    <row r="297" spans="1:23" customFormat="1" ht="16.5" customHeight="1">
      <c r="A297" s="134" t="s">
        <v>156</v>
      </c>
      <c r="B297" s="135">
        <v>17</v>
      </c>
      <c r="C297" s="136">
        <v>46137</v>
      </c>
      <c r="D297" s="137" t="s">
        <v>145</v>
      </c>
      <c r="E297" s="648" t="s">
        <v>50</v>
      </c>
      <c r="F297" s="648" t="s">
        <v>258</v>
      </c>
      <c r="G297" s="648" t="s">
        <v>36</v>
      </c>
      <c r="H297" s="139">
        <v>5797097</v>
      </c>
      <c r="I297" s="648">
        <v>4523700302</v>
      </c>
      <c r="J297" s="648">
        <v>20</v>
      </c>
      <c r="K297" s="1143"/>
      <c r="L297" s="1143"/>
      <c r="M297" s="1143"/>
      <c r="N297" s="1143"/>
      <c r="O297" s="1143"/>
      <c r="P297" s="1143"/>
      <c r="Q297" s="1143"/>
      <c r="R297" s="1143"/>
      <c r="S297" s="1143"/>
      <c r="T297" s="1143"/>
      <c r="U297" s="1143"/>
      <c r="V297" s="1143"/>
      <c r="W297" s="1145"/>
    </row>
    <row r="298" spans="1:23" customFormat="1" ht="16.5" customHeight="1">
      <c r="A298" s="134" t="s">
        <v>156</v>
      </c>
      <c r="B298" s="135">
        <v>17</v>
      </c>
      <c r="C298" s="136">
        <v>46137</v>
      </c>
      <c r="D298" s="137" t="s">
        <v>145</v>
      </c>
      <c r="E298" s="648" t="s">
        <v>50</v>
      </c>
      <c r="F298" s="648" t="s">
        <v>258</v>
      </c>
      <c r="G298" s="648" t="s">
        <v>28</v>
      </c>
      <c r="H298" s="139">
        <v>5797096</v>
      </c>
      <c r="I298" s="648">
        <v>4523409460</v>
      </c>
      <c r="J298" s="648">
        <v>7</v>
      </c>
      <c r="K298" s="1143"/>
      <c r="L298" s="1143"/>
      <c r="M298" s="1143"/>
      <c r="N298" s="1143"/>
      <c r="O298" s="1143"/>
      <c r="P298" s="1143"/>
      <c r="Q298" s="1143"/>
      <c r="R298" s="1143"/>
      <c r="S298" s="1143"/>
      <c r="T298" s="1143"/>
      <c r="U298" s="1143"/>
      <c r="V298" s="1143"/>
      <c r="W298" s="1145"/>
    </row>
    <row r="299" spans="1:23" customFormat="1" ht="16.5" customHeight="1">
      <c r="A299" s="134" t="s">
        <v>156</v>
      </c>
      <c r="B299" s="135">
        <v>17</v>
      </c>
      <c r="C299" s="136">
        <v>46137</v>
      </c>
      <c r="D299" s="137" t="s">
        <v>145</v>
      </c>
      <c r="E299" s="648" t="s">
        <v>50</v>
      </c>
      <c r="F299" s="648" t="s">
        <v>258</v>
      </c>
      <c r="G299" s="648" t="s">
        <v>28</v>
      </c>
      <c r="H299" s="139">
        <v>5797096</v>
      </c>
      <c r="I299" s="648">
        <v>4523700302</v>
      </c>
      <c r="J299" s="648">
        <v>28</v>
      </c>
      <c r="K299" s="1143"/>
      <c r="L299" s="1143"/>
      <c r="M299" s="1143"/>
      <c r="N299" s="1143"/>
      <c r="O299" s="1143"/>
      <c r="P299" s="1143"/>
      <c r="Q299" s="1143"/>
      <c r="R299" s="1143"/>
      <c r="S299" s="1143"/>
      <c r="T299" s="1143"/>
      <c r="U299" s="1143"/>
      <c r="V299" s="1143"/>
      <c r="W299" s="1145"/>
    </row>
    <row r="300" spans="1:23" customFormat="1" ht="16.5" customHeight="1">
      <c r="A300" s="134" t="s">
        <v>156</v>
      </c>
      <c r="B300" s="135">
        <v>17</v>
      </c>
      <c r="C300" s="136">
        <v>46137</v>
      </c>
      <c r="D300" s="137" t="s">
        <v>145</v>
      </c>
      <c r="E300" s="648" t="s">
        <v>50</v>
      </c>
      <c r="F300" s="648" t="s">
        <v>258</v>
      </c>
      <c r="G300" s="648" t="s">
        <v>32</v>
      </c>
      <c r="H300" s="139">
        <v>5797095</v>
      </c>
      <c r="I300" s="648">
        <v>4523409460</v>
      </c>
      <c r="J300" s="648">
        <v>5</v>
      </c>
      <c r="K300" s="1143"/>
      <c r="L300" s="1143"/>
      <c r="M300" s="1143"/>
      <c r="N300" s="1143"/>
      <c r="O300" s="1143"/>
      <c r="P300" s="1143"/>
      <c r="Q300" s="1143"/>
      <c r="R300" s="1143"/>
      <c r="S300" s="1143"/>
      <c r="T300" s="1143"/>
      <c r="U300" s="1143"/>
      <c r="V300" s="1143"/>
      <c r="W300" s="1145"/>
    </row>
    <row r="301" spans="1:23" customFormat="1" ht="16.5" customHeight="1">
      <c r="A301" s="134" t="s">
        <v>156</v>
      </c>
      <c r="B301" s="135">
        <v>17</v>
      </c>
      <c r="C301" s="136">
        <v>46137</v>
      </c>
      <c r="D301" s="137" t="s">
        <v>145</v>
      </c>
      <c r="E301" s="648" t="s">
        <v>50</v>
      </c>
      <c r="F301" s="648" t="s">
        <v>258</v>
      </c>
      <c r="G301" s="648" t="s">
        <v>32</v>
      </c>
      <c r="H301" s="139">
        <v>5797095</v>
      </c>
      <c r="I301" s="648">
        <v>4523700302</v>
      </c>
      <c r="J301" s="648">
        <v>32</v>
      </c>
      <c r="K301" s="1143"/>
      <c r="L301" s="1143"/>
      <c r="M301" s="1143"/>
      <c r="N301" s="1143"/>
      <c r="O301" s="1143"/>
      <c r="P301" s="1143"/>
      <c r="Q301" s="1143"/>
      <c r="R301" s="1143"/>
      <c r="S301" s="1143"/>
      <c r="T301" s="1143"/>
      <c r="U301" s="1143"/>
      <c r="V301" s="1143"/>
      <c r="W301" s="1145"/>
    </row>
    <row r="302" spans="1:23" customFormat="1" ht="16.5" customHeight="1" thickBot="1">
      <c r="A302" s="651" t="s">
        <v>156</v>
      </c>
      <c r="B302" s="652">
        <v>17</v>
      </c>
      <c r="C302" s="653">
        <v>46137</v>
      </c>
      <c r="D302" s="654" t="s">
        <v>145</v>
      </c>
      <c r="E302" s="655" t="s">
        <v>50</v>
      </c>
      <c r="F302" s="655" t="s">
        <v>258</v>
      </c>
      <c r="G302" s="655" t="s">
        <v>63</v>
      </c>
      <c r="H302" s="656">
        <v>5797094</v>
      </c>
      <c r="I302" s="655">
        <v>4523700302</v>
      </c>
      <c r="J302" s="655">
        <v>12</v>
      </c>
      <c r="K302" s="1214"/>
      <c r="L302" s="1214"/>
      <c r="M302" s="1214"/>
      <c r="N302" s="1214"/>
      <c r="O302" s="1214"/>
      <c r="P302" s="1214"/>
      <c r="Q302" s="1214"/>
      <c r="R302" s="1214"/>
      <c r="S302" s="1214"/>
      <c r="T302" s="1214"/>
      <c r="U302" s="1214"/>
      <c r="V302" s="1214"/>
      <c r="W302" s="1213"/>
    </row>
    <row r="303" spans="1:23" customFormat="1" ht="16.5" customHeight="1">
      <c r="A303" s="63" t="s">
        <v>156</v>
      </c>
      <c r="B303" s="64">
        <v>18</v>
      </c>
      <c r="C303" s="65">
        <v>46139</v>
      </c>
      <c r="D303" s="66" t="s">
        <v>142</v>
      </c>
      <c r="E303" s="649" t="s">
        <v>232</v>
      </c>
      <c r="F303" s="649" t="s">
        <v>267</v>
      </c>
      <c r="G303" s="649" t="s">
        <v>37</v>
      </c>
      <c r="H303" s="163">
        <v>5771962</v>
      </c>
      <c r="I303" s="649" t="s">
        <v>606</v>
      </c>
      <c r="J303" s="649">
        <v>100</v>
      </c>
      <c r="K303" s="1142">
        <v>1</v>
      </c>
      <c r="L303" s="1142">
        <v>5</v>
      </c>
      <c r="M303" s="1142">
        <v>1</v>
      </c>
      <c r="N303" s="1142" t="s">
        <v>149</v>
      </c>
      <c r="O303" s="1142" t="s">
        <v>39</v>
      </c>
      <c r="P303" s="1142" t="s">
        <v>40</v>
      </c>
      <c r="Q303" s="1142" t="s">
        <v>316</v>
      </c>
      <c r="R303" s="1142" t="s">
        <v>31</v>
      </c>
      <c r="S303" s="1142" t="s">
        <v>184</v>
      </c>
      <c r="T303" s="1142" t="s">
        <v>185</v>
      </c>
      <c r="U303" s="1142"/>
      <c r="V303" s="1142" t="s">
        <v>149</v>
      </c>
      <c r="W303" s="1153">
        <v>1</v>
      </c>
    </row>
    <row r="304" spans="1:23" customFormat="1" ht="16.5" customHeight="1">
      <c r="A304" s="134" t="s">
        <v>156</v>
      </c>
      <c r="B304" s="135">
        <v>18</v>
      </c>
      <c r="C304" s="136">
        <v>46139</v>
      </c>
      <c r="D304" s="137" t="s">
        <v>142</v>
      </c>
      <c r="E304" s="648" t="s">
        <v>232</v>
      </c>
      <c r="F304" s="648" t="s">
        <v>267</v>
      </c>
      <c r="G304" s="648" t="s">
        <v>37</v>
      </c>
      <c r="H304" s="139">
        <v>5771962</v>
      </c>
      <c r="I304" s="648" t="s">
        <v>607</v>
      </c>
      <c r="J304" s="648">
        <v>50</v>
      </c>
      <c r="K304" s="1143"/>
      <c r="L304" s="1143"/>
      <c r="M304" s="1143"/>
      <c r="N304" s="1143"/>
      <c r="O304" s="1143"/>
      <c r="P304" s="1143"/>
      <c r="Q304" s="1143"/>
      <c r="R304" s="1143"/>
      <c r="S304" s="1143"/>
      <c r="T304" s="1143"/>
      <c r="U304" s="1143"/>
      <c r="V304" s="1143"/>
      <c r="W304" s="1145"/>
    </row>
    <row r="305" spans="1:23" customFormat="1" ht="16.5" customHeight="1">
      <c r="A305" s="134" t="s">
        <v>156</v>
      </c>
      <c r="B305" s="135">
        <v>18</v>
      </c>
      <c r="C305" s="136">
        <v>46139</v>
      </c>
      <c r="D305" s="137" t="s">
        <v>142</v>
      </c>
      <c r="E305" s="648" t="s">
        <v>232</v>
      </c>
      <c r="F305" s="648" t="s">
        <v>267</v>
      </c>
      <c r="G305" s="648" t="s">
        <v>37</v>
      </c>
      <c r="H305" s="139">
        <v>5771962</v>
      </c>
      <c r="I305" s="648" t="s">
        <v>608</v>
      </c>
      <c r="J305" s="648">
        <v>12</v>
      </c>
      <c r="K305" s="1143"/>
      <c r="L305" s="1143"/>
      <c r="M305" s="1143"/>
      <c r="N305" s="1143"/>
      <c r="O305" s="1143"/>
      <c r="P305" s="1143"/>
      <c r="Q305" s="1143"/>
      <c r="R305" s="1143"/>
      <c r="S305" s="1143"/>
      <c r="T305" s="1143"/>
      <c r="U305" s="1143"/>
      <c r="V305" s="1143"/>
      <c r="W305" s="1145"/>
    </row>
    <row r="306" spans="1:23" customFormat="1" ht="16.5" customHeight="1">
      <c r="A306" s="134" t="s">
        <v>156</v>
      </c>
      <c r="B306" s="135">
        <v>18</v>
      </c>
      <c r="C306" s="136">
        <v>46139</v>
      </c>
      <c r="D306" s="137" t="s">
        <v>142</v>
      </c>
      <c r="E306" s="648" t="s">
        <v>232</v>
      </c>
      <c r="F306" s="648" t="s">
        <v>267</v>
      </c>
      <c r="G306" s="648" t="s">
        <v>37</v>
      </c>
      <c r="H306" s="139">
        <v>5771962</v>
      </c>
      <c r="I306" s="648" t="s">
        <v>609</v>
      </c>
      <c r="J306" s="648">
        <v>344</v>
      </c>
      <c r="K306" s="1143"/>
      <c r="L306" s="1143"/>
      <c r="M306" s="1143"/>
      <c r="N306" s="1143"/>
      <c r="O306" s="1143"/>
      <c r="P306" s="1143"/>
      <c r="Q306" s="1143"/>
      <c r="R306" s="1143"/>
      <c r="S306" s="1143"/>
      <c r="T306" s="1143"/>
      <c r="U306" s="1143"/>
      <c r="V306" s="1143"/>
      <c r="W306" s="1145"/>
    </row>
    <row r="307" spans="1:23" customFormat="1" ht="16.5" customHeight="1">
      <c r="A307" s="134" t="s">
        <v>156</v>
      </c>
      <c r="B307" s="135">
        <v>18</v>
      </c>
      <c r="C307" s="136">
        <v>46139</v>
      </c>
      <c r="D307" s="137" t="s">
        <v>142</v>
      </c>
      <c r="E307" s="648" t="s">
        <v>232</v>
      </c>
      <c r="F307" s="648" t="s">
        <v>275</v>
      </c>
      <c r="G307" s="648" t="s">
        <v>37</v>
      </c>
      <c r="H307" s="139">
        <v>5823326</v>
      </c>
      <c r="I307" s="648">
        <v>4523454194</v>
      </c>
      <c r="J307" s="648">
        <v>15</v>
      </c>
      <c r="K307" s="1143"/>
      <c r="L307" s="1143"/>
      <c r="M307" s="1143"/>
      <c r="N307" s="1143"/>
      <c r="O307" s="1143"/>
      <c r="P307" s="1143"/>
      <c r="Q307" s="1143"/>
      <c r="R307" s="1143"/>
      <c r="S307" s="1143"/>
      <c r="T307" s="1143"/>
      <c r="U307" s="1143"/>
      <c r="V307" s="1143"/>
      <c r="W307" s="1145"/>
    </row>
    <row r="308" spans="1:23" customFormat="1" ht="16.5" customHeight="1" thickBot="1">
      <c r="A308" s="662" t="s">
        <v>156</v>
      </c>
      <c r="B308" s="663">
        <v>18</v>
      </c>
      <c r="C308" s="664">
        <v>46139</v>
      </c>
      <c r="D308" s="665" t="s">
        <v>142</v>
      </c>
      <c r="E308" s="666" t="s">
        <v>232</v>
      </c>
      <c r="F308" s="666" t="s">
        <v>266</v>
      </c>
      <c r="G308" s="666" t="s">
        <v>37</v>
      </c>
      <c r="H308" s="667">
        <v>5766065</v>
      </c>
      <c r="I308" s="666" t="s">
        <v>610</v>
      </c>
      <c r="J308" s="666">
        <v>150</v>
      </c>
      <c r="K308" s="1215"/>
      <c r="L308" s="1215"/>
      <c r="M308" s="1215"/>
      <c r="N308" s="1215"/>
      <c r="O308" s="1215"/>
      <c r="P308" s="1215"/>
      <c r="Q308" s="1215"/>
      <c r="R308" s="1215"/>
      <c r="S308" s="1215"/>
      <c r="T308" s="1215"/>
      <c r="U308" s="1215"/>
      <c r="V308" s="1215"/>
      <c r="W308" s="1298"/>
    </row>
    <row r="309" spans="1:23" customFormat="1" ht="16.5" customHeight="1">
      <c r="A309" s="63" t="s">
        <v>156</v>
      </c>
      <c r="B309" s="64">
        <v>18</v>
      </c>
      <c r="C309" s="65">
        <v>46140</v>
      </c>
      <c r="D309" s="66" t="s">
        <v>142</v>
      </c>
      <c r="E309" s="658" t="s">
        <v>232</v>
      </c>
      <c r="F309" s="658" t="s">
        <v>266</v>
      </c>
      <c r="G309" s="658" t="s">
        <v>37</v>
      </c>
      <c r="H309" s="163">
        <v>5766065</v>
      </c>
      <c r="I309" s="658" t="s">
        <v>610</v>
      </c>
      <c r="J309" s="658">
        <v>50</v>
      </c>
      <c r="K309" s="1142">
        <v>1</v>
      </c>
      <c r="L309" s="658">
        <v>5</v>
      </c>
      <c r="M309" s="1142">
        <v>1</v>
      </c>
      <c r="N309" s="658" t="s">
        <v>149</v>
      </c>
      <c r="O309" s="658" t="s">
        <v>39</v>
      </c>
      <c r="P309" s="658" t="s">
        <v>40</v>
      </c>
      <c r="Q309" s="658" t="s">
        <v>316</v>
      </c>
      <c r="R309" s="658" t="s">
        <v>31</v>
      </c>
      <c r="S309" s="658" t="s">
        <v>184</v>
      </c>
      <c r="T309" s="658" t="s">
        <v>185</v>
      </c>
      <c r="U309" s="1142"/>
      <c r="V309" s="1142" t="s">
        <v>149</v>
      </c>
      <c r="W309" s="1153">
        <v>1</v>
      </c>
    </row>
    <row r="310" spans="1:23" customFormat="1" ht="16.5" customHeight="1">
      <c r="A310" s="134" t="s">
        <v>156</v>
      </c>
      <c r="B310" s="135">
        <v>18</v>
      </c>
      <c r="C310" s="136">
        <v>46140</v>
      </c>
      <c r="D310" s="137" t="s">
        <v>142</v>
      </c>
      <c r="E310" s="659" t="s">
        <v>232</v>
      </c>
      <c r="F310" s="659" t="s">
        <v>266</v>
      </c>
      <c r="G310" s="659" t="s">
        <v>37</v>
      </c>
      <c r="H310" s="139">
        <v>5766065</v>
      </c>
      <c r="I310" s="659" t="s">
        <v>611</v>
      </c>
      <c r="J310" s="659">
        <v>500</v>
      </c>
      <c r="K310" s="1143"/>
      <c r="L310" s="659">
        <v>5</v>
      </c>
      <c r="M310" s="1143"/>
      <c r="N310" s="659" t="s">
        <v>149</v>
      </c>
      <c r="O310" s="659" t="s">
        <v>61</v>
      </c>
      <c r="P310" s="659" t="s">
        <v>62</v>
      </c>
      <c r="Q310" s="659" t="s">
        <v>452</v>
      </c>
      <c r="R310" s="659" t="s">
        <v>31</v>
      </c>
      <c r="S310" s="659" t="s">
        <v>184</v>
      </c>
      <c r="T310" s="659" t="s">
        <v>185</v>
      </c>
      <c r="U310" s="1143"/>
      <c r="V310" s="1143"/>
      <c r="W310" s="1145"/>
    </row>
    <row r="311" spans="1:23" customFormat="1" ht="16.5" customHeight="1" thickBot="1">
      <c r="A311" s="116" t="s">
        <v>156</v>
      </c>
      <c r="B311" s="141">
        <v>18</v>
      </c>
      <c r="C311" s="142">
        <v>46140</v>
      </c>
      <c r="D311" s="143" t="s">
        <v>142</v>
      </c>
      <c r="E311" s="660" t="s">
        <v>232</v>
      </c>
      <c r="F311" s="660" t="s">
        <v>268</v>
      </c>
      <c r="G311" s="660" t="s">
        <v>176</v>
      </c>
      <c r="H311" s="145">
        <v>5771802</v>
      </c>
      <c r="I311" s="660" t="s">
        <v>619</v>
      </c>
      <c r="J311" s="660">
        <v>100</v>
      </c>
      <c r="K311" s="660">
        <v>1</v>
      </c>
      <c r="L311" s="660"/>
      <c r="M311" s="660">
        <v>0</v>
      </c>
      <c r="N311" s="660" t="s">
        <v>149</v>
      </c>
      <c r="O311" s="660"/>
      <c r="P311" s="660"/>
      <c r="Q311" s="660"/>
      <c r="R311" s="660"/>
      <c r="S311" s="660"/>
      <c r="T311" s="660"/>
      <c r="U311" s="660"/>
      <c r="V311" s="660"/>
      <c r="W311" s="657"/>
    </row>
    <row r="312" spans="1:23" customFormat="1" ht="16.5" customHeight="1">
      <c r="A312" s="219" t="s">
        <v>156</v>
      </c>
      <c r="B312" s="214">
        <v>18</v>
      </c>
      <c r="C312" s="215">
        <v>46141</v>
      </c>
      <c r="D312" s="216" t="s">
        <v>142</v>
      </c>
      <c r="E312" s="661" t="s">
        <v>232</v>
      </c>
      <c r="F312" s="661" t="s">
        <v>268</v>
      </c>
      <c r="G312" s="661" t="s">
        <v>176</v>
      </c>
      <c r="H312" s="217">
        <v>5771802</v>
      </c>
      <c r="I312" s="661" t="s">
        <v>619</v>
      </c>
      <c r="J312" s="661">
        <v>152</v>
      </c>
      <c r="K312" s="1150">
        <v>1</v>
      </c>
      <c r="L312" s="1150"/>
      <c r="M312" s="1150">
        <v>0</v>
      </c>
      <c r="N312" s="1150" t="s">
        <v>149</v>
      </c>
      <c r="O312" s="1150"/>
      <c r="P312" s="1150"/>
      <c r="Q312" s="1150"/>
      <c r="R312" s="1150"/>
      <c r="S312" s="1150"/>
      <c r="T312" s="1150"/>
      <c r="U312" s="1150"/>
      <c r="V312" s="1150"/>
      <c r="W312" s="1151"/>
    </row>
    <row r="313" spans="1:23" customFormat="1" ht="16.5" customHeight="1">
      <c r="A313" s="134" t="s">
        <v>156</v>
      </c>
      <c r="B313" s="135">
        <v>18</v>
      </c>
      <c r="C313" s="136">
        <v>46141</v>
      </c>
      <c r="D313" s="137" t="s">
        <v>142</v>
      </c>
      <c r="E313" s="659" t="s">
        <v>232</v>
      </c>
      <c r="F313" s="659" t="s">
        <v>269</v>
      </c>
      <c r="G313" s="659" t="s">
        <v>176</v>
      </c>
      <c r="H313" s="139">
        <v>5773217</v>
      </c>
      <c r="I313" s="659" t="s">
        <v>620</v>
      </c>
      <c r="J313" s="659">
        <v>192</v>
      </c>
      <c r="K313" s="1165"/>
      <c r="L313" s="1165"/>
      <c r="M313" s="1165"/>
      <c r="N313" s="1165"/>
      <c r="O313" s="1165"/>
      <c r="P313" s="1165"/>
      <c r="Q313" s="1165"/>
      <c r="R313" s="1165"/>
      <c r="S313" s="1165"/>
      <c r="T313" s="1165"/>
      <c r="U313" s="1165"/>
      <c r="V313" s="1165"/>
      <c r="W313" s="1167"/>
    </row>
    <row r="314" spans="1:23" customFormat="1" ht="16.5" customHeight="1">
      <c r="A314" s="134" t="s">
        <v>156</v>
      </c>
      <c r="B314" s="135">
        <v>18</v>
      </c>
      <c r="C314" s="136">
        <v>46141</v>
      </c>
      <c r="D314" s="137" t="s">
        <v>142</v>
      </c>
      <c r="E314" s="659" t="s">
        <v>387</v>
      </c>
      <c r="F314" s="659" t="s">
        <v>282</v>
      </c>
      <c r="G314" s="659" t="s">
        <v>52</v>
      </c>
      <c r="H314" s="139">
        <v>5535143</v>
      </c>
      <c r="I314" s="659" t="s">
        <v>621</v>
      </c>
      <c r="J314" s="659">
        <v>24</v>
      </c>
      <c r="K314" s="1210">
        <v>1</v>
      </c>
      <c r="L314" s="1210"/>
      <c r="M314" s="1210">
        <v>0</v>
      </c>
      <c r="N314" s="1210" t="s">
        <v>149</v>
      </c>
      <c r="O314" s="1210"/>
      <c r="P314" s="1210"/>
      <c r="Q314" s="1210"/>
      <c r="R314" s="1210"/>
      <c r="S314" s="1210"/>
      <c r="T314" s="1210"/>
      <c r="U314" s="1210"/>
      <c r="V314" s="1210"/>
      <c r="W314" s="1211"/>
    </row>
    <row r="315" spans="1:23" customFormat="1" ht="16.5" customHeight="1">
      <c r="A315" s="134" t="s">
        <v>156</v>
      </c>
      <c r="B315" s="135">
        <v>18</v>
      </c>
      <c r="C315" s="136">
        <v>46141</v>
      </c>
      <c r="D315" s="137" t="s">
        <v>142</v>
      </c>
      <c r="E315" s="659" t="s">
        <v>387</v>
      </c>
      <c r="F315" s="659" t="s">
        <v>282</v>
      </c>
      <c r="G315" s="659" t="s">
        <v>28</v>
      </c>
      <c r="H315" s="139">
        <v>5535141</v>
      </c>
      <c r="I315" s="659" t="s">
        <v>622</v>
      </c>
      <c r="J315" s="659">
        <v>40</v>
      </c>
      <c r="K315" s="1150"/>
      <c r="L315" s="1150"/>
      <c r="M315" s="1150"/>
      <c r="N315" s="1150"/>
      <c r="O315" s="1150"/>
      <c r="P315" s="1150"/>
      <c r="Q315" s="1150"/>
      <c r="R315" s="1150"/>
      <c r="S315" s="1150"/>
      <c r="T315" s="1150"/>
      <c r="U315" s="1150"/>
      <c r="V315" s="1150"/>
      <c r="W315" s="1151"/>
    </row>
    <row r="316" spans="1:23" customFormat="1" ht="16.5" customHeight="1" thickBot="1">
      <c r="A316" s="671" t="s">
        <v>156</v>
      </c>
      <c r="B316" s="672">
        <v>18</v>
      </c>
      <c r="C316" s="673">
        <v>46141</v>
      </c>
      <c r="D316" s="674" t="s">
        <v>142</v>
      </c>
      <c r="E316" s="675" t="s">
        <v>387</v>
      </c>
      <c r="F316" s="675" t="s">
        <v>282</v>
      </c>
      <c r="G316" s="675" t="s">
        <v>28</v>
      </c>
      <c r="H316" s="676">
        <v>5535141</v>
      </c>
      <c r="I316" s="675" t="s">
        <v>623</v>
      </c>
      <c r="J316" s="675">
        <v>100</v>
      </c>
      <c r="K316" s="1150"/>
      <c r="L316" s="1150"/>
      <c r="M316" s="1150"/>
      <c r="N316" s="1150"/>
      <c r="O316" s="1150"/>
      <c r="P316" s="1150"/>
      <c r="Q316" s="1150"/>
      <c r="R316" s="1150"/>
      <c r="S316" s="1150"/>
      <c r="T316" s="1150"/>
      <c r="U316" s="1150"/>
      <c r="V316" s="1150"/>
      <c r="W316" s="1151"/>
    </row>
    <row r="317" spans="1:23" customFormat="1" ht="16.5" customHeight="1">
      <c r="A317" s="63" t="s">
        <v>156</v>
      </c>
      <c r="B317" s="64">
        <v>18</v>
      </c>
      <c r="C317" s="65">
        <v>46142</v>
      </c>
      <c r="D317" s="66" t="s">
        <v>142</v>
      </c>
      <c r="E317" s="668" t="s">
        <v>387</v>
      </c>
      <c r="F317" s="668" t="s">
        <v>282</v>
      </c>
      <c r="G317" s="668" t="s">
        <v>28</v>
      </c>
      <c r="H317" s="163">
        <v>5535141</v>
      </c>
      <c r="I317" s="668" t="s">
        <v>623</v>
      </c>
      <c r="J317" s="668">
        <v>150</v>
      </c>
      <c r="K317" s="1142">
        <v>1</v>
      </c>
      <c r="L317" s="1142">
        <v>5</v>
      </c>
      <c r="M317" s="1142">
        <v>1</v>
      </c>
      <c r="N317" s="1142" t="s">
        <v>149</v>
      </c>
      <c r="O317" s="1142" t="s">
        <v>41</v>
      </c>
      <c r="P317" s="1142" t="s">
        <v>40</v>
      </c>
      <c r="Q317" s="1142" t="s">
        <v>630</v>
      </c>
      <c r="R317" s="1142" t="s">
        <v>31</v>
      </c>
      <c r="S317" s="1142" t="s">
        <v>184</v>
      </c>
      <c r="T317" s="1142" t="s">
        <v>185</v>
      </c>
      <c r="U317" s="1142"/>
      <c r="V317" s="1142" t="s">
        <v>149</v>
      </c>
      <c r="W317" s="1153">
        <v>1</v>
      </c>
    </row>
    <row r="318" spans="1:23" customFormat="1" ht="16.5" customHeight="1">
      <c r="A318" s="134" t="s">
        <v>156</v>
      </c>
      <c r="B318" s="135">
        <v>18</v>
      </c>
      <c r="C318" s="136">
        <v>46142</v>
      </c>
      <c r="D318" s="137" t="s">
        <v>142</v>
      </c>
      <c r="E318" s="670" t="s">
        <v>387</v>
      </c>
      <c r="F318" s="670" t="s">
        <v>282</v>
      </c>
      <c r="G318" s="670" t="s">
        <v>28</v>
      </c>
      <c r="H318" s="139">
        <v>5535141</v>
      </c>
      <c r="I318" s="670" t="s">
        <v>624</v>
      </c>
      <c r="J318" s="670">
        <v>55</v>
      </c>
      <c r="K318" s="1143"/>
      <c r="L318" s="1143"/>
      <c r="M318" s="1143"/>
      <c r="N318" s="1143"/>
      <c r="O318" s="1143"/>
      <c r="P318" s="1143"/>
      <c r="Q318" s="1143"/>
      <c r="R318" s="1143"/>
      <c r="S318" s="1143"/>
      <c r="T318" s="1143"/>
      <c r="U318" s="1143"/>
      <c r="V318" s="1143"/>
      <c r="W318" s="1145"/>
    </row>
    <row r="319" spans="1:23" customFormat="1" ht="16.5" customHeight="1">
      <c r="A319" s="134" t="s">
        <v>156</v>
      </c>
      <c r="B319" s="135">
        <v>18</v>
      </c>
      <c r="C319" s="136">
        <v>46142</v>
      </c>
      <c r="D319" s="137" t="s">
        <v>142</v>
      </c>
      <c r="E319" s="670" t="s">
        <v>387</v>
      </c>
      <c r="F319" s="670" t="s">
        <v>282</v>
      </c>
      <c r="G319" s="670" t="s">
        <v>32</v>
      </c>
      <c r="H319" s="139">
        <v>5535140</v>
      </c>
      <c r="I319" s="670" t="s">
        <v>625</v>
      </c>
      <c r="J319" s="670">
        <v>200</v>
      </c>
      <c r="K319" s="1143"/>
      <c r="L319" s="1143"/>
      <c r="M319" s="1143"/>
      <c r="N319" s="1143"/>
      <c r="O319" s="1143"/>
      <c r="P319" s="1143"/>
      <c r="Q319" s="1143"/>
      <c r="R319" s="1143"/>
      <c r="S319" s="1143"/>
      <c r="T319" s="1143"/>
      <c r="U319" s="1143"/>
      <c r="V319" s="1143"/>
      <c r="W319" s="1145"/>
    </row>
    <row r="320" spans="1:23" customFormat="1" ht="16.5" customHeight="1" thickBot="1">
      <c r="A320" s="116" t="s">
        <v>156</v>
      </c>
      <c r="B320" s="141">
        <v>18</v>
      </c>
      <c r="C320" s="142">
        <v>46142</v>
      </c>
      <c r="D320" s="143" t="s">
        <v>142</v>
      </c>
      <c r="E320" s="669" t="s">
        <v>387</v>
      </c>
      <c r="F320" s="669" t="s">
        <v>282</v>
      </c>
      <c r="G320" s="669" t="s">
        <v>32</v>
      </c>
      <c r="H320" s="145">
        <v>5535140</v>
      </c>
      <c r="I320" s="669" t="s">
        <v>626</v>
      </c>
      <c r="J320" s="669">
        <v>64</v>
      </c>
      <c r="K320" s="1156"/>
      <c r="L320" s="1156"/>
      <c r="M320" s="1156"/>
      <c r="N320" s="1156"/>
      <c r="O320" s="1156"/>
      <c r="P320" s="1156"/>
      <c r="Q320" s="1156"/>
      <c r="R320" s="1156"/>
      <c r="S320" s="1156"/>
      <c r="T320" s="1156"/>
      <c r="U320" s="1156"/>
      <c r="V320" s="1156"/>
      <c r="W320" s="1158"/>
    </row>
    <row r="321" spans="1:23" customFormat="1" ht="16.5" customHeight="1">
      <c r="A321" s="63" t="s">
        <v>160</v>
      </c>
      <c r="B321" s="64">
        <v>19</v>
      </c>
      <c r="C321" s="65">
        <v>46146</v>
      </c>
      <c r="D321" s="66" t="s">
        <v>142</v>
      </c>
      <c r="E321" s="668" t="s">
        <v>265</v>
      </c>
      <c r="F321" s="668" t="s">
        <v>270</v>
      </c>
      <c r="G321" s="668" t="s">
        <v>37</v>
      </c>
      <c r="H321" s="163">
        <v>5447763</v>
      </c>
      <c r="I321" s="668" t="s">
        <v>627</v>
      </c>
      <c r="J321" s="668">
        <v>160</v>
      </c>
      <c r="K321" s="1206">
        <v>1</v>
      </c>
      <c r="L321" s="1206">
        <v>5</v>
      </c>
      <c r="M321" s="1206">
        <v>1</v>
      </c>
      <c r="N321" s="1206" t="s">
        <v>149</v>
      </c>
      <c r="O321" s="1206" t="s">
        <v>41</v>
      </c>
      <c r="P321" s="1206" t="s">
        <v>40</v>
      </c>
      <c r="Q321" s="1206" t="s">
        <v>631</v>
      </c>
      <c r="R321" s="1206" t="s">
        <v>31</v>
      </c>
      <c r="S321" s="1206" t="s">
        <v>184</v>
      </c>
      <c r="T321" s="1206" t="s">
        <v>185</v>
      </c>
      <c r="U321" s="1206"/>
      <c r="V321" s="1206" t="s">
        <v>149</v>
      </c>
      <c r="W321" s="1207">
        <v>1</v>
      </c>
    </row>
    <row r="322" spans="1:23" customFormat="1" ht="16.5" customHeight="1">
      <c r="A322" s="134" t="s">
        <v>160</v>
      </c>
      <c r="B322" s="135">
        <v>19</v>
      </c>
      <c r="C322" s="136">
        <v>46146</v>
      </c>
      <c r="D322" s="137" t="s">
        <v>142</v>
      </c>
      <c r="E322" s="670" t="s">
        <v>265</v>
      </c>
      <c r="F322" s="670" t="s">
        <v>271</v>
      </c>
      <c r="G322" s="670" t="s">
        <v>37</v>
      </c>
      <c r="H322" s="139">
        <v>5447762</v>
      </c>
      <c r="I322" s="670" t="s">
        <v>628</v>
      </c>
      <c r="J322" s="670">
        <v>280</v>
      </c>
      <c r="K322" s="1150"/>
      <c r="L322" s="1150"/>
      <c r="M322" s="1150"/>
      <c r="N322" s="1150"/>
      <c r="O322" s="1150"/>
      <c r="P322" s="1150"/>
      <c r="Q322" s="1150"/>
      <c r="R322" s="1150"/>
      <c r="S322" s="1150"/>
      <c r="T322" s="1150"/>
      <c r="U322" s="1150"/>
      <c r="V322" s="1150"/>
      <c r="W322" s="1151"/>
    </row>
    <row r="323" spans="1:23" customFormat="1" ht="16.5" customHeight="1" thickBot="1">
      <c r="A323" s="116" t="s">
        <v>160</v>
      </c>
      <c r="B323" s="141">
        <v>19</v>
      </c>
      <c r="C323" s="142">
        <v>46146</v>
      </c>
      <c r="D323" s="143" t="s">
        <v>142</v>
      </c>
      <c r="E323" s="669" t="s">
        <v>265</v>
      </c>
      <c r="F323" s="669" t="s">
        <v>271</v>
      </c>
      <c r="G323" s="669" t="s">
        <v>37</v>
      </c>
      <c r="H323" s="145">
        <v>5447762</v>
      </c>
      <c r="I323" s="669" t="s">
        <v>629</v>
      </c>
      <c r="J323" s="669">
        <v>160</v>
      </c>
      <c r="K323" s="1147"/>
      <c r="L323" s="1147"/>
      <c r="M323" s="1147"/>
      <c r="N323" s="1147"/>
      <c r="O323" s="1147"/>
      <c r="P323" s="1147"/>
      <c r="Q323" s="1147"/>
      <c r="R323" s="1147"/>
      <c r="S323" s="1147"/>
      <c r="T323" s="1147"/>
      <c r="U323" s="1147"/>
      <c r="V323" s="1147"/>
      <c r="W323" s="1149"/>
    </row>
    <row r="324" spans="1:23" customFormat="1" ht="16.5" customHeight="1">
      <c r="A324" s="63" t="s">
        <v>160</v>
      </c>
      <c r="B324" s="64">
        <v>19</v>
      </c>
      <c r="C324" s="65">
        <v>46147</v>
      </c>
      <c r="D324" s="66" t="s">
        <v>142</v>
      </c>
      <c r="E324" s="678" t="s">
        <v>265</v>
      </c>
      <c r="F324" s="678" t="s">
        <v>271</v>
      </c>
      <c r="G324" s="678" t="s">
        <v>37</v>
      </c>
      <c r="H324" s="163">
        <v>5447762</v>
      </c>
      <c r="I324" s="678" t="s">
        <v>629</v>
      </c>
      <c r="J324" s="678">
        <v>100</v>
      </c>
      <c r="K324" s="678">
        <v>1</v>
      </c>
      <c r="L324" s="678"/>
      <c r="M324" s="678">
        <v>0</v>
      </c>
      <c r="N324" s="678" t="s">
        <v>149</v>
      </c>
      <c r="O324" s="678"/>
      <c r="P324" s="678"/>
      <c r="Q324" s="678"/>
      <c r="R324" s="678"/>
      <c r="S324" s="678"/>
      <c r="T324" s="678"/>
      <c r="U324" s="678"/>
      <c r="V324" s="678"/>
      <c r="W324" s="679"/>
    </row>
    <row r="325" spans="1:23" customFormat="1" ht="16.5" customHeight="1">
      <c r="A325" s="219" t="s">
        <v>160</v>
      </c>
      <c r="B325" s="214">
        <v>19</v>
      </c>
      <c r="C325" s="215">
        <v>46147</v>
      </c>
      <c r="D325" s="216" t="s">
        <v>142</v>
      </c>
      <c r="E325" s="677" t="s">
        <v>232</v>
      </c>
      <c r="F325" s="677" t="s">
        <v>275</v>
      </c>
      <c r="G325" s="677" t="s">
        <v>37</v>
      </c>
      <c r="H325" s="217">
        <v>5823326</v>
      </c>
      <c r="I325" s="677">
        <v>4523448861</v>
      </c>
      <c r="J325" s="677">
        <v>15</v>
      </c>
      <c r="K325" s="1150">
        <v>1</v>
      </c>
      <c r="L325" s="1150">
        <v>5</v>
      </c>
      <c r="M325" s="1150">
        <v>1</v>
      </c>
      <c r="N325" s="1150" t="s">
        <v>149</v>
      </c>
      <c r="O325" s="1150" t="s">
        <v>96</v>
      </c>
      <c r="P325" s="1150" t="s">
        <v>40</v>
      </c>
      <c r="Q325" s="1150" t="s">
        <v>333</v>
      </c>
      <c r="R325" s="1150" t="s">
        <v>31</v>
      </c>
      <c r="S325" s="1150" t="s">
        <v>184</v>
      </c>
      <c r="T325" s="1150" t="s">
        <v>185</v>
      </c>
      <c r="U325" s="1150"/>
      <c r="V325" s="1150" t="s">
        <v>149</v>
      </c>
      <c r="W325" s="1151">
        <v>1</v>
      </c>
    </row>
    <row r="326" spans="1:23" customFormat="1" ht="16.5" customHeight="1" thickBot="1">
      <c r="A326" s="116" t="s">
        <v>160</v>
      </c>
      <c r="B326" s="141">
        <v>19</v>
      </c>
      <c r="C326" s="142">
        <v>46147</v>
      </c>
      <c r="D326" s="143" t="s">
        <v>142</v>
      </c>
      <c r="E326" s="680" t="s">
        <v>232</v>
      </c>
      <c r="F326" s="680" t="s">
        <v>266</v>
      </c>
      <c r="G326" s="680" t="s">
        <v>37</v>
      </c>
      <c r="H326" s="145">
        <v>5766065</v>
      </c>
      <c r="I326" s="680" t="s">
        <v>632</v>
      </c>
      <c r="J326" s="680">
        <v>400</v>
      </c>
      <c r="K326" s="1147"/>
      <c r="L326" s="1147"/>
      <c r="M326" s="1147"/>
      <c r="N326" s="1147"/>
      <c r="O326" s="1147"/>
      <c r="P326" s="1147"/>
      <c r="Q326" s="1147"/>
      <c r="R326" s="1147"/>
      <c r="S326" s="1147"/>
      <c r="T326" s="1147"/>
      <c r="U326" s="1147"/>
      <c r="V326" s="1147"/>
      <c r="W326" s="1149"/>
    </row>
    <row r="327" spans="1:23" customFormat="1" ht="16.5" customHeight="1">
      <c r="A327" s="63" t="s">
        <v>160</v>
      </c>
      <c r="B327" s="64">
        <v>19</v>
      </c>
      <c r="C327" s="65">
        <v>46148</v>
      </c>
      <c r="D327" s="66" t="s">
        <v>142</v>
      </c>
      <c r="E327" s="681" t="s">
        <v>232</v>
      </c>
      <c r="F327" s="681" t="s">
        <v>266</v>
      </c>
      <c r="G327" s="681" t="s">
        <v>37</v>
      </c>
      <c r="H327" s="163">
        <v>5766065</v>
      </c>
      <c r="I327" s="681" t="s">
        <v>632</v>
      </c>
      <c r="J327" s="681">
        <v>100</v>
      </c>
      <c r="K327" s="1206">
        <v>1</v>
      </c>
      <c r="L327" s="1206">
        <v>5</v>
      </c>
      <c r="M327" s="1206">
        <v>1</v>
      </c>
      <c r="N327" s="1206" t="s">
        <v>149</v>
      </c>
      <c r="O327" s="1206" t="s">
        <v>61</v>
      </c>
      <c r="P327" s="1206" t="s">
        <v>74</v>
      </c>
      <c r="Q327" s="1206" t="s">
        <v>494</v>
      </c>
      <c r="R327" s="1206" t="s">
        <v>31</v>
      </c>
      <c r="S327" s="1206" t="s">
        <v>184</v>
      </c>
      <c r="T327" s="1206" t="s">
        <v>185</v>
      </c>
      <c r="U327" s="1206"/>
      <c r="V327" s="1206" t="s">
        <v>149</v>
      </c>
      <c r="W327" s="1207">
        <v>1</v>
      </c>
    </row>
    <row r="328" spans="1:23" customFormat="1" ht="16.5" customHeight="1" thickBot="1">
      <c r="A328" s="116" t="s">
        <v>160</v>
      </c>
      <c r="B328" s="141">
        <v>19</v>
      </c>
      <c r="C328" s="142">
        <v>46148</v>
      </c>
      <c r="D328" s="143" t="s">
        <v>142</v>
      </c>
      <c r="E328" s="682" t="s">
        <v>232</v>
      </c>
      <c r="F328" s="682" t="s">
        <v>266</v>
      </c>
      <c r="G328" s="682" t="s">
        <v>37</v>
      </c>
      <c r="H328" s="145">
        <v>5766065</v>
      </c>
      <c r="I328" s="682" t="s">
        <v>633</v>
      </c>
      <c r="J328" s="682">
        <v>485</v>
      </c>
      <c r="K328" s="1147"/>
      <c r="L328" s="1147"/>
      <c r="M328" s="1147"/>
      <c r="N328" s="1147"/>
      <c r="O328" s="1147"/>
      <c r="P328" s="1147"/>
      <c r="Q328" s="1147"/>
      <c r="R328" s="1147"/>
      <c r="S328" s="1147"/>
      <c r="T328" s="1147"/>
      <c r="U328" s="1147"/>
      <c r="V328" s="1147"/>
      <c r="W328" s="1149"/>
    </row>
    <row r="329" spans="1:23" customFormat="1" ht="16.5" customHeight="1">
      <c r="A329" s="63" t="s">
        <v>160</v>
      </c>
      <c r="B329" s="64">
        <v>19</v>
      </c>
      <c r="C329" s="65">
        <v>46149</v>
      </c>
      <c r="D329" s="66" t="s">
        <v>142</v>
      </c>
      <c r="E329" s="683" t="s">
        <v>232</v>
      </c>
      <c r="F329" s="683" t="s">
        <v>268</v>
      </c>
      <c r="G329" s="683" t="s">
        <v>176</v>
      </c>
      <c r="H329" s="163">
        <v>5771802</v>
      </c>
      <c r="I329" s="683" t="s">
        <v>634</v>
      </c>
      <c r="J329" s="683">
        <v>104</v>
      </c>
      <c r="K329" s="1206">
        <v>1</v>
      </c>
      <c r="L329" s="1206">
        <v>5</v>
      </c>
      <c r="M329" s="1206">
        <v>1</v>
      </c>
      <c r="N329" s="1206" t="s">
        <v>149</v>
      </c>
      <c r="O329" s="1208" t="s">
        <v>29</v>
      </c>
      <c r="P329" s="1208" t="s">
        <v>30</v>
      </c>
      <c r="Q329" s="1208" t="s">
        <v>395</v>
      </c>
      <c r="R329" s="1208" t="s">
        <v>31</v>
      </c>
      <c r="S329" s="1208" t="s">
        <v>184</v>
      </c>
      <c r="T329" s="1208" t="s">
        <v>185</v>
      </c>
      <c r="U329" s="1208"/>
      <c r="V329" s="1208" t="s">
        <v>149</v>
      </c>
      <c r="W329" s="1212">
        <v>1</v>
      </c>
    </row>
    <row r="330" spans="1:23" customFormat="1" ht="16.5" customHeight="1">
      <c r="A330" s="134" t="s">
        <v>160</v>
      </c>
      <c r="B330" s="135">
        <v>19</v>
      </c>
      <c r="C330" s="136">
        <v>46149</v>
      </c>
      <c r="D330" s="137" t="s">
        <v>142</v>
      </c>
      <c r="E330" s="684" t="s">
        <v>232</v>
      </c>
      <c r="F330" s="684" t="s">
        <v>268</v>
      </c>
      <c r="G330" s="684" t="s">
        <v>176</v>
      </c>
      <c r="H330" s="139">
        <v>5771802</v>
      </c>
      <c r="I330" s="684" t="s">
        <v>635</v>
      </c>
      <c r="J330" s="684">
        <v>200</v>
      </c>
      <c r="K330" s="1150"/>
      <c r="L330" s="1150"/>
      <c r="M330" s="1150"/>
      <c r="N330" s="1150"/>
      <c r="O330" s="1150"/>
      <c r="P330" s="1150"/>
      <c r="Q330" s="1150"/>
      <c r="R330" s="1150"/>
      <c r="S330" s="1150"/>
      <c r="T330" s="1150"/>
      <c r="U330" s="1150"/>
      <c r="V330" s="1150"/>
      <c r="W330" s="1151"/>
    </row>
    <row r="331" spans="1:23" customFormat="1" ht="16.5" customHeight="1" thickBot="1">
      <c r="A331" s="116" t="s">
        <v>160</v>
      </c>
      <c r="B331" s="141">
        <v>19</v>
      </c>
      <c r="C331" s="142">
        <v>46149</v>
      </c>
      <c r="D331" s="143" t="s">
        <v>142</v>
      </c>
      <c r="E331" s="685" t="s">
        <v>232</v>
      </c>
      <c r="F331" s="685" t="s">
        <v>269</v>
      </c>
      <c r="G331" s="685" t="s">
        <v>176</v>
      </c>
      <c r="H331" s="145">
        <v>5773217</v>
      </c>
      <c r="I331" s="685" t="s">
        <v>636</v>
      </c>
      <c r="J331" s="685">
        <v>248</v>
      </c>
      <c r="K331" s="1147"/>
      <c r="L331" s="1147"/>
      <c r="M331" s="1147"/>
      <c r="N331" s="1147"/>
      <c r="O331" s="1147"/>
      <c r="P331" s="1147"/>
      <c r="Q331" s="1147"/>
      <c r="R331" s="1147"/>
      <c r="S331" s="1147"/>
      <c r="T331" s="1147"/>
      <c r="U331" s="1147"/>
      <c r="V331" s="1147"/>
      <c r="W331" s="1149"/>
    </row>
    <row r="332" spans="1:23" customFormat="1" ht="16.5" customHeight="1">
      <c r="A332" s="63" t="s">
        <v>160</v>
      </c>
      <c r="B332" s="64">
        <v>19</v>
      </c>
      <c r="C332" s="65">
        <v>46150</v>
      </c>
      <c r="D332" s="66" t="s">
        <v>142</v>
      </c>
      <c r="E332" s="686" t="s">
        <v>232</v>
      </c>
      <c r="F332" s="686" t="s">
        <v>269</v>
      </c>
      <c r="G332" s="686" t="s">
        <v>176</v>
      </c>
      <c r="H332" s="163">
        <v>5773217</v>
      </c>
      <c r="I332" s="686" t="s">
        <v>652</v>
      </c>
      <c r="J332" s="686">
        <v>104</v>
      </c>
      <c r="K332" s="686">
        <v>1</v>
      </c>
      <c r="L332" s="686">
        <v>5</v>
      </c>
      <c r="M332" s="686">
        <v>1</v>
      </c>
      <c r="N332" s="686" t="s">
        <v>149</v>
      </c>
      <c r="O332" s="686" t="s">
        <v>61</v>
      </c>
      <c r="P332" s="686" t="s">
        <v>62</v>
      </c>
      <c r="Q332" s="686" t="s">
        <v>452</v>
      </c>
      <c r="R332" s="686" t="s">
        <v>31</v>
      </c>
      <c r="S332" s="686" t="s">
        <v>184</v>
      </c>
      <c r="T332" s="686" t="s">
        <v>185</v>
      </c>
      <c r="U332" s="686"/>
      <c r="V332" s="686" t="s">
        <v>149</v>
      </c>
      <c r="W332" s="688">
        <v>1</v>
      </c>
    </row>
    <row r="333" spans="1:23" customFormat="1" ht="16.5" customHeight="1">
      <c r="A333" s="134" t="s">
        <v>160</v>
      </c>
      <c r="B333" s="135">
        <v>19</v>
      </c>
      <c r="C333" s="136">
        <v>46150</v>
      </c>
      <c r="D333" s="137" t="s">
        <v>143</v>
      </c>
      <c r="E333" s="687" t="s">
        <v>157</v>
      </c>
      <c r="F333" s="687" t="s">
        <v>158</v>
      </c>
      <c r="G333" s="687" t="s">
        <v>36</v>
      </c>
      <c r="H333" s="139">
        <v>4248137</v>
      </c>
      <c r="I333" s="687">
        <v>4523998852</v>
      </c>
      <c r="J333" s="687">
        <v>8</v>
      </c>
      <c r="K333" s="1299">
        <v>1</v>
      </c>
      <c r="L333" s="1299"/>
      <c r="M333" s="1299">
        <v>0</v>
      </c>
      <c r="N333" s="1299" t="s">
        <v>149</v>
      </c>
      <c r="O333" s="1299"/>
      <c r="P333" s="1299"/>
      <c r="Q333" s="1299"/>
      <c r="R333" s="1299"/>
      <c r="S333" s="1299"/>
      <c r="T333" s="1299"/>
      <c r="U333" s="1299"/>
      <c r="V333" s="1299"/>
      <c r="W333" s="1300"/>
    </row>
    <row r="334" spans="1:23" customFormat="1" ht="16.5" customHeight="1">
      <c r="A334" s="134" t="s">
        <v>160</v>
      </c>
      <c r="B334" s="135">
        <v>19</v>
      </c>
      <c r="C334" s="136">
        <v>46150</v>
      </c>
      <c r="D334" s="137" t="s">
        <v>143</v>
      </c>
      <c r="E334" s="687" t="s">
        <v>157</v>
      </c>
      <c r="F334" s="687" t="s">
        <v>158</v>
      </c>
      <c r="G334" s="687" t="s">
        <v>28</v>
      </c>
      <c r="H334" s="139">
        <v>4248138</v>
      </c>
      <c r="I334" s="687">
        <v>4523998852</v>
      </c>
      <c r="J334" s="687">
        <v>8</v>
      </c>
      <c r="K334" s="1150"/>
      <c r="L334" s="1150"/>
      <c r="M334" s="1150"/>
      <c r="N334" s="1150"/>
      <c r="O334" s="1150"/>
      <c r="P334" s="1150"/>
      <c r="Q334" s="1150"/>
      <c r="R334" s="1150"/>
      <c r="S334" s="1150"/>
      <c r="T334" s="1150"/>
      <c r="U334" s="1150"/>
      <c r="V334" s="1150"/>
      <c r="W334" s="1151"/>
    </row>
    <row r="335" spans="1:23" customFormat="1" ht="16.5" customHeight="1">
      <c r="A335" s="134" t="s">
        <v>160</v>
      </c>
      <c r="B335" s="135">
        <v>19</v>
      </c>
      <c r="C335" s="136">
        <v>46150</v>
      </c>
      <c r="D335" s="137" t="s">
        <v>143</v>
      </c>
      <c r="E335" s="687" t="s">
        <v>157</v>
      </c>
      <c r="F335" s="687" t="s">
        <v>158</v>
      </c>
      <c r="G335" s="687" t="s">
        <v>28</v>
      </c>
      <c r="H335" s="139">
        <v>4248138</v>
      </c>
      <c r="I335" s="687">
        <v>20260327001</v>
      </c>
      <c r="J335" s="687">
        <v>1</v>
      </c>
      <c r="K335" s="1165"/>
      <c r="L335" s="1165"/>
      <c r="M335" s="1165"/>
      <c r="N335" s="1165"/>
      <c r="O335" s="1165"/>
      <c r="P335" s="1165"/>
      <c r="Q335" s="1165"/>
      <c r="R335" s="1165"/>
      <c r="S335" s="1165"/>
      <c r="T335" s="1165"/>
      <c r="U335" s="1165"/>
      <c r="V335" s="1165"/>
      <c r="W335" s="1167"/>
    </row>
    <row r="336" spans="1:23" customFormat="1" ht="16.5" customHeight="1">
      <c r="A336" s="134" t="s">
        <v>160</v>
      </c>
      <c r="B336" s="135">
        <v>19</v>
      </c>
      <c r="C336" s="136">
        <v>46150</v>
      </c>
      <c r="D336" s="137" t="s">
        <v>142</v>
      </c>
      <c r="E336" s="687" t="s">
        <v>386</v>
      </c>
      <c r="F336" s="687" t="s">
        <v>273</v>
      </c>
      <c r="G336" s="687" t="s">
        <v>36</v>
      </c>
      <c r="H336" s="139">
        <v>5535135</v>
      </c>
      <c r="I336" s="687" t="s">
        <v>653</v>
      </c>
      <c r="J336" s="687">
        <v>42</v>
      </c>
      <c r="K336" s="1299">
        <v>1</v>
      </c>
      <c r="L336" s="1299">
        <v>5</v>
      </c>
      <c r="M336" s="1299">
        <v>1</v>
      </c>
      <c r="N336" s="1299" t="s">
        <v>149</v>
      </c>
      <c r="O336" s="1299" t="s">
        <v>92</v>
      </c>
      <c r="P336" s="1299" t="s">
        <v>62</v>
      </c>
      <c r="Q336" s="1299" t="s">
        <v>452</v>
      </c>
      <c r="R336" s="1299" t="s">
        <v>31</v>
      </c>
      <c r="S336" s="1299" t="s">
        <v>184</v>
      </c>
      <c r="T336" s="1299" t="s">
        <v>185</v>
      </c>
      <c r="U336" s="1299"/>
      <c r="V336" s="1299" t="s">
        <v>149</v>
      </c>
      <c r="W336" s="1300">
        <v>1</v>
      </c>
    </row>
    <row r="337" spans="1:23" customFormat="1" ht="16.5" customHeight="1">
      <c r="A337" s="134" t="s">
        <v>160</v>
      </c>
      <c r="B337" s="135">
        <v>19</v>
      </c>
      <c r="C337" s="136">
        <v>46150</v>
      </c>
      <c r="D337" s="137" t="s">
        <v>142</v>
      </c>
      <c r="E337" s="687" t="s">
        <v>386</v>
      </c>
      <c r="F337" s="687" t="s">
        <v>273</v>
      </c>
      <c r="G337" s="687" t="s">
        <v>28</v>
      </c>
      <c r="H337" s="139">
        <v>5535134</v>
      </c>
      <c r="I337" s="687" t="s">
        <v>654</v>
      </c>
      <c r="J337" s="687">
        <v>96</v>
      </c>
      <c r="K337" s="1150"/>
      <c r="L337" s="1150"/>
      <c r="M337" s="1150"/>
      <c r="N337" s="1150"/>
      <c r="O337" s="1150"/>
      <c r="P337" s="1150"/>
      <c r="Q337" s="1150"/>
      <c r="R337" s="1150"/>
      <c r="S337" s="1150"/>
      <c r="T337" s="1150"/>
      <c r="U337" s="1150"/>
      <c r="V337" s="1150"/>
      <c r="W337" s="1151"/>
    </row>
    <row r="338" spans="1:23" customFormat="1" ht="16.5" customHeight="1">
      <c r="A338" s="134" t="s">
        <v>160</v>
      </c>
      <c r="B338" s="135">
        <v>19</v>
      </c>
      <c r="C338" s="136">
        <v>46150</v>
      </c>
      <c r="D338" s="137" t="s">
        <v>142</v>
      </c>
      <c r="E338" s="687" t="s">
        <v>386</v>
      </c>
      <c r="F338" s="687" t="s">
        <v>273</v>
      </c>
      <c r="G338" s="687" t="s">
        <v>28</v>
      </c>
      <c r="H338" s="139">
        <v>5535134</v>
      </c>
      <c r="I338" s="687" t="s">
        <v>655</v>
      </c>
      <c r="J338" s="687">
        <v>23</v>
      </c>
      <c r="K338" s="1150"/>
      <c r="L338" s="1150"/>
      <c r="M338" s="1150"/>
      <c r="N338" s="1150"/>
      <c r="O338" s="1150"/>
      <c r="P338" s="1150"/>
      <c r="Q338" s="1150"/>
      <c r="R338" s="1150"/>
      <c r="S338" s="1150"/>
      <c r="T338" s="1150"/>
      <c r="U338" s="1150"/>
      <c r="V338" s="1150"/>
      <c r="W338" s="1151"/>
    </row>
    <row r="339" spans="1:23" customFormat="1" ht="16.5" customHeight="1" thickBot="1">
      <c r="A339" s="691" t="s">
        <v>160</v>
      </c>
      <c r="B339" s="692">
        <v>19</v>
      </c>
      <c r="C339" s="693">
        <v>46150</v>
      </c>
      <c r="D339" s="694" t="s">
        <v>142</v>
      </c>
      <c r="E339" s="695" t="s">
        <v>386</v>
      </c>
      <c r="F339" s="695" t="s">
        <v>273</v>
      </c>
      <c r="G339" s="695" t="s">
        <v>28</v>
      </c>
      <c r="H339" s="696">
        <v>5535134</v>
      </c>
      <c r="I339" s="695" t="s">
        <v>656</v>
      </c>
      <c r="J339" s="695">
        <v>80</v>
      </c>
      <c r="K339" s="1150"/>
      <c r="L339" s="1150"/>
      <c r="M339" s="1150"/>
      <c r="N339" s="1150"/>
      <c r="O339" s="1150"/>
      <c r="P339" s="1150"/>
      <c r="Q339" s="1150"/>
      <c r="R339" s="1150"/>
      <c r="S339" s="1150"/>
      <c r="T339" s="1150"/>
      <c r="U339" s="1150"/>
      <c r="V339" s="1150"/>
      <c r="W339" s="1151"/>
    </row>
    <row r="340" spans="1:23" customFormat="1" ht="16.5" customHeight="1" thickBot="1">
      <c r="A340" s="67" t="s">
        <v>160</v>
      </c>
      <c r="B340" s="68">
        <v>19</v>
      </c>
      <c r="C340" s="69">
        <v>46151</v>
      </c>
      <c r="D340" s="70" t="s">
        <v>142</v>
      </c>
      <c r="E340" s="71" t="s">
        <v>265</v>
      </c>
      <c r="F340" s="71" t="s">
        <v>270</v>
      </c>
      <c r="G340" s="71" t="s">
        <v>37</v>
      </c>
      <c r="H340" s="88">
        <v>5447763</v>
      </c>
      <c r="I340" s="71" t="s">
        <v>657</v>
      </c>
      <c r="J340" s="71">
        <v>400</v>
      </c>
      <c r="K340" s="71">
        <v>1</v>
      </c>
      <c r="L340" s="71"/>
      <c r="M340" s="71">
        <v>0</v>
      </c>
      <c r="N340" s="71" t="s">
        <v>149</v>
      </c>
      <c r="O340" s="71"/>
      <c r="P340" s="71"/>
      <c r="Q340" s="71"/>
      <c r="R340" s="71"/>
      <c r="S340" s="71"/>
      <c r="T340" s="71"/>
      <c r="U340" s="71"/>
      <c r="V340" s="71"/>
      <c r="W340" s="72"/>
    </row>
    <row r="341" spans="1:23" customFormat="1" ht="16.5" customHeight="1" thickBot="1">
      <c r="A341" s="63" t="s">
        <v>160</v>
      </c>
      <c r="B341" s="64">
        <v>20</v>
      </c>
      <c r="C341" s="65">
        <v>46153</v>
      </c>
      <c r="D341" s="66" t="s">
        <v>142</v>
      </c>
      <c r="E341" s="689" t="s">
        <v>265</v>
      </c>
      <c r="F341" s="689" t="s">
        <v>270</v>
      </c>
      <c r="G341" s="689" t="s">
        <v>37</v>
      </c>
      <c r="H341" s="163">
        <v>5447763</v>
      </c>
      <c r="I341" s="71" t="s">
        <v>657</v>
      </c>
      <c r="J341" s="689">
        <v>100</v>
      </c>
      <c r="K341" s="1209">
        <v>1</v>
      </c>
      <c r="L341" s="1209"/>
      <c r="M341" s="1209">
        <v>0</v>
      </c>
      <c r="N341" s="1209" t="s">
        <v>149</v>
      </c>
      <c r="O341" s="1209"/>
      <c r="P341" s="1209"/>
      <c r="Q341" s="1209"/>
      <c r="R341" s="1209"/>
      <c r="S341" s="1209"/>
      <c r="T341" s="1209"/>
      <c r="U341" s="1209"/>
      <c r="V341" s="1209"/>
      <c r="W341" s="1301"/>
    </row>
    <row r="342" spans="1:23" customFormat="1" ht="16.5" customHeight="1">
      <c r="A342" s="134" t="s">
        <v>160</v>
      </c>
      <c r="B342" s="135">
        <v>20</v>
      </c>
      <c r="C342" s="136">
        <v>46153</v>
      </c>
      <c r="D342" s="137" t="s">
        <v>142</v>
      </c>
      <c r="E342" s="690" t="s">
        <v>265</v>
      </c>
      <c r="F342" s="690" t="s">
        <v>270</v>
      </c>
      <c r="G342" s="690" t="s">
        <v>37</v>
      </c>
      <c r="H342" s="139">
        <v>5447763</v>
      </c>
      <c r="I342" s="690" t="s">
        <v>658</v>
      </c>
      <c r="J342" s="690">
        <v>96</v>
      </c>
      <c r="K342" s="1150"/>
      <c r="L342" s="1150"/>
      <c r="M342" s="1150"/>
      <c r="N342" s="1150"/>
      <c r="O342" s="1150"/>
      <c r="P342" s="1150"/>
      <c r="Q342" s="1150"/>
      <c r="R342" s="1150"/>
      <c r="S342" s="1150"/>
      <c r="T342" s="1150"/>
      <c r="U342" s="1150"/>
      <c r="V342" s="1150"/>
      <c r="W342" s="1151"/>
    </row>
    <row r="343" spans="1:23" customFormat="1" ht="16.5" customHeight="1">
      <c r="A343" s="134" t="s">
        <v>160</v>
      </c>
      <c r="B343" s="135">
        <v>20</v>
      </c>
      <c r="C343" s="136">
        <v>46153</v>
      </c>
      <c r="D343" s="137" t="s">
        <v>142</v>
      </c>
      <c r="E343" s="690" t="s">
        <v>265</v>
      </c>
      <c r="F343" s="690" t="s">
        <v>271</v>
      </c>
      <c r="G343" s="690" t="s">
        <v>37</v>
      </c>
      <c r="H343" s="139">
        <v>5447762</v>
      </c>
      <c r="I343" s="690" t="s">
        <v>659</v>
      </c>
      <c r="J343" s="690">
        <v>244</v>
      </c>
      <c r="K343" s="1150"/>
      <c r="L343" s="1150"/>
      <c r="M343" s="1150"/>
      <c r="N343" s="1150"/>
      <c r="O343" s="1150"/>
      <c r="P343" s="1150"/>
      <c r="Q343" s="1150"/>
      <c r="R343" s="1150"/>
      <c r="S343" s="1150"/>
      <c r="T343" s="1150"/>
      <c r="U343" s="1150"/>
      <c r="V343" s="1150"/>
      <c r="W343" s="1151"/>
    </row>
    <row r="344" spans="1:23" customFormat="1" ht="16.5" customHeight="1" thickBot="1">
      <c r="A344" s="715" t="s">
        <v>160</v>
      </c>
      <c r="B344" s="716">
        <v>20</v>
      </c>
      <c r="C344" s="717">
        <v>46153</v>
      </c>
      <c r="D344" s="718" t="s">
        <v>142</v>
      </c>
      <c r="E344" s="719" t="s">
        <v>265</v>
      </c>
      <c r="F344" s="719" t="s">
        <v>271</v>
      </c>
      <c r="G344" s="719" t="s">
        <v>37</v>
      </c>
      <c r="H344" s="720">
        <v>5447762</v>
      </c>
      <c r="I344" s="719" t="s">
        <v>660</v>
      </c>
      <c r="J344" s="719">
        <v>160</v>
      </c>
      <c r="K344" s="1150"/>
      <c r="L344" s="1150"/>
      <c r="M344" s="1150"/>
      <c r="N344" s="1150"/>
      <c r="O344" s="1150"/>
      <c r="P344" s="1150"/>
      <c r="Q344" s="1150"/>
      <c r="R344" s="1150"/>
      <c r="S344" s="1150"/>
      <c r="T344" s="1150"/>
      <c r="U344" s="1150"/>
      <c r="V344" s="1150"/>
      <c r="W344" s="1151"/>
    </row>
    <row r="345" spans="1:23" customFormat="1" ht="16.5" customHeight="1" thickBot="1">
      <c r="A345" s="67" t="s">
        <v>160</v>
      </c>
      <c r="B345" s="68">
        <v>20</v>
      </c>
      <c r="C345" s="69">
        <v>46154</v>
      </c>
      <c r="D345" s="70" t="s">
        <v>142</v>
      </c>
      <c r="E345" s="71" t="s">
        <v>232</v>
      </c>
      <c r="F345" s="71" t="s">
        <v>267</v>
      </c>
      <c r="G345" s="71" t="s">
        <v>37</v>
      </c>
      <c r="H345" s="88">
        <v>5771962</v>
      </c>
      <c r="I345" s="71" t="s">
        <v>661</v>
      </c>
      <c r="J345" s="71">
        <v>420</v>
      </c>
      <c r="K345" s="71">
        <v>1</v>
      </c>
      <c r="L345" s="71">
        <v>5</v>
      </c>
      <c r="M345" s="71">
        <v>1</v>
      </c>
      <c r="N345" s="71" t="s">
        <v>149</v>
      </c>
      <c r="O345" s="71" t="s">
        <v>61</v>
      </c>
      <c r="P345" s="71" t="s">
        <v>62</v>
      </c>
      <c r="Q345" s="71" t="s">
        <v>665</v>
      </c>
      <c r="R345" s="71" t="s">
        <v>31</v>
      </c>
      <c r="S345" s="71" t="s">
        <v>184</v>
      </c>
      <c r="T345" s="71" t="s">
        <v>185</v>
      </c>
      <c r="U345" s="71"/>
      <c r="V345" s="71" t="s">
        <v>149</v>
      </c>
      <c r="W345" s="72">
        <v>1</v>
      </c>
    </row>
    <row r="346" spans="1:23" customFormat="1" ht="16.5" customHeight="1">
      <c r="A346" s="63" t="s">
        <v>160</v>
      </c>
      <c r="B346" s="64">
        <v>20</v>
      </c>
      <c r="C346" s="65">
        <v>46155</v>
      </c>
      <c r="D346" s="66" t="s">
        <v>142</v>
      </c>
      <c r="E346" s="700" t="s">
        <v>232</v>
      </c>
      <c r="F346" s="700" t="s">
        <v>267</v>
      </c>
      <c r="G346" s="700" t="s">
        <v>37</v>
      </c>
      <c r="H346" s="163">
        <v>5771962</v>
      </c>
      <c r="I346" s="700" t="s">
        <v>661</v>
      </c>
      <c r="J346" s="700">
        <v>60</v>
      </c>
      <c r="K346" s="1206">
        <v>1</v>
      </c>
      <c r="L346" s="1206">
        <v>5</v>
      </c>
      <c r="M346" s="1206">
        <v>1</v>
      </c>
      <c r="N346" s="1206" t="s">
        <v>149</v>
      </c>
      <c r="O346" s="1206" t="s">
        <v>96</v>
      </c>
      <c r="P346" s="1206" t="s">
        <v>40</v>
      </c>
      <c r="Q346" s="1206" t="s">
        <v>667</v>
      </c>
      <c r="R346" s="1206" t="s">
        <v>31</v>
      </c>
      <c r="S346" s="1206" t="s">
        <v>184</v>
      </c>
      <c r="T346" s="1206" t="s">
        <v>185</v>
      </c>
      <c r="U346" s="1206"/>
      <c r="V346" s="1206" t="s">
        <v>149</v>
      </c>
      <c r="W346" s="1207">
        <v>1</v>
      </c>
    </row>
    <row r="347" spans="1:23" customFormat="1" ht="16.5" customHeight="1" thickBot="1">
      <c r="A347" s="116" t="s">
        <v>160</v>
      </c>
      <c r="B347" s="141">
        <v>20</v>
      </c>
      <c r="C347" s="142">
        <v>46155</v>
      </c>
      <c r="D347" s="143" t="s">
        <v>142</v>
      </c>
      <c r="E347" s="702" t="s">
        <v>232</v>
      </c>
      <c r="F347" s="702" t="s">
        <v>266</v>
      </c>
      <c r="G347" s="702" t="s">
        <v>37</v>
      </c>
      <c r="H347" s="145">
        <v>5766065</v>
      </c>
      <c r="I347" s="702" t="s">
        <v>662</v>
      </c>
      <c r="J347" s="702">
        <v>370</v>
      </c>
      <c r="K347" s="1147"/>
      <c r="L347" s="1147"/>
      <c r="M347" s="1147"/>
      <c r="N347" s="1147"/>
      <c r="O347" s="1147"/>
      <c r="P347" s="1147"/>
      <c r="Q347" s="1147"/>
      <c r="R347" s="1147"/>
      <c r="S347" s="1147"/>
      <c r="T347" s="1147"/>
      <c r="U347" s="1147"/>
      <c r="V347" s="1147"/>
      <c r="W347" s="1149"/>
    </row>
    <row r="348" spans="1:23" customFormat="1" ht="16.5" customHeight="1">
      <c r="A348" s="63" t="s">
        <v>160</v>
      </c>
      <c r="B348" s="64">
        <v>20</v>
      </c>
      <c r="C348" s="65">
        <v>46156</v>
      </c>
      <c r="D348" s="66" t="s">
        <v>142</v>
      </c>
      <c r="E348" s="711" t="s">
        <v>232</v>
      </c>
      <c r="F348" s="711" t="s">
        <v>266</v>
      </c>
      <c r="G348" s="711" t="s">
        <v>37</v>
      </c>
      <c r="H348" s="163">
        <v>5766065</v>
      </c>
      <c r="I348" s="711" t="s">
        <v>662</v>
      </c>
      <c r="J348" s="711">
        <v>250</v>
      </c>
      <c r="K348" s="711">
        <v>1</v>
      </c>
      <c r="L348" s="711"/>
      <c r="M348" s="711">
        <v>0</v>
      </c>
      <c r="N348" s="711" t="s">
        <v>149</v>
      </c>
      <c r="O348" s="711"/>
      <c r="P348" s="711"/>
      <c r="Q348" s="711"/>
      <c r="R348" s="711"/>
      <c r="S348" s="711"/>
      <c r="T348" s="711"/>
      <c r="U348" s="711"/>
      <c r="V348" s="711"/>
      <c r="W348" s="713"/>
    </row>
    <row r="349" spans="1:23" customFormat="1" ht="16.5" customHeight="1" thickBot="1">
      <c r="A349" s="116" t="s">
        <v>160</v>
      </c>
      <c r="B349" s="141">
        <v>20</v>
      </c>
      <c r="C349" s="142">
        <v>46156</v>
      </c>
      <c r="D349" s="143" t="s">
        <v>142</v>
      </c>
      <c r="E349" s="712" t="s">
        <v>232</v>
      </c>
      <c r="F349" s="712" t="s">
        <v>268</v>
      </c>
      <c r="G349" s="712" t="s">
        <v>176</v>
      </c>
      <c r="H349" s="145">
        <v>5771802</v>
      </c>
      <c r="I349" s="712" t="s">
        <v>666</v>
      </c>
      <c r="J349" s="712">
        <v>200</v>
      </c>
      <c r="K349" s="712">
        <v>1</v>
      </c>
      <c r="L349" s="712"/>
      <c r="M349" s="712">
        <v>0</v>
      </c>
      <c r="N349" s="712" t="s">
        <v>149</v>
      </c>
      <c r="O349" s="712"/>
      <c r="P349" s="712"/>
      <c r="Q349" s="712"/>
      <c r="R349" s="712"/>
      <c r="S349" s="712"/>
      <c r="T349" s="712"/>
      <c r="U349" s="712"/>
      <c r="V349" s="712"/>
      <c r="W349" s="714"/>
    </row>
    <row r="350" spans="1:23" customFormat="1" ht="16.5" customHeight="1">
      <c r="A350" s="63" t="s">
        <v>160</v>
      </c>
      <c r="B350" s="149">
        <v>20</v>
      </c>
      <c r="C350" s="150">
        <v>46157</v>
      </c>
      <c r="D350" s="151" t="s">
        <v>142</v>
      </c>
      <c r="E350" s="725" t="s">
        <v>232</v>
      </c>
      <c r="F350" s="725" t="s">
        <v>268</v>
      </c>
      <c r="G350" s="725" t="s">
        <v>176</v>
      </c>
      <c r="H350" s="725">
        <v>5771802</v>
      </c>
      <c r="I350" s="726" t="s">
        <v>668</v>
      </c>
      <c r="J350" s="725">
        <v>150</v>
      </c>
      <c r="K350" s="725">
        <v>1</v>
      </c>
      <c r="L350" s="725">
        <v>5</v>
      </c>
      <c r="M350" s="725">
        <v>1</v>
      </c>
      <c r="N350" s="725" t="s">
        <v>149</v>
      </c>
      <c r="O350" s="725" t="s">
        <v>48</v>
      </c>
      <c r="P350" s="725" t="s">
        <v>62</v>
      </c>
      <c r="Q350" s="725" t="s">
        <v>351</v>
      </c>
      <c r="R350" s="725" t="s">
        <v>31</v>
      </c>
      <c r="S350" s="725" t="s">
        <v>184</v>
      </c>
      <c r="T350" s="725" t="s">
        <v>185</v>
      </c>
      <c r="U350" s="725"/>
      <c r="V350" s="725" t="s">
        <v>149</v>
      </c>
      <c r="W350" s="723">
        <v>1</v>
      </c>
    </row>
    <row r="351" spans="1:23" customFormat="1" ht="16.5" customHeight="1">
      <c r="A351" s="134" t="s">
        <v>160</v>
      </c>
      <c r="B351" s="135">
        <v>20</v>
      </c>
      <c r="C351" s="136">
        <v>46157</v>
      </c>
      <c r="D351" s="137" t="s">
        <v>143</v>
      </c>
      <c r="E351" s="721" t="s">
        <v>94</v>
      </c>
      <c r="F351" s="721" t="s">
        <v>95</v>
      </c>
      <c r="G351" s="721" t="s">
        <v>32</v>
      </c>
      <c r="H351" s="721">
        <v>4488547</v>
      </c>
      <c r="I351" s="139">
        <v>4523514710</v>
      </c>
      <c r="J351" s="721">
        <v>4</v>
      </c>
      <c r="K351" s="721">
        <v>1</v>
      </c>
      <c r="L351" s="721">
        <v>3</v>
      </c>
      <c r="M351" s="721">
        <v>1</v>
      </c>
      <c r="N351" s="721" t="s">
        <v>149</v>
      </c>
      <c r="O351" s="721" t="s">
        <v>39</v>
      </c>
      <c r="P351" s="721" t="s">
        <v>30</v>
      </c>
      <c r="Q351" s="721" t="s">
        <v>673</v>
      </c>
      <c r="R351" s="721" t="s">
        <v>31</v>
      </c>
      <c r="S351" s="721" t="s">
        <v>301</v>
      </c>
      <c r="T351" s="721" t="s">
        <v>185</v>
      </c>
      <c r="U351" s="721"/>
      <c r="V351" s="721" t="s">
        <v>149</v>
      </c>
      <c r="W351" s="724">
        <v>1</v>
      </c>
    </row>
    <row r="352" spans="1:23" customFormat="1" ht="16.5" customHeight="1">
      <c r="A352" s="134" t="s">
        <v>160</v>
      </c>
      <c r="B352" s="135">
        <v>20</v>
      </c>
      <c r="C352" s="136">
        <v>46157</v>
      </c>
      <c r="D352" s="137" t="s">
        <v>147</v>
      </c>
      <c r="E352" s="721" t="s">
        <v>183</v>
      </c>
      <c r="F352" s="721" t="s">
        <v>211</v>
      </c>
      <c r="G352" s="721" t="s">
        <v>63</v>
      </c>
      <c r="H352" s="721">
        <v>5327219</v>
      </c>
      <c r="I352" s="727" t="s">
        <v>669</v>
      </c>
      <c r="J352" s="721">
        <v>9</v>
      </c>
      <c r="K352" s="1200">
        <v>1</v>
      </c>
      <c r="L352" s="1200">
        <v>1</v>
      </c>
      <c r="M352" s="1200">
        <v>17</v>
      </c>
      <c r="N352" s="1203" t="s">
        <v>187</v>
      </c>
      <c r="O352" s="1200" t="s">
        <v>56</v>
      </c>
      <c r="P352" s="1200" t="s">
        <v>40</v>
      </c>
      <c r="Q352" s="1200" t="s">
        <v>674</v>
      </c>
      <c r="R352" s="1200" t="s">
        <v>31</v>
      </c>
      <c r="S352" s="1200" t="s">
        <v>301</v>
      </c>
      <c r="T352" s="1200" t="s">
        <v>185</v>
      </c>
      <c r="U352" s="1201" t="s">
        <v>689</v>
      </c>
      <c r="V352" s="1200" t="s">
        <v>149</v>
      </c>
      <c r="W352" s="1202">
        <v>14</v>
      </c>
    </row>
    <row r="353" spans="1:23" customFormat="1" ht="16.5" customHeight="1">
      <c r="A353" s="134" t="s">
        <v>160</v>
      </c>
      <c r="B353" s="135">
        <v>20</v>
      </c>
      <c r="C353" s="136">
        <v>46157</v>
      </c>
      <c r="D353" s="137" t="s">
        <v>147</v>
      </c>
      <c r="E353" s="721" t="s">
        <v>183</v>
      </c>
      <c r="F353" s="721" t="s">
        <v>211</v>
      </c>
      <c r="G353" s="721" t="s">
        <v>52</v>
      </c>
      <c r="H353" s="721">
        <v>5327223</v>
      </c>
      <c r="I353" s="139" t="s">
        <v>669</v>
      </c>
      <c r="J353" s="721">
        <v>3</v>
      </c>
      <c r="K353" s="1150"/>
      <c r="L353" s="1150"/>
      <c r="M353" s="1150"/>
      <c r="N353" s="1204"/>
      <c r="O353" s="1150"/>
      <c r="P353" s="1150"/>
      <c r="Q353" s="1150"/>
      <c r="R353" s="1150"/>
      <c r="S353" s="1150"/>
      <c r="T353" s="1150"/>
      <c r="U353" s="1150"/>
      <c r="V353" s="1150"/>
      <c r="W353" s="1151"/>
    </row>
    <row r="354" spans="1:23" customFormat="1" ht="16.5" customHeight="1">
      <c r="A354" s="134" t="s">
        <v>160</v>
      </c>
      <c r="B354" s="135">
        <v>20</v>
      </c>
      <c r="C354" s="136">
        <v>46157</v>
      </c>
      <c r="D354" s="137" t="s">
        <v>147</v>
      </c>
      <c r="E354" s="721" t="s">
        <v>183</v>
      </c>
      <c r="F354" s="721" t="s">
        <v>211</v>
      </c>
      <c r="G354" s="721" t="s">
        <v>36</v>
      </c>
      <c r="H354" s="721">
        <v>5327222</v>
      </c>
      <c r="I354" s="139" t="s">
        <v>669</v>
      </c>
      <c r="J354" s="721">
        <v>1</v>
      </c>
      <c r="K354" s="1150"/>
      <c r="L354" s="1150"/>
      <c r="M354" s="1150"/>
      <c r="N354" s="1204"/>
      <c r="O354" s="1150"/>
      <c r="P354" s="1150"/>
      <c r="Q354" s="1150"/>
      <c r="R354" s="1150"/>
      <c r="S354" s="1150"/>
      <c r="T354" s="1150"/>
      <c r="U354" s="1150"/>
      <c r="V354" s="1150"/>
      <c r="W354" s="1151"/>
    </row>
    <row r="355" spans="1:23" customFormat="1" ht="16.5" customHeight="1">
      <c r="A355" s="134" t="s">
        <v>160</v>
      </c>
      <c r="B355" s="135">
        <v>20</v>
      </c>
      <c r="C355" s="136">
        <v>46157</v>
      </c>
      <c r="D355" s="137" t="s">
        <v>147</v>
      </c>
      <c r="E355" s="721" t="s">
        <v>183</v>
      </c>
      <c r="F355" s="721" t="s">
        <v>211</v>
      </c>
      <c r="G355" s="721" t="s">
        <v>28</v>
      </c>
      <c r="H355" s="721">
        <v>5327221</v>
      </c>
      <c r="I355" s="139" t="s">
        <v>669</v>
      </c>
      <c r="J355" s="721">
        <v>1</v>
      </c>
      <c r="K355" s="1150"/>
      <c r="L355" s="1150"/>
      <c r="M355" s="1150"/>
      <c r="N355" s="1204"/>
      <c r="O355" s="1150"/>
      <c r="P355" s="1150"/>
      <c r="Q355" s="1150"/>
      <c r="R355" s="1150"/>
      <c r="S355" s="1150"/>
      <c r="T355" s="1150"/>
      <c r="U355" s="1150"/>
      <c r="V355" s="1150"/>
      <c r="W355" s="1151"/>
    </row>
    <row r="356" spans="1:23" customFormat="1" ht="16.5" customHeight="1">
      <c r="A356" s="134" t="s">
        <v>160</v>
      </c>
      <c r="B356" s="135">
        <v>20</v>
      </c>
      <c r="C356" s="136">
        <v>46157</v>
      </c>
      <c r="D356" s="137" t="s">
        <v>147</v>
      </c>
      <c r="E356" s="721" t="s">
        <v>183</v>
      </c>
      <c r="F356" s="721" t="s">
        <v>210</v>
      </c>
      <c r="G356" s="721" t="s">
        <v>36</v>
      </c>
      <c r="H356" s="721">
        <v>5327242</v>
      </c>
      <c r="I356" s="139" t="s">
        <v>670</v>
      </c>
      <c r="J356" s="721">
        <v>1</v>
      </c>
      <c r="K356" s="1150"/>
      <c r="L356" s="1150"/>
      <c r="M356" s="1150"/>
      <c r="N356" s="1204"/>
      <c r="O356" s="1150"/>
      <c r="P356" s="1150"/>
      <c r="Q356" s="1150"/>
      <c r="R356" s="1150"/>
      <c r="S356" s="1150"/>
      <c r="T356" s="1150"/>
      <c r="U356" s="1150"/>
      <c r="V356" s="1150"/>
      <c r="W356" s="1151"/>
    </row>
    <row r="357" spans="1:23" customFormat="1" ht="16.5" customHeight="1">
      <c r="A357" s="134" t="s">
        <v>160</v>
      </c>
      <c r="B357" s="135">
        <v>20</v>
      </c>
      <c r="C357" s="136">
        <v>46157</v>
      </c>
      <c r="D357" s="137" t="s">
        <v>147</v>
      </c>
      <c r="E357" s="721" t="s">
        <v>183</v>
      </c>
      <c r="F357" s="721" t="s">
        <v>210</v>
      </c>
      <c r="G357" s="721" t="s">
        <v>28</v>
      </c>
      <c r="H357" s="721">
        <v>5327241</v>
      </c>
      <c r="I357" s="139" t="s">
        <v>670</v>
      </c>
      <c r="J357" s="721">
        <v>1</v>
      </c>
      <c r="K357" s="1150"/>
      <c r="L357" s="1150"/>
      <c r="M357" s="1150"/>
      <c r="N357" s="1204"/>
      <c r="O357" s="1150"/>
      <c r="P357" s="1150"/>
      <c r="Q357" s="1150"/>
      <c r="R357" s="1150"/>
      <c r="S357" s="1150"/>
      <c r="T357" s="1150"/>
      <c r="U357" s="1150"/>
      <c r="V357" s="1150"/>
      <c r="W357" s="1151"/>
    </row>
    <row r="358" spans="1:23" customFormat="1" ht="16.5" customHeight="1">
      <c r="A358" s="134" t="s">
        <v>160</v>
      </c>
      <c r="B358" s="135">
        <v>20</v>
      </c>
      <c r="C358" s="136">
        <v>46157</v>
      </c>
      <c r="D358" s="137" t="s">
        <v>147</v>
      </c>
      <c r="E358" s="721" t="s">
        <v>183</v>
      </c>
      <c r="F358" s="721" t="s">
        <v>210</v>
      </c>
      <c r="G358" s="721" t="s">
        <v>63</v>
      </c>
      <c r="H358" s="721">
        <v>5327239</v>
      </c>
      <c r="I358" s="139" t="s">
        <v>670</v>
      </c>
      <c r="J358" s="721">
        <v>1</v>
      </c>
      <c r="K358" s="1165"/>
      <c r="L358" s="1165"/>
      <c r="M358" s="1165"/>
      <c r="N358" s="1205"/>
      <c r="O358" s="1165"/>
      <c r="P358" s="1165"/>
      <c r="Q358" s="1165"/>
      <c r="R358" s="1165"/>
      <c r="S358" s="1165"/>
      <c r="T358" s="1165"/>
      <c r="U358" s="1165"/>
      <c r="V358" s="1165"/>
      <c r="W358" s="1167"/>
    </row>
    <row r="359" spans="1:23" customFormat="1" ht="16.5" customHeight="1">
      <c r="A359" s="134" t="s">
        <v>160</v>
      </c>
      <c r="B359" s="135">
        <v>20</v>
      </c>
      <c r="C359" s="136">
        <v>46157</v>
      </c>
      <c r="D359" s="137" t="s">
        <v>147</v>
      </c>
      <c r="E359" s="721" t="s">
        <v>183</v>
      </c>
      <c r="F359" s="721" t="s">
        <v>209</v>
      </c>
      <c r="G359" s="721" t="s">
        <v>52</v>
      </c>
      <c r="H359" s="721">
        <v>5327228</v>
      </c>
      <c r="I359" s="139" t="s">
        <v>671</v>
      </c>
      <c r="J359" s="721">
        <v>2</v>
      </c>
      <c r="K359" s="1200">
        <v>1</v>
      </c>
      <c r="L359" s="1200">
        <v>1</v>
      </c>
      <c r="M359" s="1200">
        <v>13</v>
      </c>
      <c r="N359" s="1203" t="s">
        <v>187</v>
      </c>
      <c r="O359" s="1200" t="s">
        <v>61</v>
      </c>
      <c r="P359" s="1200" t="s">
        <v>62</v>
      </c>
      <c r="Q359" s="1200" t="s">
        <v>675</v>
      </c>
      <c r="R359" s="1200" t="s">
        <v>49</v>
      </c>
      <c r="S359" s="1200" t="s">
        <v>676</v>
      </c>
      <c r="T359" s="1200" t="s">
        <v>185</v>
      </c>
      <c r="U359" s="1201" t="s">
        <v>690</v>
      </c>
      <c r="V359" s="1200" t="s">
        <v>149</v>
      </c>
      <c r="W359" s="1202">
        <v>6</v>
      </c>
    </row>
    <row r="360" spans="1:23" customFormat="1" ht="16.5" customHeight="1">
      <c r="A360" s="134" t="s">
        <v>160</v>
      </c>
      <c r="B360" s="135">
        <v>20</v>
      </c>
      <c r="C360" s="136">
        <v>46157</v>
      </c>
      <c r="D360" s="137" t="s">
        <v>147</v>
      </c>
      <c r="E360" s="721" t="s">
        <v>183</v>
      </c>
      <c r="F360" s="721" t="s">
        <v>209</v>
      </c>
      <c r="G360" s="721" t="s">
        <v>32</v>
      </c>
      <c r="H360" s="721">
        <v>5327225</v>
      </c>
      <c r="I360" s="727" t="s">
        <v>671</v>
      </c>
      <c r="J360" s="721">
        <v>5</v>
      </c>
      <c r="K360" s="1150"/>
      <c r="L360" s="1150"/>
      <c r="M360" s="1150"/>
      <c r="N360" s="1204"/>
      <c r="O360" s="1150"/>
      <c r="P360" s="1150"/>
      <c r="Q360" s="1150"/>
      <c r="R360" s="1150"/>
      <c r="S360" s="1150"/>
      <c r="T360" s="1150"/>
      <c r="U360" s="1150"/>
      <c r="V360" s="1150"/>
      <c r="W360" s="1151"/>
    </row>
    <row r="361" spans="1:23" customFormat="1" ht="16.5" customHeight="1">
      <c r="A361" s="134" t="s">
        <v>160</v>
      </c>
      <c r="B361" s="135">
        <v>20</v>
      </c>
      <c r="C361" s="136">
        <v>46157</v>
      </c>
      <c r="D361" s="137" t="s">
        <v>147</v>
      </c>
      <c r="E361" s="721" t="s">
        <v>183</v>
      </c>
      <c r="F361" s="721" t="s">
        <v>209</v>
      </c>
      <c r="G361" s="721" t="s">
        <v>63</v>
      </c>
      <c r="H361" s="721">
        <v>5327224</v>
      </c>
      <c r="I361" s="139" t="s">
        <v>671</v>
      </c>
      <c r="J361" s="721">
        <v>6</v>
      </c>
      <c r="K361" s="1165"/>
      <c r="L361" s="1165"/>
      <c r="M361" s="1165"/>
      <c r="N361" s="1205"/>
      <c r="O361" s="1165"/>
      <c r="P361" s="1165"/>
      <c r="Q361" s="1165"/>
      <c r="R361" s="1165"/>
      <c r="S361" s="1165"/>
      <c r="T361" s="1165"/>
      <c r="U361" s="1165"/>
      <c r="V361" s="1165"/>
      <c r="W361" s="1167"/>
    </row>
    <row r="362" spans="1:23" customFormat="1" ht="16.5" customHeight="1">
      <c r="A362" s="134" t="s">
        <v>160</v>
      </c>
      <c r="B362" s="135">
        <v>20</v>
      </c>
      <c r="C362" s="136">
        <v>46157</v>
      </c>
      <c r="D362" s="137" t="s">
        <v>147</v>
      </c>
      <c r="E362" s="721" t="s">
        <v>183</v>
      </c>
      <c r="F362" s="721" t="s">
        <v>188</v>
      </c>
      <c r="G362" s="721" t="s">
        <v>36</v>
      </c>
      <c r="H362" s="721">
        <v>5476623</v>
      </c>
      <c r="I362" s="727" t="s">
        <v>672</v>
      </c>
      <c r="J362" s="721">
        <v>2</v>
      </c>
      <c r="K362" s="1200">
        <v>1</v>
      </c>
      <c r="L362" s="1200"/>
      <c r="M362" s="1200">
        <v>0</v>
      </c>
      <c r="N362" s="1200" t="s">
        <v>149</v>
      </c>
      <c r="O362" s="1200"/>
      <c r="P362" s="1200"/>
      <c r="Q362" s="1200"/>
      <c r="R362" s="1200"/>
      <c r="S362" s="1200"/>
      <c r="T362" s="1200"/>
      <c r="U362" s="1200"/>
      <c r="V362" s="1200"/>
      <c r="W362" s="1202"/>
    </row>
    <row r="363" spans="1:23" customFormat="1" ht="16.5" customHeight="1" thickBot="1">
      <c r="A363" s="733" t="s">
        <v>160</v>
      </c>
      <c r="B363" s="734">
        <v>20</v>
      </c>
      <c r="C363" s="735">
        <v>46157</v>
      </c>
      <c r="D363" s="736" t="s">
        <v>147</v>
      </c>
      <c r="E363" s="737" t="s">
        <v>183</v>
      </c>
      <c r="F363" s="737" t="s">
        <v>188</v>
      </c>
      <c r="G363" s="737" t="s">
        <v>28</v>
      </c>
      <c r="H363" s="737">
        <v>5476622</v>
      </c>
      <c r="I363" s="738" t="s">
        <v>672</v>
      </c>
      <c r="J363" s="737">
        <v>1</v>
      </c>
      <c r="K363" s="1150"/>
      <c r="L363" s="1150"/>
      <c r="M363" s="1150"/>
      <c r="N363" s="1150"/>
      <c r="O363" s="1150"/>
      <c r="P363" s="1150"/>
      <c r="Q363" s="1150"/>
      <c r="R363" s="1150"/>
      <c r="S363" s="1150"/>
      <c r="T363" s="1150"/>
      <c r="U363" s="1150"/>
      <c r="V363" s="1150"/>
      <c r="W363" s="1151"/>
    </row>
    <row r="364" spans="1:23" customFormat="1" ht="16.5" customHeight="1">
      <c r="A364" s="63" t="s">
        <v>160</v>
      </c>
      <c r="B364" s="64">
        <v>20</v>
      </c>
      <c r="C364" s="65">
        <v>46158</v>
      </c>
      <c r="D364" s="66" t="s">
        <v>145</v>
      </c>
      <c r="E364" s="728" t="s">
        <v>50</v>
      </c>
      <c r="F364" s="728" t="s">
        <v>233</v>
      </c>
      <c r="G364" s="728" t="s">
        <v>36</v>
      </c>
      <c r="H364" s="728">
        <v>5463835</v>
      </c>
      <c r="I364" s="163">
        <v>1110163162</v>
      </c>
      <c r="J364" s="728">
        <v>22</v>
      </c>
      <c r="K364" s="1142">
        <v>1</v>
      </c>
      <c r="L364" s="1142">
        <v>5</v>
      </c>
      <c r="M364" s="1142">
        <v>1</v>
      </c>
      <c r="N364" s="1142" t="s">
        <v>149</v>
      </c>
      <c r="O364" s="1142" t="s">
        <v>46</v>
      </c>
      <c r="P364" s="1142" t="s">
        <v>47</v>
      </c>
      <c r="Q364" s="1142" t="s">
        <v>685</v>
      </c>
      <c r="R364" s="1142" t="s">
        <v>31</v>
      </c>
      <c r="S364" s="1142" t="s">
        <v>184</v>
      </c>
      <c r="T364" s="1142" t="s">
        <v>185</v>
      </c>
      <c r="U364" s="1142"/>
      <c r="V364" s="1142" t="s">
        <v>149</v>
      </c>
      <c r="W364" s="1153">
        <v>1</v>
      </c>
    </row>
    <row r="365" spans="1:23" customFormat="1" ht="16.5" customHeight="1">
      <c r="A365" s="134" t="s">
        <v>160</v>
      </c>
      <c r="B365" s="135">
        <v>20</v>
      </c>
      <c r="C365" s="136">
        <v>46158</v>
      </c>
      <c r="D365" s="137" t="s">
        <v>145</v>
      </c>
      <c r="E365" s="729" t="s">
        <v>50</v>
      </c>
      <c r="F365" s="729" t="s">
        <v>233</v>
      </c>
      <c r="G365" s="729" t="s">
        <v>36</v>
      </c>
      <c r="H365" s="729">
        <v>5463835</v>
      </c>
      <c r="I365" s="139">
        <v>1110163163</v>
      </c>
      <c r="J365" s="729">
        <v>3</v>
      </c>
      <c r="K365" s="1143"/>
      <c r="L365" s="1143"/>
      <c r="M365" s="1143"/>
      <c r="N365" s="1143"/>
      <c r="O365" s="1143"/>
      <c r="P365" s="1143"/>
      <c r="Q365" s="1143"/>
      <c r="R365" s="1143"/>
      <c r="S365" s="1143"/>
      <c r="T365" s="1143"/>
      <c r="U365" s="1143"/>
      <c r="V365" s="1143"/>
      <c r="W365" s="1145"/>
    </row>
    <row r="366" spans="1:23" customFormat="1" ht="16.5" customHeight="1">
      <c r="A366" s="134" t="s">
        <v>160</v>
      </c>
      <c r="B366" s="135">
        <v>20</v>
      </c>
      <c r="C366" s="136">
        <v>46158</v>
      </c>
      <c r="D366" s="137" t="s">
        <v>145</v>
      </c>
      <c r="E366" s="729" t="s">
        <v>50</v>
      </c>
      <c r="F366" s="729" t="s">
        <v>233</v>
      </c>
      <c r="G366" s="729" t="s">
        <v>28</v>
      </c>
      <c r="H366" s="729">
        <v>5463834</v>
      </c>
      <c r="I366" s="139">
        <v>4521566268</v>
      </c>
      <c r="J366" s="729">
        <v>11</v>
      </c>
      <c r="K366" s="1143"/>
      <c r="L366" s="1143"/>
      <c r="M366" s="1143"/>
      <c r="N366" s="1143"/>
      <c r="O366" s="1143"/>
      <c r="P366" s="1143"/>
      <c r="Q366" s="1143"/>
      <c r="R366" s="1143"/>
      <c r="S366" s="1143"/>
      <c r="T366" s="1143"/>
      <c r="U366" s="1143"/>
      <c r="V366" s="1143"/>
      <c r="W366" s="1145"/>
    </row>
    <row r="367" spans="1:23" customFormat="1" ht="16.5" customHeight="1">
      <c r="A367" s="134" t="s">
        <v>160</v>
      </c>
      <c r="B367" s="135">
        <v>20</v>
      </c>
      <c r="C367" s="136">
        <v>46158</v>
      </c>
      <c r="D367" s="137" t="s">
        <v>145</v>
      </c>
      <c r="E367" s="729" t="s">
        <v>50</v>
      </c>
      <c r="F367" s="729" t="s">
        <v>233</v>
      </c>
      <c r="G367" s="729" t="s">
        <v>32</v>
      </c>
      <c r="H367" s="729">
        <v>5463833</v>
      </c>
      <c r="I367" s="139">
        <v>4521566268</v>
      </c>
      <c r="J367" s="729">
        <v>24</v>
      </c>
      <c r="K367" s="1143"/>
      <c r="L367" s="1143"/>
      <c r="M367" s="1143"/>
      <c r="N367" s="1143"/>
      <c r="O367" s="1143"/>
      <c r="P367" s="1143"/>
      <c r="Q367" s="1143"/>
      <c r="R367" s="1143"/>
      <c r="S367" s="1143"/>
      <c r="T367" s="1143"/>
      <c r="U367" s="1143"/>
      <c r="V367" s="1143"/>
      <c r="W367" s="1145"/>
    </row>
    <row r="368" spans="1:23" customFormat="1" ht="16.5" customHeight="1">
      <c r="A368" s="134" t="s">
        <v>160</v>
      </c>
      <c r="B368" s="135">
        <v>20</v>
      </c>
      <c r="C368" s="136">
        <v>46158</v>
      </c>
      <c r="D368" s="137" t="s">
        <v>145</v>
      </c>
      <c r="E368" s="729" t="s">
        <v>50</v>
      </c>
      <c r="F368" s="729" t="s">
        <v>233</v>
      </c>
      <c r="G368" s="729" t="s">
        <v>32</v>
      </c>
      <c r="H368" s="729">
        <v>5463833</v>
      </c>
      <c r="I368" s="139">
        <v>1110163161</v>
      </c>
      <c r="J368" s="729">
        <v>3</v>
      </c>
      <c r="K368" s="1143"/>
      <c r="L368" s="1143"/>
      <c r="M368" s="1143"/>
      <c r="N368" s="1143"/>
      <c r="O368" s="1143"/>
      <c r="P368" s="1143"/>
      <c r="Q368" s="1143"/>
      <c r="R368" s="1143"/>
      <c r="S368" s="1143"/>
      <c r="T368" s="1143"/>
      <c r="U368" s="1143"/>
      <c r="V368" s="1143"/>
      <c r="W368" s="1145"/>
    </row>
    <row r="369" spans="1:23" customFormat="1" ht="16.5" customHeight="1">
      <c r="A369" s="134" t="s">
        <v>160</v>
      </c>
      <c r="B369" s="135">
        <v>20</v>
      </c>
      <c r="C369" s="136">
        <v>46158</v>
      </c>
      <c r="D369" s="137" t="s">
        <v>145</v>
      </c>
      <c r="E369" s="729" t="s">
        <v>50</v>
      </c>
      <c r="F369" s="729" t="s">
        <v>258</v>
      </c>
      <c r="G369" s="729" t="s">
        <v>36</v>
      </c>
      <c r="H369" s="139">
        <v>5797097</v>
      </c>
      <c r="I369" s="729">
        <v>4523752394</v>
      </c>
      <c r="J369" s="729">
        <v>12</v>
      </c>
      <c r="K369" s="1143"/>
      <c r="L369" s="1143"/>
      <c r="M369" s="1143"/>
      <c r="N369" s="1143"/>
      <c r="O369" s="1143"/>
      <c r="P369" s="1143"/>
      <c r="Q369" s="1143"/>
      <c r="R369" s="1143"/>
      <c r="S369" s="1143"/>
      <c r="T369" s="1143"/>
      <c r="U369" s="1143"/>
      <c r="V369" s="1143"/>
      <c r="W369" s="1145"/>
    </row>
    <row r="370" spans="1:23" customFormat="1" ht="16.5" customHeight="1">
      <c r="A370" s="134" t="s">
        <v>160</v>
      </c>
      <c r="B370" s="135">
        <v>20</v>
      </c>
      <c r="C370" s="136">
        <v>46158</v>
      </c>
      <c r="D370" s="137" t="s">
        <v>145</v>
      </c>
      <c r="E370" s="729" t="s">
        <v>50</v>
      </c>
      <c r="F370" s="729" t="s">
        <v>258</v>
      </c>
      <c r="G370" s="729" t="s">
        <v>36</v>
      </c>
      <c r="H370" s="139">
        <v>5797097</v>
      </c>
      <c r="I370" s="729">
        <v>4523778424</v>
      </c>
      <c r="J370" s="729">
        <v>8</v>
      </c>
      <c r="K370" s="1143"/>
      <c r="L370" s="1143"/>
      <c r="M370" s="1143"/>
      <c r="N370" s="1143"/>
      <c r="O370" s="1143"/>
      <c r="P370" s="1143"/>
      <c r="Q370" s="1143"/>
      <c r="R370" s="1143"/>
      <c r="S370" s="1143"/>
      <c r="T370" s="1143"/>
      <c r="U370" s="1143"/>
      <c r="V370" s="1143"/>
      <c r="W370" s="1145"/>
    </row>
    <row r="371" spans="1:23" customFormat="1" ht="16.5" customHeight="1">
      <c r="A371" s="134" t="s">
        <v>160</v>
      </c>
      <c r="B371" s="135">
        <v>20</v>
      </c>
      <c r="C371" s="136">
        <v>46158</v>
      </c>
      <c r="D371" s="137" t="s">
        <v>145</v>
      </c>
      <c r="E371" s="729" t="s">
        <v>50</v>
      </c>
      <c r="F371" s="729" t="s">
        <v>258</v>
      </c>
      <c r="G371" s="729" t="s">
        <v>28</v>
      </c>
      <c r="H371" s="139">
        <v>5797096</v>
      </c>
      <c r="I371" s="729">
        <v>4523752394</v>
      </c>
      <c r="J371" s="729">
        <v>20</v>
      </c>
      <c r="K371" s="1143"/>
      <c r="L371" s="1143"/>
      <c r="M371" s="1143"/>
      <c r="N371" s="1143"/>
      <c r="O371" s="1143"/>
      <c r="P371" s="1143"/>
      <c r="Q371" s="1143"/>
      <c r="R371" s="1143"/>
      <c r="S371" s="1143"/>
      <c r="T371" s="1143"/>
      <c r="U371" s="1143"/>
      <c r="V371" s="1143"/>
      <c r="W371" s="1145"/>
    </row>
    <row r="372" spans="1:23" customFormat="1" ht="16.5" customHeight="1">
      <c r="A372" s="134" t="s">
        <v>160</v>
      </c>
      <c r="B372" s="135">
        <v>20</v>
      </c>
      <c r="C372" s="136">
        <v>46158</v>
      </c>
      <c r="D372" s="137" t="s">
        <v>145</v>
      </c>
      <c r="E372" s="729" t="s">
        <v>50</v>
      </c>
      <c r="F372" s="729" t="s">
        <v>258</v>
      </c>
      <c r="G372" s="729" t="s">
        <v>28</v>
      </c>
      <c r="H372" s="139">
        <v>5797096</v>
      </c>
      <c r="I372" s="729">
        <v>4523778424</v>
      </c>
      <c r="J372" s="729">
        <v>4</v>
      </c>
      <c r="K372" s="1143"/>
      <c r="L372" s="1143"/>
      <c r="M372" s="1143"/>
      <c r="N372" s="1143"/>
      <c r="O372" s="1143"/>
      <c r="P372" s="1143"/>
      <c r="Q372" s="1143"/>
      <c r="R372" s="1143"/>
      <c r="S372" s="1143"/>
      <c r="T372" s="1143"/>
      <c r="U372" s="1143"/>
      <c r="V372" s="1143"/>
      <c r="W372" s="1145"/>
    </row>
    <row r="373" spans="1:23" customFormat="1" ht="16.5" customHeight="1">
      <c r="A373" s="134" t="s">
        <v>160</v>
      </c>
      <c r="B373" s="135">
        <v>20</v>
      </c>
      <c r="C373" s="136">
        <v>46158</v>
      </c>
      <c r="D373" s="137" t="s">
        <v>145</v>
      </c>
      <c r="E373" s="729" t="s">
        <v>50</v>
      </c>
      <c r="F373" s="729" t="s">
        <v>258</v>
      </c>
      <c r="G373" s="729" t="s">
        <v>32</v>
      </c>
      <c r="H373" s="139">
        <v>5797095</v>
      </c>
      <c r="I373" s="729">
        <v>4523752394</v>
      </c>
      <c r="J373" s="729">
        <v>20</v>
      </c>
      <c r="K373" s="1143"/>
      <c r="L373" s="1143"/>
      <c r="M373" s="1143"/>
      <c r="N373" s="1143"/>
      <c r="O373" s="1143"/>
      <c r="P373" s="1143"/>
      <c r="Q373" s="1143"/>
      <c r="R373" s="1143"/>
      <c r="S373" s="1143"/>
      <c r="T373" s="1143"/>
      <c r="U373" s="1143"/>
      <c r="V373" s="1143"/>
      <c r="W373" s="1145"/>
    </row>
    <row r="374" spans="1:23" customFormat="1" ht="16.5" customHeight="1">
      <c r="A374" s="134" t="s">
        <v>160</v>
      </c>
      <c r="B374" s="135">
        <v>20</v>
      </c>
      <c r="C374" s="136">
        <v>46158</v>
      </c>
      <c r="D374" s="137" t="s">
        <v>145</v>
      </c>
      <c r="E374" s="729" t="s">
        <v>50</v>
      </c>
      <c r="F374" s="729" t="s">
        <v>258</v>
      </c>
      <c r="G374" s="729" t="s">
        <v>32</v>
      </c>
      <c r="H374" s="139">
        <v>5797095</v>
      </c>
      <c r="I374" s="729">
        <v>4523778424</v>
      </c>
      <c r="J374" s="729">
        <v>4</v>
      </c>
      <c r="K374" s="1143"/>
      <c r="L374" s="1143"/>
      <c r="M374" s="1143"/>
      <c r="N374" s="1143"/>
      <c r="O374" s="1143"/>
      <c r="P374" s="1143"/>
      <c r="Q374" s="1143"/>
      <c r="R374" s="1143"/>
      <c r="S374" s="1143"/>
      <c r="T374" s="1143"/>
      <c r="U374" s="1143"/>
      <c r="V374" s="1143"/>
      <c r="W374" s="1145"/>
    </row>
    <row r="375" spans="1:23" customFormat="1" ht="16.5" customHeight="1" thickBot="1">
      <c r="A375" s="116" t="s">
        <v>160</v>
      </c>
      <c r="B375" s="141">
        <v>20</v>
      </c>
      <c r="C375" s="142">
        <v>46158</v>
      </c>
      <c r="D375" s="143" t="s">
        <v>142</v>
      </c>
      <c r="E375" s="730" t="s">
        <v>386</v>
      </c>
      <c r="F375" s="730" t="s">
        <v>274</v>
      </c>
      <c r="G375" s="730" t="s">
        <v>28</v>
      </c>
      <c r="H375" s="145">
        <v>5535130</v>
      </c>
      <c r="I375" s="730" t="s">
        <v>677</v>
      </c>
      <c r="J375" s="730">
        <v>100</v>
      </c>
      <c r="K375" s="730">
        <v>1</v>
      </c>
      <c r="L375" s="730">
        <v>2</v>
      </c>
      <c r="M375" s="730">
        <v>26</v>
      </c>
      <c r="N375" s="749" t="s">
        <v>187</v>
      </c>
      <c r="O375" s="730" t="s">
        <v>67</v>
      </c>
      <c r="P375" s="730" t="s">
        <v>62</v>
      </c>
      <c r="Q375" s="730" t="s">
        <v>962</v>
      </c>
      <c r="R375" s="730" t="s">
        <v>58</v>
      </c>
      <c r="S375" s="730" t="s">
        <v>676</v>
      </c>
      <c r="T375" s="730" t="s">
        <v>185</v>
      </c>
      <c r="U375" s="750" t="s">
        <v>691</v>
      </c>
      <c r="V375" s="730" t="s">
        <v>149</v>
      </c>
      <c r="W375" s="732">
        <v>26</v>
      </c>
    </row>
    <row r="376" spans="1:23" customFormat="1" ht="16.5" customHeight="1">
      <c r="A376" s="63" t="s">
        <v>160</v>
      </c>
      <c r="B376" s="64">
        <v>21</v>
      </c>
      <c r="C376" s="65">
        <v>46160</v>
      </c>
      <c r="D376" s="66" t="s">
        <v>142</v>
      </c>
      <c r="E376" s="742" t="s">
        <v>386</v>
      </c>
      <c r="F376" s="742" t="s">
        <v>274</v>
      </c>
      <c r="G376" s="742" t="s">
        <v>28</v>
      </c>
      <c r="H376" s="163">
        <v>5535130</v>
      </c>
      <c r="I376" s="742" t="s">
        <v>677</v>
      </c>
      <c r="J376" s="742">
        <v>100</v>
      </c>
      <c r="K376" s="1194">
        <v>1</v>
      </c>
      <c r="L376" s="1194">
        <v>5</v>
      </c>
      <c r="M376" s="1194">
        <v>1</v>
      </c>
      <c r="N376" s="1194" t="s">
        <v>149</v>
      </c>
      <c r="O376" s="1194" t="s">
        <v>39</v>
      </c>
      <c r="P376" s="1194" t="s">
        <v>40</v>
      </c>
      <c r="Q376" s="1194" t="s">
        <v>316</v>
      </c>
      <c r="R376" s="1194" t="s">
        <v>31</v>
      </c>
      <c r="S376" s="1194" t="s">
        <v>184</v>
      </c>
      <c r="T376" s="1194" t="s">
        <v>185</v>
      </c>
      <c r="U376" s="1194"/>
      <c r="V376" s="1194" t="s">
        <v>149</v>
      </c>
      <c r="W376" s="1195">
        <v>1</v>
      </c>
    </row>
    <row r="377" spans="1:23" customFormat="1" ht="16.5" customHeight="1">
      <c r="A377" s="134" t="s">
        <v>160</v>
      </c>
      <c r="B377" s="135">
        <v>21</v>
      </c>
      <c r="C377" s="136">
        <v>46160</v>
      </c>
      <c r="D377" s="137" t="s">
        <v>142</v>
      </c>
      <c r="E377" s="739" t="s">
        <v>386</v>
      </c>
      <c r="F377" s="739" t="s">
        <v>274</v>
      </c>
      <c r="G377" s="739" t="s">
        <v>28</v>
      </c>
      <c r="H377" s="139">
        <v>5535130</v>
      </c>
      <c r="I377" s="739" t="s">
        <v>678</v>
      </c>
      <c r="J377" s="739">
        <v>100</v>
      </c>
      <c r="K377" s="1150"/>
      <c r="L377" s="1150"/>
      <c r="M377" s="1150"/>
      <c r="N377" s="1150"/>
      <c r="O377" s="1150"/>
      <c r="P377" s="1150"/>
      <c r="Q377" s="1150"/>
      <c r="R377" s="1150"/>
      <c r="S377" s="1150"/>
      <c r="T377" s="1150"/>
      <c r="U377" s="1150"/>
      <c r="V377" s="1150"/>
      <c r="W377" s="1151"/>
    </row>
    <row r="378" spans="1:23" customFormat="1" ht="16.5" customHeight="1" thickBot="1">
      <c r="A378" s="753" t="s">
        <v>160</v>
      </c>
      <c r="B378" s="754">
        <v>21</v>
      </c>
      <c r="C378" s="755">
        <v>46160</v>
      </c>
      <c r="D378" s="756" t="s">
        <v>142</v>
      </c>
      <c r="E378" s="757" t="s">
        <v>386</v>
      </c>
      <c r="F378" s="757" t="s">
        <v>274</v>
      </c>
      <c r="G378" s="757" t="s">
        <v>32</v>
      </c>
      <c r="H378" s="758">
        <v>5535129</v>
      </c>
      <c r="I378" s="757" t="s">
        <v>686</v>
      </c>
      <c r="J378" s="757">
        <v>100</v>
      </c>
      <c r="K378" s="1150"/>
      <c r="L378" s="1150"/>
      <c r="M378" s="1150"/>
      <c r="N378" s="1150"/>
      <c r="O378" s="1150"/>
      <c r="P378" s="1150"/>
      <c r="Q378" s="1150"/>
      <c r="R378" s="1150"/>
      <c r="S378" s="1150"/>
      <c r="T378" s="1150"/>
      <c r="U378" s="1150"/>
      <c r="V378" s="1150"/>
      <c r="W378" s="1151"/>
    </row>
    <row r="379" spans="1:23" customFormat="1" ht="16.5" customHeight="1">
      <c r="A379" s="63" t="s">
        <v>160</v>
      </c>
      <c r="B379" s="64">
        <v>21</v>
      </c>
      <c r="C379" s="65">
        <v>46161</v>
      </c>
      <c r="D379" s="66" t="s">
        <v>142</v>
      </c>
      <c r="E379" s="742" t="s">
        <v>386</v>
      </c>
      <c r="F379" s="742" t="s">
        <v>274</v>
      </c>
      <c r="G379" s="742" t="s">
        <v>32</v>
      </c>
      <c r="H379" s="163">
        <v>5535129</v>
      </c>
      <c r="I379" s="742" t="s">
        <v>686</v>
      </c>
      <c r="J379" s="742">
        <v>100</v>
      </c>
      <c r="K379" s="742">
        <v>1</v>
      </c>
      <c r="L379" s="742">
        <v>5</v>
      </c>
      <c r="M379" s="742">
        <v>1</v>
      </c>
      <c r="N379" s="742" t="s">
        <v>149</v>
      </c>
      <c r="O379" s="742" t="s">
        <v>39</v>
      </c>
      <c r="P379" s="742" t="s">
        <v>40</v>
      </c>
      <c r="Q379" s="742" t="s">
        <v>316</v>
      </c>
      <c r="R379" s="742" t="s">
        <v>31</v>
      </c>
      <c r="S379" s="742" t="s">
        <v>184</v>
      </c>
      <c r="T379" s="742" t="s">
        <v>185</v>
      </c>
      <c r="U379" s="742"/>
      <c r="V379" s="742" t="s">
        <v>149</v>
      </c>
      <c r="W379" s="741">
        <v>1</v>
      </c>
    </row>
    <row r="380" spans="1:23" customFormat="1" ht="16.5" customHeight="1">
      <c r="A380" s="134" t="s">
        <v>160</v>
      </c>
      <c r="B380" s="135">
        <v>21</v>
      </c>
      <c r="C380" s="136">
        <v>46161</v>
      </c>
      <c r="D380" s="137" t="s">
        <v>142</v>
      </c>
      <c r="E380" s="739" t="s">
        <v>232</v>
      </c>
      <c r="F380" s="739" t="s">
        <v>275</v>
      </c>
      <c r="G380" s="739" t="s">
        <v>37</v>
      </c>
      <c r="H380" s="139">
        <v>5823326</v>
      </c>
      <c r="I380" s="739">
        <v>4523454224</v>
      </c>
      <c r="J380" s="739">
        <v>15</v>
      </c>
      <c r="K380" s="1143">
        <v>1</v>
      </c>
      <c r="L380" s="1143"/>
      <c r="M380" s="1143">
        <v>0</v>
      </c>
      <c r="N380" s="1143" t="s">
        <v>149</v>
      </c>
      <c r="O380" s="1143"/>
      <c r="P380" s="1143"/>
      <c r="Q380" s="1143"/>
      <c r="R380" s="1143"/>
      <c r="S380" s="1143"/>
      <c r="T380" s="1143"/>
      <c r="U380" s="1143"/>
      <c r="V380" s="1143"/>
      <c r="W380" s="1145"/>
    </row>
    <row r="381" spans="1:23" customFormat="1" ht="16.5" customHeight="1">
      <c r="A381" s="134" t="s">
        <v>160</v>
      </c>
      <c r="B381" s="135">
        <v>21</v>
      </c>
      <c r="C381" s="136">
        <v>46161</v>
      </c>
      <c r="D381" s="137" t="s">
        <v>142</v>
      </c>
      <c r="E381" s="739" t="s">
        <v>232</v>
      </c>
      <c r="F381" s="739" t="s">
        <v>275</v>
      </c>
      <c r="G381" s="739" t="s">
        <v>37</v>
      </c>
      <c r="H381" s="139">
        <v>5823326</v>
      </c>
      <c r="I381" s="739">
        <v>4523436660</v>
      </c>
      <c r="J381" s="739">
        <v>15</v>
      </c>
      <c r="K381" s="1143"/>
      <c r="L381" s="1143"/>
      <c r="M381" s="1143"/>
      <c r="N381" s="1143"/>
      <c r="O381" s="1143"/>
      <c r="P381" s="1143"/>
      <c r="Q381" s="1143"/>
      <c r="R381" s="1143"/>
      <c r="S381" s="1143"/>
      <c r="T381" s="1143"/>
      <c r="U381" s="1143"/>
      <c r="V381" s="1143"/>
      <c r="W381" s="1145"/>
    </row>
    <row r="382" spans="1:23" customFormat="1" ht="16.5" customHeight="1">
      <c r="A382" s="134" t="s">
        <v>160</v>
      </c>
      <c r="B382" s="135">
        <v>21</v>
      </c>
      <c r="C382" s="136">
        <v>46161</v>
      </c>
      <c r="D382" s="137" t="s">
        <v>142</v>
      </c>
      <c r="E382" s="739" t="s">
        <v>232</v>
      </c>
      <c r="F382" s="739" t="s">
        <v>275</v>
      </c>
      <c r="G382" s="739" t="s">
        <v>37</v>
      </c>
      <c r="H382" s="139">
        <v>5823326</v>
      </c>
      <c r="I382" s="739">
        <v>4523444050</v>
      </c>
      <c r="J382" s="739">
        <v>15</v>
      </c>
      <c r="K382" s="1143"/>
      <c r="L382" s="1143"/>
      <c r="M382" s="1143"/>
      <c r="N382" s="1143"/>
      <c r="O382" s="1143"/>
      <c r="P382" s="1143"/>
      <c r="Q382" s="1143"/>
      <c r="R382" s="1143"/>
      <c r="S382" s="1143"/>
      <c r="T382" s="1143"/>
      <c r="U382" s="1143"/>
      <c r="V382" s="1143"/>
      <c r="W382" s="1145"/>
    </row>
    <row r="383" spans="1:23" customFormat="1" ht="16.5" customHeight="1">
      <c r="A383" s="134" t="s">
        <v>160</v>
      </c>
      <c r="B383" s="135">
        <v>21</v>
      </c>
      <c r="C383" s="136">
        <v>46161</v>
      </c>
      <c r="D383" s="137" t="s">
        <v>142</v>
      </c>
      <c r="E383" s="739" t="s">
        <v>232</v>
      </c>
      <c r="F383" s="739" t="s">
        <v>267</v>
      </c>
      <c r="G383" s="739" t="s">
        <v>37</v>
      </c>
      <c r="H383" s="139">
        <v>5771962</v>
      </c>
      <c r="I383" s="739" t="s">
        <v>687</v>
      </c>
      <c r="J383" s="739">
        <v>136</v>
      </c>
      <c r="K383" s="1143"/>
      <c r="L383" s="1143"/>
      <c r="M383" s="1143"/>
      <c r="N383" s="1143"/>
      <c r="O383" s="1143"/>
      <c r="P383" s="1143"/>
      <c r="Q383" s="1143"/>
      <c r="R383" s="1143"/>
      <c r="S383" s="1143"/>
      <c r="T383" s="1143"/>
      <c r="U383" s="1143"/>
      <c r="V383" s="1143"/>
      <c r="W383" s="1145"/>
    </row>
    <row r="384" spans="1:23" customFormat="1" ht="16.5" customHeight="1" thickBot="1">
      <c r="A384" s="116" t="s">
        <v>160</v>
      </c>
      <c r="B384" s="141">
        <v>21</v>
      </c>
      <c r="C384" s="142">
        <v>46161</v>
      </c>
      <c r="D384" s="143" t="s">
        <v>142</v>
      </c>
      <c r="E384" s="740" t="s">
        <v>232</v>
      </c>
      <c r="F384" s="740" t="s">
        <v>266</v>
      </c>
      <c r="G384" s="740" t="s">
        <v>37</v>
      </c>
      <c r="H384" s="145">
        <v>5766065</v>
      </c>
      <c r="I384" s="740" t="s">
        <v>688</v>
      </c>
      <c r="J384" s="740">
        <v>150</v>
      </c>
      <c r="K384" s="1156"/>
      <c r="L384" s="1156"/>
      <c r="M384" s="1156"/>
      <c r="N384" s="1156"/>
      <c r="O384" s="1156"/>
      <c r="P384" s="1156"/>
      <c r="Q384" s="1156"/>
      <c r="R384" s="1156"/>
      <c r="S384" s="1156"/>
      <c r="T384" s="1156"/>
      <c r="U384" s="1156"/>
      <c r="V384" s="1156"/>
      <c r="W384" s="1158"/>
    </row>
    <row r="385" spans="1:23" customFormat="1" ht="16.5" customHeight="1">
      <c r="A385" s="63" t="s">
        <v>160</v>
      </c>
      <c r="B385" s="149">
        <v>21</v>
      </c>
      <c r="C385" s="150">
        <v>46162</v>
      </c>
      <c r="D385" s="151" t="s">
        <v>142</v>
      </c>
      <c r="E385" s="762" t="s">
        <v>232</v>
      </c>
      <c r="F385" s="762" t="s">
        <v>266</v>
      </c>
      <c r="G385" s="762" t="s">
        <v>37</v>
      </c>
      <c r="H385" s="153">
        <v>5766065</v>
      </c>
      <c r="I385" s="762" t="s">
        <v>688</v>
      </c>
      <c r="J385" s="1194">
        <v>500</v>
      </c>
      <c r="K385" s="1152">
        <v>1</v>
      </c>
      <c r="L385" s="762">
        <v>5</v>
      </c>
      <c r="M385" s="1152">
        <v>1</v>
      </c>
      <c r="N385" s="762" t="s">
        <v>149</v>
      </c>
      <c r="O385" s="762" t="s">
        <v>39</v>
      </c>
      <c r="P385" s="762" t="s">
        <v>40</v>
      </c>
      <c r="Q385" s="762" t="s">
        <v>316</v>
      </c>
      <c r="R385" s="762" t="s">
        <v>31</v>
      </c>
      <c r="S385" s="762" t="s">
        <v>184</v>
      </c>
      <c r="T385" s="762" t="s">
        <v>185</v>
      </c>
      <c r="U385" s="1152"/>
      <c r="V385" s="1152" t="s">
        <v>149</v>
      </c>
      <c r="W385" s="1153">
        <v>1</v>
      </c>
    </row>
    <row r="386" spans="1:23" customFormat="1" ht="16.5" customHeight="1" thickBot="1">
      <c r="A386" s="116" t="s">
        <v>160</v>
      </c>
      <c r="B386" s="141">
        <v>21</v>
      </c>
      <c r="C386" s="142">
        <v>46162</v>
      </c>
      <c r="D386" s="143" t="s">
        <v>142</v>
      </c>
      <c r="E386" s="760" t="s">
        <v>232</v>
      </c>
      <c r="F386" s="760" t="s">
        <v>266</v>
      </c>
      <c r="G386" s="760" t="s">
        <v>37</v>
      </c>
      <c r="H386" s="145">
        <v>5766065</v>
      </c>
      <c r="I386" s="760" t="s">
        <v>688</v>
      </c>
      <c r="J386" s="1147"/>
      <c r="K386" s="1156"/>
      <c r="L386" s="760">
        <v>5</v>
      </c>
      <c r="M386" s="1156"/>
      <c r="N386" s="760" t="s">
        <v>149</v>
      </c>
      <c r="O386" s="760" t="s">
        <v>29</v>
      </c>
      <c r="P386" s="760" t="s">
        <v>30</v>
      </c>
      <c r="Q386" s="760" t="s">
        <v>395</v>
      </c>
      <c r="R386" s="760" t="s">
        <v>31</v>
      </c>
      <c r="S386" s="760" t="s">
        <v>184</v>
      </c>
      <c r="T386" s="760" t="s">
        <v>185</v>
      </c>
      <c r="U386" s="1156"/>
      <c r="V386" s="1156"/>
      <c r="W386" s="1158"/>
    </row>
    <row r="387" spans="1:23" customFormat="1" ht="16.5" customHeight="1">
      <c r="A387" s="63" t="s">
        <v>160</v>
      </c>
      <c r="B387" s="149">
        <v>21</v>
      </c>
      <c r="C387" s="150">
        <v>46163</v>
      </c>
      <c r="D387" s="151" t="s">
        <v>142</v>
      </c>
      <c r="E387" s="762" t="s">
        <v>232</v>
      </c>
      <c r="F387" s="762" t="s">
        <v>266</v>
      </c>
      <c r="G387" s="762" t="s">
        <v>37</v>
      </c>
      <c r="H387" s="153">
        <v>5766065</v>
      </c>
      <c r="I387" s="762" t="s">
        <v>688</v>
      </c>
      <c r="J387" s="762">
        <v>250</v>
      </c>
      <c r="K387" s="1194">
        <v>1</v>
      </c>
      <c r="L387" s="1194"/>
      <c r="M387" s="1194">
        <v>0</v>
      </c>
      <c r="N387" s="1194" t="s">
        <v>149</v>
      </c>
      <c r="O387" s="1194"/>
      <c r="P387" s="1194"/>
      <c r="Q387" s="1194"/>
      <c r="R387" s="1194"/>
      <c r="S387" s="1194"/>
      <c r="T387" s="1194"/>
      <c r="U387" s="1194"/>
      <c r="V387" s="1194"/>
      <c r="W387" s="1195"/>
    </row>
    <row r="388" spans="1:23" customFormat="1" ht="16.5" customHeight="1">
      <c r="A388" s="134" t="s">
        <v>160</v>
      </c>
      <c r="B388" s="135">
        <v>21</v>
      </c>
      <c r="C388" s="136">
        <v>46163</v>
      </c>
      <c r="D388" s="137" t="s">
        <v>142</v>
      </c>
      <c r="E388" s="759" t="s">
        <v>232</v>
      </c>
      <c r="F388" s="759" t="s">
        <v>266</v>
      </c>
      <c r="G388" s="759" t="s">
        <v>37</v>
      </c>
      <c r="H388" s="139">
        <v>5766065</v>
      </c>
      <c r="I388" s="759" t="s">
        <v>698</v>
      </c>
      <c r="J388" s="759">
        <v>119</v>
      </c>
      <c r="K388" s="1150"/>
      <c r="L388" s="1150"/>
      <c r="M388" s="1150"/>
      <c r="N388" s="1150"/>
      <c r="O388" s="1150"/>
      <c r="P388" s="1150"/>
      <c r="Q388" s="1150"/>
      <c r="R388" s="1150"/>
      <c r="S388" s="1150"/>
      <c r="T388" s="1150"/>
      <c r="U388" s="1150"/>
      <c r="V388" s="1150"/>
      <c r="W388" s="1151"/>
    </row>
    <row r="389" spans="1:23" customFormat="1" ht="16.5" customHeight="1">
      <c r="A389" s="134" t="s">
        <v>160</v>
      </c>
      <c r="B389" s="135">
        <v>21</v>
      </c>
      <c r="C389" s="136">
        <v>46163</v>
      </c>
      <c r="D389" s="137" t="s">
        <v>142</v>
      </c>
      <c r="E389" s="759" t="s">
        <v>232</v>
      </c>
      <c r="F389" s="759" t="s">
        <v>266</v>
      </c>
      <c r="G389" s="759" t="s">
        <v>37</v>
      </c>
      <c r="H389" s="139">
        <v>5766065</v>
      </c>
      <c r="I389" s="759" t="s">
        <v>699</v>
      </c>
      <c r="J389" s="759">
        <v>50</v>
      </c>
      <c r="K389" s="1165"/>
      <c r="L389" s="1165"/>
      <c r="M389" s="1165"/>
      <c r="N389" s="1165"/>
      <c r="O389" s="1165"/>
      <c r="P389" s="1165"/>
      <c r="Q389" s="1165"/>
      <c r="R389" s="1165"/>
      <c r="S389" s="1165"/>
      <c r="T389" s="1165"/>
      <c r="U389" s="1165"/>
      <c r="V389" s="1165"/>
      <c r="W389" s="1167"/>
    </row>
    <row r="390" spans="1:23" customFormat="1" ht="16.5" customHeight="1" thickBot="1">
      <c r="A390" s="116" t="s">
        <v>160</v>
      </c>
      <c r="B390" s="141">
        <v>21</v>
      </c>
      <c r="C390" s="142">
        <v>46163</v>
      </c>
      <c r="D390" s="143" t="s">
        <v>142</v>
      </c>
      <c r="E390" s="760" t="s">
        <v>232</v>
      </c>
      <c r="F390" s="760" t="s">
        <v>268</v>
      </c>
      <c r="G390" s="760" t="s">
        <v>176</v>
      </c>
      <c r="H390" s="145">
        <v>5771802</v>
      </c>
      <c r="I390" s="760" t="s">
        <v>700</v>
      </c>
      <c r="J390" s="760">
        <v>150</v>
      </c>
      <c r="K390" s="760">
        <v>1</v>
      </c>
      <c r="L390" s="760"/>
      <c r="M390" s="760">
        <v>0</v>
      </c>
      <c r="N390" s="760" t="s">
        <v>149</v>
      </c>
      <c r="O390" s="760"/>
      <c r="P390" s="760"/>
      <c r="Q390" s="760"/>
      <c r="R390" s="760"/>
      <c r="S390" s="760"/>
      <c r="T390" s="760"/>
      <c r="U390" s="760"/>
      <c r="V390" s="760"/>
      <c r="W390" s="761"/>
    </row>
    <row r="391" spans="1:23" customFormat="1" ht="16.5" customHeight="1">
      <c r="A391" s="63" t="s">
        <v>160</v>
      </c>
      <c r="B391" s="64">
        <v>21</v>
      </c>
      <c r="C391" s="65">
        <v>46164</v>
      </c>
      <c r="D391" s="66" t="s">
        <v>142</v>
      </c>
      <c r="E391" s="764" t="s">
        <v>232</v>
      </c>
      <c r="F391" s="764" t="s">
        <v>268</v>
      </c>
      <c r="G391" s="764" t="s">
        <v>176</v>
      </c>
      <c r="H391" s="163">
        <v>5771802</v>
      </c>
      <c r="I391" s="764" t="s">
        <v>700</v>
      </c>
      <c r="J391" s="764">
        <v>306</v>
      </c>
      <c r="K391" s="1198">
        <v>1</v>
      </c>
      <c r="L391" s="1198">
        <v>5</v>
      </c>
      <c r="M391" s="1198">
        <v>1</v>
      </c>
      <c r="N391" s="1198" t="s">
        <v>149</v>
      </c>
      <c r="O391" s="1198" t="s">
        <v>46</v>
      </c>
      <c r="P391" s="1198" t="s">
        <v>104</v>
      </c>
      <c r="Q391" s="1198" t="s">
        <v>705</v>
      </c>
      <c r="R391" s="1198" t="s">
        <v>31</v>
      </c>
      <c r="S391" s="1198" t="s">
        <v>184</v>
      </c>
      <c r="T391" s="1198" t="s">
        <v>185</v>
      </c>
      <c r="U391" s="1198"/>
      <c r="V391" s="1198" t="s">
        <v>149</v>
      </c>
      <c r="W391" s="1197">
        <v>1</v>
      </c>
    </row>
    <row r="392" spans="1:23" customFormat="1" ht="16.5" customHeight="1">
      <c r="A392" s="134" t="s">
        <v>160</v>
      </c>
      <c r="B392" s="135">
        <v>21</v>
      </c>
      <c r="C392" s="136">
        <v>46164</v>
      </c>
      <c r="D392" s="137" t="s">
        <v>142</v>
      </c>
      <c r="E392" s="763" t="s">
        <v>232</v>
      </c>
      <c r="F392" s="763" t="s">
        <v>269</v>
      </c>
      <c r="G392" s="763" t="s">
        <v>176</v>
      </c>
      <c r="H392" s="139">
        <v>5773217</v>
      </c>
      <c r="I392" s="763" t="s">
        <v>701</v>
      </c>
      <c r="J392" s="763">
        <v>42</v>
      </c>
      <c r="K392" s="1150"/>
      <c r="L392" s="1150"/>
      <c r="M392" s="1150"/>
      <c r="N392" s="1150"/>
      <c r="O392" s="1150"/>
      <c r="P392" s="1150"/>
      <c r="Q392" s="1150"/>
      <c r="R392" s="1150"/>
      <c r="S392" s="1150"/>
      <c r="T392" s="1150"/>
      <c r="U392" s="1150"/>
      <c r="V392" s="1150"/>
      <c r="W392" s="1151"/>
    </row>
    <row r="393" spans="1:23" customFormat="1" ht="16.5" customHeight="1" thickBot="1">
      <c r="A393" s="770" t="s">
        <v>160</v>
      </c>
      <c r="B393" s="771">
        <v>21</v>
      </c>
      <c r="C393" s="772">
        <v>46164</v>
      </c>
      <c r="D393" s="773" t="s">
        <v>142</v>
      </c>
      <c r="E393" s="774" t="s">
        <v>232</v>
      </c>
      <c r="F393" s="774" t="s">
        <v>269</v>
      </c>
      <c r="G393" s="774" t="s">
        <v>176</v>
      </c>
      <c r="H393" s="775">
        <v>5773217</v>
      </c>
      <c r="I393" s="774" t="s">
        <v>701</v>
      </c>
      <c r="J393" s="774">
        <v>176</v>
      </c>
      <c r="K393" s="1150"/>
      <c r="L393" s="1150"/>
      <c r="M393" s="1150"/>
      <c r="N393" s="1150"/>
      <c r="O393" s="1150"/>
      <c r="P393" s="1150"/>
      <c r="Q393" s="1150"/>
      <c r="R393" s="1150"/>
      <c r="S393" s="1150"/>
      <c r="T393" s="1150"/>
      <c r="U393" s="1150"/>
      <c r="V393" s="1150"/>
      <c r="W393" s="1151"/>
    </row>
    <row r="394" spans="1:23" customFormat="1" ht="16.5" customHeight="1" thickBot="1">
      <c r="A394" s="67" t="s">
        <v>160</v>
      </c>
      <c r="B394" s="68">
        <v>21</v>
      </c>
      <c r="C394" s="69">
        <v>46165</v>
      </c>
      <c r="D394" s="70" t="s">
        <v>142</v>
      </c>
      <c r="E394" s="71" t="s">
        <v>232</v>
      </c>
      <c r="F394" s="71" t="s">
        <v>266</v>
      </c>
      <c r="G394" s="71" t="s">
        <v>37</v>
      </c>
      <c r="H394" s="88">
        <v>5766065</v>
      </c>
      <c r="I394" s="71" t="s">
        <v>699</v>
      </c>
      <c r="J394" s="71">
        <v>350</v>
      </c>
      <c r="K394" s="71">
        <v>1</v>
      </c>
      <c r="L394" s="71">
        <v>5</v>
      </c>
      <c r="M394" s="71">
        <v>1</v>
      </c>
      <c r="N394" s="71" t="s">
        <v>149</v>
      </c>
      <c r="O394" s="71" t="s">
        <v>61</v>
      </c>
      <c r="P394" s="71" t="s">
        <v>62</v>
      </c>
      <c r="Q394" s="71" t="s">
        <v>452</v>
      </c>
      <c r="R394" s="71" t="s">
        <v>31</v>
      </c>
      <c r="S394" s="71" t="s">
        <v>184</v>
      </c>
      <c r="T394" s="71" t="s">
        <v>185</v>
      </c>
      <c r="U394" s="71"/>
      <c r="V394" s="71" t="s">
        <v>149</v>
      </c>
      <c r="W394" s="72">
        <v>1</v>
      </c>
    </row>
    <row r="395" spans="1:23" customFormat="1" ht="16.5" customHeight="1">
      <c r="A395" s="63" t="s">
        <v>160</v>
      </c>
      <c r="B395" s="149">
        <v>22</v>
      </c>
      <c r="C395" s="150">
        <v>46167</v>
      </c>
      <c r="D395" s="151" t="s">
        <v>142</v>
      </c>
      <c r="E395" s="765" t="s">
        <v>387</v>
      </c>
      <c r="F395" s="765" t="s">
        <v>282</v>
      </c>
      <c r="G395" s="765" t="s">
        <v>52</v>
      </c>
      <c r="H395" s="153">
        <v>5535143</v>
      </c>
      <c r="I395" s="765" t="s">
        <v>621</v>
      </c>
      <c r="J395" s="765">
        <v>1</v>
      </c>
      <c r="K395" s="1198">
        <v>1</v>
      </c>
      <c r="L395" s="1198">
        <v>5</v>
      </c>
      <c r="M395" s="1198">
        <v>1</v>
      </c>
      <c r="N395" s="1198" t="s">
        <v>149</v>
      </c>
      <c r="O395" s="1198" t="s">
        <v>61</v>
      </c>
      <c r="P395" s="1198" t="s">
        <v>62</v>
      </c>
      <c r="Q395" s="1198" t="s">
        <v>579</v>
      </c>
      <c r="R395" s="1198" t="s">
        <v>31</v>
      </c>
      <c r="S395" s="1198" t="s">
        <v>184</v>
      </c>
      <c r="T395" s="1198" t="s">
        <v>185</v>
      </c>
      <c r="U395" s="1198"/>
      <c r="V395" s="1198" t="s">
        <v>149</v>
      </c>
      <c r="W395" s="1197">
        <v>1</v>
      </c>
    </row>
    <row r="396" spans="1:23" customFormat="1" ht="16.5" customHeight="1">
      <c r="A396" s="134" t="s">
        <v>160</v>
      </c>
      <c r="B396" s="135">
        <v>22</v>
      </c>
      <c r="C396" s="136">
        <v>46167</v>
      </c>
      <c r="D396" s="137" t="s">
        <v>142</v>
      </c>
      <c r="E396" s="768" t="s">
        <v>387</v>
      </c>
      <c r="F396" s="768" t="s">
        <v>282</v>
      </c>
      <c r="G396" s="768" t="s">
        <v>52</v>
      </c>
      <c r="H396" s="139">
        <v>5535143</v>
      </c>
      <c r="I396" s="768" t="s">
        <v>702</v>
      </c>
      <c r="J396" s="768">
        <v>8</v>
      </c>
      <c r="K396" s="1150"/>
      <c r="L396" s="1150"/>
      <c r="M396" s="1150"/>
      <c r="N396" s="1150"/>
      <c r="O396" s="1150"/>
      <c r="P396" s="1150"/>
      <c r="Q396" s="1150"/>
      <c r="R396" s="1150"/>
      <c r="S396" s="1150"/>
      <c r="T396" s="1150"/>
      <c r="U396" s="1150"/>
      <c r="V396" s="1150"/>
      <c r="W396" s="1151"/>
    </row>
    <row r="397" spans="1:23" customFormat="1" ht="16.5" customHeight="1">
      <c r="A397" s="134" t="s">
        <v>160</v>
      </c>
      <c r="B397" s="135">
        <v>22</v>
      </c>
      <c r="C397" s="136">
        <v>46167</v>
      </c>
      <c r="D397" s="137" t="s">
        <v>142</v>
      </c>
      <c r="E397" s="768" t="s">
        <v>387</v>
      </c>
      <c r="F397" s="768" t="s">
        <v>282</v>
      </c>
      <c r="G397" s="768" t="s">
        <v>36</v>
      </c>
      <c r="H397" s="139">
        <v>5535142</v>
      </c>
      <c r="I397" s="768" t="s">
        <v>703</v>
      </c>
      <c r="J397" s="768">
        <v>48</v>
      </c>
      <c r="K397" s="1150"/>
      <c r="L397" s="1150"/>
      <c r="M397" s="1150"/>
      <c r="N397" s="1150"/>
      <c r="O397" s="1150"/>
      <c r="P397" s="1150"/>
      <c r="Q397" s="1150"/>
      <c r="R397" s="1150"/>
      <c r="S397" s="1150"/>
      <c r="T397" s="1150"/>
      <c r="U397" s="1150"/>
      <c r="V397" s="1150"/>
      <c r="W397" s="1151"/>
    </row>
    <row r="398" spans="1:23" customFormat="1" ht="16.5" customHeight="1">
      <c r="A398" s="134" t="s">
        <v>160</v>
      </c>
      <c r="B398" s="135">
        <v>22</v>
      </c>
      <c r="C398" s="136">
        <v>46167</v>
      </c>
      <c r="D398" s="137" t="s">
        <v>142</v>
      </c>
      <c r="E398" s="768" t="s">
        <v>387</v>
      </c>
      <c r="F398" s="768" t="s">
        <v>282</v>
      </c>
      <c r="G398" s="768" t="s">
        <v>28</v>
      </c>
      <c r="H398" s="139">
        <v>5535141</v>
      </c>
      <c r="I398" s="768" t="s">
        <v>704</v>
      </c>
      <c r="J398" s="768">
        <v>220</v>
      </c>
      <c r="K398" s="1150"/>
      <c r="L398" s="1150"/>
      <c r="M398" s="1150"/>
      <c r="N398" s="1150"/>
      <c r="O398" s="1150"/>
      <c r="P398" s="1150"/>
      <c r="Q398" s="1150"/>
      <c r="R398" s="1150"/>
      <c r="S398" s="1150"/>
      <c r="T398" s="1150"/>
      <c r="U398" s="1150"/>
      <c r="V398" s="1150"/>
      <c r="W398" s="1151"/>
    </row>
    <row r="399" spans="1:23" customFormat="1" ht="16.5" customHeight="1" thickBot="1">
      <c r="A399" s="794" t="s">
        <v>160</v>
      </c>
      <c r="B399" s="795">
        <v>22</v>
      </c>
      <c r="C399" s="796">
        <v>46167</v>
      </c>
      <c r="D399" s="797" t="s">
        <v>142</v>
      </c>
      <c r="E399" s="798" t="s">
        <v>387</v>
      </c>
      <c r="F399" s="798" t="s">
        <v>282</v>
      </c>
      <c r="G399" s="798" t="s">
        <v>32</v>
      </c>
      <c r="H399" s="799">
        <v>5535140</v>
      </c>
      <c r="I399" s="798" t="s">
        <v>727</v>
      </c>
      <c r="J399" s="798">
        <v>60</v>
      </c>
      <c r="K399" s="1150"/>
      <c r="L399" s="1150"/>
      <c r="M399" s="1150"/>
      <c r="N399" s="1150"/>
      <c r="O399" s="1150"/>
      <c r="P399" s="1150"/>
      <c r="Q399" s="1150"/>
      <c r="R399" s="1150"/>
      <c r="S399" s="1150"/>
      <c r="T399" s="1150"/>
      <c r="U399" s="1150"/>
      <c r="V399" s="1150"/>
      <c r="W399" s="1151"/>
    </row>
    <row r="400" spans="1:23" customFormat="1" ht="16.5" customHeight="1">
      <c r="A400" s="63" t="s">
        <v>160</v>
      </c>
      <c r="B400" s="64">
        <v>22</v>
      </c>
      <c r="C400" s="65">
        <v>46168</v>
      </c>
      <c r="D400" s="66" t="s">
        <v>142</v>
      </c>
      <c r="E400" s="788" t="s">
        <v>387</v>
      </c>
      <c r="F400" s="788" t="s">
        <v>282</v>
      </c>
      <c r="G400" s="788" t="s">
        <v>32</v>
      </c>
      <c r="H400" s="163">
        <v>5535140</v>
      </c>
      <c r="I400" s="788" t="s">
        <v>727</v>
      </c>
      <c r="J400" s="788">
        <v>100</v>
      </c>
      <c r="K400" s="788">
        <v>1</v>
      </c>
      <c r="L400" s="788">
        <v>5</v>
      </c>
      <c r="M400" s="788">
        <v>1</v>
      </c>
      <c r="N400" s="788" t="s">
        <v>149</v>
      </c>
      <c r="O400" s="788" t="s">
        <v>39</v>
      </c>
      <c r="P400" s="788" t="s">
        <v>40</v>
      </c>
      <c r="Q400" s="788" t="s">
        <v>316</v>
      </c>
      <c r="R400" s="788" t="s">
        <v>31</v>
      </c>
      <c r="S400" s="788" t="s">
        <v>184</v>
      </c>
      <c r="T400" s="788" t="s">
        <v>185</v>
      </c>
      <c r="U400" s="788"/>
      <c r="V400" s="788" t="s">
        <v>149</v>
      </c>
      <c r="W400" s="787">
        <v>1</v>
      </c>
    </row>
    <row r="401" spans="1:23" customFormat="1" ht="16.5" customHeight="1">
      <c r="A401" s="134" t="s">
        <v>160</v>
      </c>
      <c r="B401" s="135">
        <v>22</v>
      </c>
      <c r="C401" s="136">
        <v>46168</v>
      </c>
      <c r="D401" s="137" t="s">
        <v>145</v>
      </c>
      <c r="E401" s="789" t="s">
        <v>50</v>
      </c>
      <c r="F401" s="789" t="s">
        <v>258</v>
      </c>
      <c r="G401" s="789" t="s">
        <v>36</v>
      </c>
      <c r="H401" s="139">
        <v>5797097</v>
      </c>
      <c r="I401" s="789">
        <v>4523775509</v>
      </c>
      <c r="J401" s="789">
        <v>12</v>
      </c>
      <c r="K401" s="1143">
        <v>1</v>
      </c>
      <c r="L401" s="1143"/>
      <c r="M401" s="1143">
        <v>0</v>
      </c>
      <c r="N401" s="1143" t="s">
        <v>149</v>
      </c>
      <c r="O401" s="1143"/>
      <c r="P401" s="1143"/>
      <c r="Q401" s="1143"/>
      <c r="R401" s="1143"/>
      <c r="S401" s="1143"/>
      <c r="T401" s="1143"/>
      <c r="U401" s="1143"/>
      <c r="V401" s="1143"/>
      <c r="W401" s="1145"/>
    </row>
    <row r="402" spans="1:23" customFormat="1" ht="16.5" customHeight="1">
      <c r="A402" s="134" t="s">
        <v>160</v>
      </c>
      <c r="B402" s="135">
        <v>22</v>
      </c>
      <c r="C402" s="136">
        <v>46168</v>
      </c>
      <c r="D402" s="137" t="s">
        <v>145</v>
      </c>
      <c r="E402" s="789" t="s">
        <v>50</v>
      </c>
      <c r="F402" s="789" t="s">
        <v>258</v>
      </c>
      <c r="G402" s="789" t="s">
        <v>36</v>
      </c>
      <c r="H402" s="139">
        <v>5797097</v>
      </c>
      <c r="I402" s="789">
        <v>4523795649</v>
      </c>
      <c r="J402" s="789">
        <v>4</v>
      </c>
      <c r="K402" s="1143"/>
      <c r="L402" s="1143"/>
      <c r="M402" s="1143"/>
      <c r="N402" s="1143"/>
      <c r="O402" s="1143"/>
      <c r="P402" s="1143"/>
      <c r="Q402" s="1143"/>
      <c r="R402" s="1143"/>
      <c r="S402" s="1143"/>
      <c r="T402" s="1143"/>
      <c r="U402" s="1143"/>
      <c r="V402" s="1143"/>
      <c r="W402" s="1145"/>
    </row>
    <row r="403" spans="1:23" customFormat="1" ht="16.5" customHeight="1">
      <c r="A403" s="134" t="s">
        <v>160</v>
      </c>
      <c r="B403" s="135">
        <v>22</v>
      </c>
      <c r="C403" s="136">
        <v>46168</v>
      </c>
      <c r="D403" s="137" t="s">
        <v>145</v>
      </c>
      <c r="E403" s="789" t="s">
        <v>50</v>
      </c>
      <c r="F403" s="789" t="s">
        <v>258</v>
      </c>
      <c r="G403" s="789" t="s">
        <v>28</v>
      </c>
      <c r="H403" s="139">
        <v>5797096</v>
      </c>
      <c r="I403" s="789">
        <v>4523775509</v>
      </c>
      <c r="J403" s="789">
        <v>16</v>
      </c>
      <c r="K403" s="1143"/>
      <c r="L403" s="1143"/>
      <c r="M403" s="1143"/>
      <c r="N403" s="1143"/>
      <c r="O403" s="1143"/>
      <c r="P403" s="1143"/>
      <c r="Q403" s="1143"/>
      <c r="R403" s="1143"/>
      <c r="S403" s="1143"/>
      <c r="T403" s="1143"/>
      <c r="U403" s="1143"/>
      <c r="V403" s="1143"/>
      <c r="W403" s="1145"/>
    </row>
    <row r="404" spans="1:23" customFormat="1" ht="16.5" customHeight="1">
      <c r="A404" s="134" t="s">
        <v>160</v>
      </c>
      <c r="B404" s="135">
        <v>22</v>
      </c>
      <c r="C404" s="136">
        <v>46168</v>
      </c>
      <c r="D404" s="137" t="s">
        <v>145</v>
      </c>
      <c r="E404" s="789" t="s">
        <v>50</v>
      </c>
      <c r="F404" s="789" t="s">
        <v>258</v>
      </c>
      <c r="G404" s="789" t="s">
        <v>28</v>
      </c>
      <c r="H404" s="139">
        <v>5797096</v>
      </c>
      <c r="I404" s="789">
        <v>4523795649</v>
      </c>
      <c r="J404" s="789">
        <v>4</v>
      </c>
      <c r="K404" s="1143"/>
      <c r="L404" s="1143"/>
      <c r="M404" s="1143"/>
      <c r="N404" s="1143"/>
      <c r="O404" s="1143"/>
      <c r="P404" s="1143"/>
      <c r="Q404" s="1143"/>
      <c r="R404" s="1143"/>
      <c r="S404" s="1143"/>
      <c r="T404" s="1143"/>
      <c r="U404" s="1143"/>
      <c r="V404" s="1143"/>
      <c r="W404" s="1145"/>
    </row>
    <row r="405" spans="1:23" customFormat="1" ht="16.5" customHeight="1">
      <c r="A405" s="134" t="s">
        <v>160</v>
      </c>
      <c r="B405" s="135">
        <v>22</v>
      </c>
      <c r="C405" s="136">
        <v>46168</v>
      </c>
      <c r="D405" s="137" t="s">
        <v>145</v>
      </c>
      <c r="E405" s="789" t="s">
        <v>50</v>
      </c>
      <c r="F405" s="789" t="s">
        <v>258</v>
      </c>
      <c r="G405" s="789" t="s">
        <v>32</v>
      </c>
      <c r="H405" s="139">
        <v>5797095</v>
      </c>
      <c r="I405" s="789">
        <v>4523775509</v>
      </c>
      <c r="J405" s="789">
        <v>16</v>
      </c>
      <c r="K405" s="1143"/>
      <c r="L405" s="1143"/>
      <c r="M405" s="1143"/>
      <c r="N405" s="1143"/>
      <c r="O405" s="1143"/>
      <c r="P405" s="1143"/>
      <c r="Q405" s="1143"/>
      <c r="R405" s="1143"/>
      <c r="S405" s="1143"/>
      <c r="T405" s="1143"/>
      <c r="U405" s="1143"/>
      <c r="V405" s="1143"/>
      <c r="W405" s="1145"/>
    </row>
    <row r="406" spans="1:23" customFormat="1" ht="16.5" customHeight="1">
      <c r="A406" s="134" t="s">
        <v>160</v>
      </c>
      <c r="B406" s="135">
        <v>22</v>
      </c>
      <c r="C406" s="136">
        <v>46168</v>
      </c>
      <c r="D406" s="137" t="s">
        <v>145</v>
      </c>
      <c r="E406" s="789" t="s">
        <v>50</v>
      </c>
      <c r="F406" s="789" t="s">
        <v>258</v>
      </c>
      <c r="G406" s="789" t="s">
        <v>32</v>
      </c>
      <c r="H406" s="139">
        <v>5797095</v>
      </c>
      <c r="I406" s="789">
        <v>4523795649</v>
      </c>
      <c r="J406" s="789">
        <v>4</v>
      </c>
      <c r="K406" s="1143"/>
      <c r="L406" s="1143"/>
      <c r="M406" s="1143"/>
      <c r="N406" s="1143"/>
      <c r="O406" s="1143"/>
      <c r="P406" s="1143"/>
      <c r="Q406" s="1143"/>
      <c r="R406" s="1143"/>
      <c r="S406" s="1143"/>
      <c r="T406" s="1143"/>
      <c r="U406" s="1143"/>
      <c r="V406" s="1143"/>
      <c r="W406" s="1145"/>
    </row>
    <row r="407" spans="1:23" customFormat="1" ht="16.5" customHeight="1">
      <c r="A407" s="134" t="s">
        <v>160</v>
      </c>
      <c r="B407" s="135">
        <v>22</v>
      </c>
      <c r="C407" s="136">
        <v>46168</v>
      </c>
      <c r="D407" s="137" t="s">
        <v>145</v>
      </c>
      <c r="E407" s="789" t="s">
        <v>50</v>
      </c>
      <c r="F407" s="789" t="s">
        <v>258</v>
      </c>
      <c r="G407" s="789" t="s">
        <v>63</v>
      </c>
      <c r="H407" s="139">
        <v>5797094</v>
      </c>
      <c r="I407" s="789">
        <v>4523775509</v>
      </c>
      <c r="J407" s="789">
        <v>8</v>
      </c>
      <c r="K407" s="1143"/>
      <c r="L407" s="1143"/>
      <c r="M407" s="1143"/>
      <c r="N407" s="1143"/>
      <c r="O407" s="1143"/>
      <c r="P407" s="1143"/>
      <c r="Q407" s="1143"/>
      <c r="R407" s="1143"/>
      <c r="S407" s="1143"/>
      <c r="T407" s="1143"/>
      <c r="U407" s="1143"/>
      <c r="V407" s="1143"/>
      <c r="W407" s="1145"/>
    </row>
    <row r="408" spans="1:23" customFormat="1" ht="16.5" customHeight="1" thickBot="1">
      <c r="A408" s="794" t="s">
        <v>160</v>
      </c>
      <c r="B408" s="795">
        <v>22</v>
      </c>
      <c r="C408" s="796">
        <v>46168</v>
      </c>
      <c r="D408" s="797" t="s">
        <v>142</v>
      </c>
      <c r="E408" s="798" t="s">
        <v>232</v>
      </c>
      <c r="F408" s="798" t="s">
        <v>268</v>
      </c>
      <c r="G408" s="798" t="s">
        <v>176</v>
      </c>
      <c r="H408" s="799">
        <v>5771802</v>
      </c>
      <c r="I408" s="798" t="s">
        <v>728</v>
      </c>
      <c r="J408" s="798">
        <v>160</v>
      </c>
      <c r="K408" s="798">
        <v>1</v>
      </c>
      <c r="L408" s="798">
        <v>5</v>
      </c>
      <c r="M408" s="798">
        <v>64</v>
      </c>
      <c r="N408" s="801" t="s">
        <v>187</v>
      </c>
      <c r="O408" s="798" t="s">
        <v>65</v>
      </c>
      <c r="P408" s="798" t="s">
        <v>82</v>
      </c>
      <c r="Q408" s="798" t="s">
        <v>731</v>
      </c>
      <c r="R408" s="798" t="s">
        <v>31</v>
      </c>
      <c r="S408" s="798" t="s">
        <v>184</v>
      </c>
      <c r="T408" s="798" t="s">
        <v>185</v>
      </c>
      <c r="U408" s="802" t="s">
        <v>732</v>
      </c>
      <c r="V408" s="798" t="s">
        <v>149</v>
      </c>
      <c r="W408" s="800">
        <v>52</v>
      </c>
    </row>
    <row r="409" spans="1:23" customFormat="1" ht="16.5" customHeight="1">
      <c r="A409" s="63" t="s">
        <v>160</v>
      </c>
      <c r="B409" s="64">
        <v>22</v>
      </c>
      <c r="C409" s="65">
        <v>46169</v>
      </c>
      <c r="D409" s="66" t="s">
        <v>142</v>
      </c>
      <c r="E409" s="788" t="s">
        <v>232</v>
      </c>
      <c r="F409" s="788" t="s">
        <v>268</v>
      </c>
      <c r="G409" s="788" t="s">
        <v>176</v>
      </c>
      <c r="H409" s="163">
        <v>5771802</v>
      </c>
      <c r="I409" s="788" t="s">
        <v>729</v>
      </c>
      <c r="J409" s="788">
        <v>70</v>
      </c>
      <c r="K409" s="1142">
        <v>1</v>
      </c>
      <c r="L409" s="1142"/>
      <c r="M409" s="1142">
        <v>0</v>
      </c>
      <c r="N409" s="1142" t="s">
        <v>149</v>
      </c>
      <c r="O409" s="1142"/>
      <c r="P409" s="1142"/>
      <c r="Q409" s="1142"/>
      <c r="R409" s="1142"/>
      <c r="S409" s="1142"/>
      <c r="T409" s="1142"/>
      <c r="U409" s="1142"/>
      <c r="V409" s="1142"/>
      <c r="W409" s="1153"/>
    </row>
    <row r="410" spans="1:23" customFormat="1" ht="16.5" customHeight="1" thickBot="1">
      <c r="A410" s="116" t="s">
        <v>160</v>
      </c>
      <c r="B410" s="141">
        <v>22</v>
      </c>
      <c r="C410" s="142">
        <v>46169</v>
      </c>
      <c r="D410" s="143" t="s">
        <v>142</v>
      </c>
      <c r="E410" s="786" t="s">
        <v>232</v>
      </c>
      <c r="F410" s="786" t="s">
        <v>269</v>
      </c>
      <c r="G410" s="786" t="s">
        <v>176</v>
      </c>
      <c r="H410" s="145">
        <v>5773217</v>
      </c>
      <c r="I410" s="786" t="s">
        <v>730</v>
      </c>
      <c r="J410" s="786">
        <v>200</v>
      </c>
      <c r="K410" s="1156"/>
      <c r="L410" s="1156"/>
      <c r="M410" s="1156"/>
      <c r="N410" s="1156"/>
      <c r="O410" s="1156"/>
      <c r="P410" s="1156"/>
      <c r="Q410" s="1156"/>
      <c r="R410" s="1156"/>
      <c r="S410" s="1156"/>
      <c r="T410" s="1156"/>
      <c r="U410" s="1156"/>
      <c r="V410" s="1156"/>
      <c r="W410" s="1158"/>
    </row>
    <row r="411" spans="1:23" customFormat="1" ht="16.5" customHeight="1">
      <c r="A411" s="63" t="s">
        <v>160</v>
      </c>
      <c r="B411" s="64">
        <v>22</v>
      </c>
      <c r="C411" s="65">
        <v>46170</v>
      </c>
      <c r="D411" s="66" t="s">
        <v>142</v>
      </c>
      <c r="E411" s="792" t="s">
        <v>232</v>
      </c>
      <c r="F411" s="792" t="s">
        <v>269</v>
      </c>
      <c r="G411" s="792" t="s">
        <v>176</v>
      </c>
      <c r="H411" s="163">
        <v>5773217</v>
      </c>
      <c r="I411" s="792" t="s">
        <v>730</v>
      </c>
      <c r="J411" s="792">
        <v>200</v>
      </c>
      <c r="K411" s="792">
        <v>1</v>
      </c>
      <c r="L411" s="792"/>
      <c r="M411" s="792">
        <v>0</v>
      </c>
      <c r="N411" s="792" t="s">
        <v>149</v>
      </c>
      <c r="O411" s="792"/>
      <c r="P411" s="792"/>
      <c r="Q411" s="792"/>
      <c r="R411" s="792"/>
      <c r="S411" s="792"/>
      <c r="T411" s="792"/>
      <c r="U411" s="792"/>
      <c r="V411" s="792"/>
      <c r="W411" s="793"/>
    </row>
    <row r="412" spans="1:23" customFormat="1" ht="16.5" customHeight="1" thickBot="1">
      <c r="A412" s="116" t="s">
        <v>160</v>
      </c>
      <c r="B412" s="141">
        <v>22</v>
      </c>
      <c r="C412" s="142">
        <v>46170</v>
      </c>
      <c r="D412" s="143" t="s">
        <v>142</v>
      </c>
      <c r="E412" s="790" t="s">
        <v>232</v>
      </c>
      <c r="F412" s="790" t="s">
        <v>267</v>
      </c>
      <c r="G412" s="790" t="s">
        <v>37</v>
      </c>
      <c r="H412" s="145">
        <v>5771962</v>
      </c>
      <c r="I412" s="790" t="s">
        <v>733</v>
      </c>
      <c r="J412" s="790">
        <v>200</v>
      </c>
      <c r="K412" s="790">
        <v>1</v>
      </c>
      <c r="L412" s="790"/>
      <c r="M412" s="790">
        <v>0</v>
      </c>
      <c r="N412" s="790" t="s">
        <v>149</v>
      </c>
      <c r="O412" s="790"/>
      <c r="P412" s="790"/>
      <c r="Q412" s="790"/>
      <c r="R412" s="790"/>
      <c r="S412" s="790"/>
      <c r="T412" s="790"/>
      <c r="U412" s="790"/>
      <c r="V412" s="790"/>
      <c r="W412" s="791"/>
    </row>
    <row r="413" spans="1:23" customFormat="1" ht="16.5" customHeight="1">
      <c r="A413" s="63" t="s">
        <v>160</v>
      </c>
      <c r="B413" s="64">
        <v>22</v>
      </c>
      <c r="C413" s="65">
        <v>46171</v>
      </c>
      <c r="D413" s="66" t="s">
        <v>142</v>
      </c>
      <c r="E413" s="803" t="s">
        <v>232</v>
      </c>
      <c r="F413" s="803" t="s">
        <v>267</v>
      </c>
      <c r="G413" s="803" t="s">
        <v>37</v>
      </c>
      <c r="H413" s="163">
        <v>5771962</v>
      </c>
      <c r="I413" s="803" t="s">
        <v>733</v>
      </c>
      <c r="J413" s="803">
        <v>300</v>
      </c>
      <c r="K413" s="1142">
        <v>1</v>
      </c>
      <c r="L413" s="1142">
        <v>5</v>
      </c>
      <c r="M413" s="1142">
        <v>1</v>
      </c>
      <c r="N413" s="1142" t="s">
        <v>149</v>
      </c>
      <c r="O413" s="1142" t="s">
        <v>39</v>
      </c>
      <c r="P413" s="1142" t="s">
        <v>40</v>
      </c>
      <c r="Q413" s="1142" t="s">
        <v>316</v>
      </c>
      <c r="R413" s="1142" t="s">
        <v>31</v>
      </c>
      <c r="S413" s="1142" t="s">
        <v>184</v>
      </c>
      <c r="T413" s="1142" t="s">
        <v>185</v>
      </c>
      <c r="U413" s="1142"/>
      <c r="V413" s="1142" t="s">
        <v>149</v>
      </c>
      <c r="W413" s="1153">
        <v>1</v>
      </c>
    </row>
    <row r="414" spans="1:23" customFormat="1" ht="16.5" customHeight="1" thickBot="1">
      <c r="A414" s="809" t="s">
        <v>160</v>
      </c>
      <c r="B414" s="810">
        <v>22</v>
      </c>
      <c r="C414" s="811">
        <v>46171</v>
      </c>
      <c r="D414" s="812" t="s">
        <v>142</v>
      </c>
      <c r="E414" s="813" t="s">
        <v>232</v>
      </c>
      <c r="F414" s="813" t="s">
        <v>266</v>
      </c>
      <c r="G414" s="813" t="s">
        <v>37</v>
      </c>
      <c r="H414" s="814">
        <v>5766065</v>
      </c>
      <c r="I414" s="804" t="s">
        <v>741</v>
      </c>
      <c r="J414" s="813">
        <v>150</v>
      </c>
      <c r="K414" s="1156"/>
      <c r="L414" s="1156"/>
      <c r="M414" s="1156"/>
      <c r="N414" s="1156"/>
      <c r="O414" s="1156"/>
      <c r="P414" s="1156"/>
      <c r="Q414" s="1156"/>
      <c r="R414" s="1156"/>
      <c r="S414" s="1156"/>
      <c r="T414" s="1156"/>
      <c r="U414" s="1156"/>
      <c r="V414" s="1156"/>
      <c r="W414" s="1158"/>
    </row>
    <row r="415" spans="1:23" customFormat="1" ht="16.5" customHeight="1">
      <c r="A415" s="63" t="s">
        <v>160</v>
      </c>
      <c r="B415" s="149">
        <v>22</v>
      </c>
      <c r="C415" s="150">
        <v>46172</v>
      </c>
      <c r="D415" s="151" t="s">
        <v>142</v>
      </c>
      <c r="E415" s="808" t="s">
        <v>232</v>
      </c>
      <c r="F415" s="808" t="s">
        <v>266</v>
      </c>
      <c r="G415" s="808" t="s">
        <v>37</v>
      </c>
      <c r="H415" s="153">
        <v>5766065</v>
      </c>
      <c r="I415" s="808" t="s">
        <v>741</v>
      </c>
      <c r="J415" s="808">
        <v>242</v>
      </c>
      <c r="K415" s="1152">
        <v>1</v>
      </c>
      <c r="L415" s="1152"/>
      <c r="M415" s="1152">
        <v>0</v>
      </c>
      <c r="N415" s="1152" t="s">
        <v>149</v>
      </c>
      <c r="O415" s="1152"/>
      <c r="P415" s="1152"/>
      <c r="Q415" s="1152"/>
      <c r="R415" s="1152"/>
      <c r="S415" s="1152"/>
      <c r="T415" s="1152"/>
      <c r="U415" s="1152"/>
      <c r="V415" s="1152"/>
      <c r="W415" s="1153"/>
    </row>
    <row r="416" spans="1:23" customFormat="1" ht="16.5" customHeight="1" thickBot="1">
      <c r="A416" s="828" t="s">
        <v>160</v>
      </c>
      <c r="B416" s="829">
        <v>22</v>
      </c>
      <c r="C416" s="830">
        <v>46172</v>
      </c>
      <c r="D416" s="831" t="s">
        <v>142</v>
      </c>
      <c r="E416" s="827" t="s">
        <v>232</v>
      </c>
      <c r="F416" s="827" t="s">
        <v>266</v>
      </c>
      <c r="G416" s="827" t="s">
        <v>37</v>
      </c>
      <c r="H416" s="832">
        <v>5766065</v>
      </c>
      <c r="I416" s="827" t="s">
        <v>742</v>
      </c>
      <c r="J416" s="827">
        <v>148</v>
      </c>
      <c r="K416" s="1302"/>
      <c r="L416" s="1302"/>
      <c r="M416" s="1302"/>
      <c r="N416" s="1302"/>
      <c r="O416" s="1302"/>
      <c r="P416" s="1302"/>
      <c r="Q416" s="1302"/>
      <c r="R416" s="1302"/>
      <c r="S416" s="1302"/>
      <c r="T416" s="1302"/>
      <c r="U416" s="1302"/>
      <c r="V416" s="1302"/>
      <c r="W416" s="1303"/>
    </row>
    <row r="417" spans="1:23" customFormat="1" ht="16.5" customHeight="1">
      <c r="A417" s="63" t="s">
        <v>165</v>
      </c>
      <c r="B417" s="64">
        <v>23</v>
      </c>
      <c r="C417" s="65">
        <v>46174</v>
      </c>
      <c r="D417" s="66" t="s">
        <v>142</v>
      </c>
      <c r="E417" s="815" t="s">
        <v>232</v>
      </c>
      <c r="F417" s="815" t="s">
        <v>266</v>
      </c>
      <c r="G417" s="815" t="s">
        <v>37</v>
      </c>
      <c r="H417" s="163">
        <v>5766065</v>
      </c>
      <c r="I417" s="815" t="s">
        <v>742</v>
      </c>
      <c r="J417" s="815">
        <v>200</v>
      </c>
      <c r="K417" s="815">
        <v>1</v>
      </c>
      <c r="L417" s="815"/>
      <c r="M417" s="815">
        <v>0</v>
      </c>
      <c r="N417" s="815" t="s">
        <v>149</v>
      </c>
      <c r="O417" s="815"/>
      <c r="P417" s="815"/>
      <c r="Q417" s="815"/>
      <c r="R417" s="815"/>
      <c r="S417" s="815"/>
      <c r="T417" s="815"/>
      <c r="U417" s="815"/>
      <c r="V417" s="815"/>
      <c r="W417" s="817"/>
    </row>
    <row r="418" spans="1:23" customFormat="1" ht="16.5" customHeight="1" thickBot="1">
      <c r="A418" s="116" t="s">
        <v>165</v>
      </c>
      <c r="B418" s="141">
        <v>23</v>
      </c>
      <c r="C418" s="142">
        <v>46174</v>
      </c>
      <c r="D418" s="143" t="s">
        <v>142</v>
      </c>
      <c r="E418" s="816" t="s">
        <v>265</v>
      </c>
      <c r="F418" s="816" t="s">
        <v>270</v>
      </c>
      <c r="G418" s="816" t="s">
        <v>37</v>
      </c>
      <c r="H418" s="145">
        <v>5447763</v>
      </c>
      <c r="I418" s="816" t="s">
        <v>743</v>
      </c>
      <c r="J418" s="816">
        <v>140</v>
      </c>
      <c r="K418" s="816">
        <v>1</v>
      </c>
      <c r="L418" s="816">
        <v>5</v>
      </c>
      <c r="M418" s="816">
        <v>1</v>
      </c>
      <c r="N418" s="816" t="s">
        <v>149</v>
      </c>
      <c r="O418" s="816" t="s">
        <v>39</v>
      </c>
      <c r="P418" s="816" t="s">
        <v>40</v>
      </c>
      <c r="Q418" s="816" t="s">
        <v>767</v>
      </c>
      <c r="R418" s="816" t="s">
        <v>31</v>
      </c>
      <c r="S418" s="816" t="s">
        <v>184</v>
      </c>
      <c r="T418" s="816" t="s">
        <v>185</v>
      </c>
      <c r="U418" s="816"/>
      <c r="V418" s="816" t="s">
        <v>149</v>
      </c>
      <c r="W418" s="818">
        <v>1</v>
      </c>
    </row>
    <row r="419" spans="1:23" customFormat="1" ht="16.5" customHeight="1">
      <c r="A419" s="63" t="s">
        <v>165</v>
      </c>
      <c r="B419" s="64">
        <v>23</v>
      </c>
      <c r="C419" s="65">
        <v>46175</v>
      </c>
      <c r="D419" s="66" t="s">
        <v>142</v>
      </c>
      <c r="E419" s="826" t="s">
        <v>265</v>
      </c>
      <c r="F419" s="826" t="s">
        <v>270</v>
      </c>
      <c r="G419" s="826" t="s">
        <v>37</v>
      </c>
      <c r="H419" s="163">
        <v>5447763</v>
      </c>
      <c r="I419" s="826" t="s">
        <v>744</v>
      </c>
      <c r="J419" s="826">
        <v>104</v>
      </c>
      <c r="K419" s="1142">
        <v>1</v>
      </c>
      <c r="L419" s="1142">
        <v>5</v>
      </c>
      <c r="M419" s="1142">
        <v>1</v>
      </c>
      <c r="N419" s="1142" t="s">
        <v>149</v>
      </c>
      <c r="O419" s="1142" t="s">
        <v>29</v>
      </c>
      <c r="P419" s="1142" t="s">
        <v>30</v>
      </c>
      <c r="Q419" s="1142" t="s">
        <v>770</v>
      </c>
      <c r="R419" s="1142" t="s">
        <v>31</v>
      </c>
      <c r="S419" s="1142" t="s">
        <v>184</v>
      </c>
      <c r="T419" s="1142" t="s">
        <v>185</v>
      </c>
      <c r="U419" s="1142"/>
      <c r="V419" s="1142" t="s">
        <v>149</v>
      </c>
      <c r="W419" s="1153">
        <v>1</v>
      </c>
    </row>
    <row r="420" spans="1:23" customFormat="1" ht="16.5" customHeight="1" thickBot="1">
      <c r="A420" s="116" t="s">
        <v>165</v>
      </c>
      <c r="B420" s="141">
        <v>23</v>
      </c>
      <c r="C420" s="142">
        <v>46175</v>
      </c>
      <c r="D420" s="143" t="s">
        <v>142</v>
      </c>
      <c r="E420" s="820" t="s">
        <v>265</v>
      </c>
      <c r="F420" s="820" t="s">
        <v>271</v>
      </c>
      <c r="G420" s="820" t="s">
        <v>37</v>
      </c>
      <c r="H420" s="145">
        <v>5447762</v>
      </c>
      <c r="I420" s="820" t="s">
        <v>745</v>
      </c>
      <c r="J420" s="820">
        <v>216</v>
      </c>
      <c r="K420" s="1156"/>
      <c r="L420" s="1156"/>
      <c r="M420" s="1156"/>
      <c r="N420" s="1156"/>
      <c r="O420" s="1156"/>
      <c r="P420" s="1156"/>
      <c r="Q420" s="1156"/>
      <c r="R420" s="1156"/>
      <c r="S420" s="1156"/>
      <c r="T420" s="1156"/>
      <c r="U420" s="1156"/>
      <c r="V420" s="1156"/>
      <c r="W420" s="1158"/>
    </row>
    <row r="421" spans="1:23" customFormat="1" ht="16.5" customHeight="1">
      <c r="A421" s="63" t="s">
        <v>165</v>
      </c>
      <c r="B421" s="64">
        <v>23</v>
      </c>
      <c r="C421" s="65">
        <v>46176</v>
      </c>
      <c r="D421" s="66" t="s">
        <v>142</v>
      </c>
      <c r="E421" s="826" t="s">
        <v>265</v>
      </c>
      <c r="F421" s="826" t="s">
        <v>271</v>
      </c>
      <c r="G421" s="826" t="s">
        <v>37</v>
      </c>
      <c r="H421" s="163">
        <v>5447762</v>
      </c>
      <c r="I421" s="826" t="s">
        <v>746</v>
      </c>
      <c r="J421" s="826">
        <v>232</v>
      </c>
      <c r="K421" s="1304">
        <v>1</v>
      </c>
      <c r="L421" s="1304"/>
      <c r="M421" s="1304">
        <v>0</v>
      </c>
      <c r="N421" s="1304" t="s">
        <v>149</v>
      </c>
      <c r="O421" s="1304"/>
      <c r="P421" s="1304"/>
      <c r="Q421" s="1304"/>
      <c r="R421" s="1304"/>
      <c r="S421" s="1304"/>
      <c r="T421" s="1304"/>
      <c r="U421" s="1304"/>
      <c r="V421" s="1304"/>
      <c r="W421" s="1199"/>
    </row>
    <row r="422" spans="1:23" customFormat="1" ht="16.5" customHeight="1" thickBot="1">
      <c r="A422" s="116" t="s">
        <v>165</v>
      </c>
      <c r="B422" s="141">
        <v>23</v>
      </c>
      <c r="C422" s="142">
        <v>46176</v>
      </c>
      <c r="D422" s="143" t="s">
        <v>142</v>
      </c>
      <c r="E422" s="820" t="s">
        <v>265</v>
      </c>
      <c r="F422" s="820" t="s">
        <v>271</v>
      </c>
      <c r="G422" s="820" t="s">
        <v>37</v>
      </c>
      <c r="H422" s="145">
        <v>5447762</v>
      </c>
      <c r="I422" s="820" t="s">
        <v>768</v>
      </c>
      <c r="J422" s="820">
        <v>100</v>
      </c>
      <c r="K422" s="1147"/>
      <c r="L422" s="1147"/>
      <c r="M422" s="1147"/>
      <c r="N422" s="1147"/>
      <c r="O422" s="1147"/>
      <c r="P422" s="1147"/>
      <c r="Q422" s="1147"/>
      <c r="R422" s="1147"/>
      <c r="S422" s="1147"/>
      <c r="T422" s="1147"/>
      <c r="U422" s="1147"/>
      <c r="V422" s="1147"/>
      <c r="W422" s="1149"/>
    </row>
    <row r="423" spans="1:23" customFormat="1" ht="16.5" customHeight="1">
      <c r="A423" s="219" t="s">
        <v>165</v>
      </c>
      <c r="B423" s="214">
        <v>23</v>
      </c>
      <c r="C423" s="215">
        <v>46177</v>
      </c>
      <c r="D423" s="216" t="s">
        <v>142</v>
      </c>
      <c r="E423" s="823" t="s">
        <v>265</v>
      </c>
      <c r="F423" s="823" t="s">
        <v>271</v>
      </c>
      <c r="G423" s="823" t="s">
        <v>37</v>
      </c>
      <c r="H423" s="217">
        <v>5447762</v>
      </c>
      <c r="I423" s="823" t="s">
        <v>768</v>
      </c>
      <c r="J423" s="823">
        <v>108</v>
      </c>
      <c r="K423" s="823">
        <v>1</v>
      </c>
      <c r="L423" s="823">
        <v>5</v>
      </c>
      <c r="M423" s="823">
        <v>1</v>
      </c>
      <c r="N423" s="823" t="s">
        <v>149</v>
      </c>
      <c r="O423" s="823" t="s">
        <v>29</v>
      </c>
      <c r="P423" s="823" t="s">
        <v>30</v>
      </c>
      <c r="Q423" s="823" t="s">
        <v>281</v>
      </c>
      <c r="R423" s="823" t="s">
        <v>31</v>
      </c>
      <c r="S423" s="823" t="s">
        <v>184</v>
      </c>
      <c r="T423" s="823" t="s">
        <v>185</v>
      </c>
      <c r="U423" s="823"/>
      <c r="V423" s="823" t="s">
        <v>149</v>
      </c>
      <c r="W423" s="824">
        <v>1</v>
      </c>
    </row>
    <row r="424" spans="1:23" customFormat="1" ht="16.5" customHeight="1">
      <c r="A424" s="134" t="s">
        <v>165</v>
      </c>
      <c r="B424" s="135">
        <v>23</v>
      </c>
      <c r="C424" s="136">
        <v>46177</v>
      </c>
      <c r="D424" s="137" t="s">
        <v>143</v>
      </c>
      <c r="E424" s="822" t="s">
        <v>94</v>
      </c>
      <c r="F424" s="822" t="s">
        <v>95</v>
      </c>
      <c r="G424" s="822" t="s">
        <v>36</v>
      </c>
      <c r="H424" s="139">
        <v>4488549</v>
      </c>
      <c r="I424" s="822">
        <v>4523745676</v>
      </c>
      <c r="J424" s="822">
        <v>4</v>
      </c>
      <c r="K424" s="822">
        <v>1</v>
      </c>
      <c r="L424" s="822">
        <v>3</v>
      </c>
      <c r="M424" s="822">
        <v>1</v>
      </c>
      <c r="N424" s="822" t="s">
        <v>149</v>
      </c>
      <c r="O424" s="822" t="s">
        <v>61</v>
      </c>
      <c r="P424" s="822" t="s">
        <v>62</v>
      </c>
      <c r="Q424" s="822" t="s">
        <v>771</v>
      </c>
      <c r="R424" s="822" t="s">
        <v>31</v>
      </c>
      <c r="S424" s="822" t="s">
        <v>184</v>
      </c>
      <c r="T424" s="822" t="s">
        <v>185</v>
      </c>
      <c r="U424" s="822"/>
      <c r="V424" s="822" t="s">
        <v>149</v>
      </c>
      <c r="W424" s="825">
        <v>1</v>
      </c>
    </row>
    <row r="425" spans="1:23" customFormat="1" ht="16.5" customHeight="1" thickBot="1">
      <c r="A425" s="116" t="s">
        <v>165</v>
      </c>
      <c r="B425" s="141">
        <v>23</v>
      </c>
      <c r="C425" s="142">
        <v>46177</v>
      </c>
      <c r="D425" s="143" t="s">
        <v>142</v>
      </c>
      <c r="E425" s="820" t="s">
        <v>232</v>
      </c>
      <c r="F425" s="820" t="s">
        <v>268</v>
      </c>
      <c r="G425" s="820" t="s">
        <v>176</v>
      </c>
      <c r="H425" s="145">
        <v>5771802</v>
      </c>
      <c r="I425" s="820" t="s">
        <v>769</v>
      </c>
      <c r="J425" s="820">
        <v>184</v>
      </c>
      <c r="K425" s="820">
        <v>1</v>
      </c>
      <c r="L425" s="820"/>
      <c r="M425" s="820"/>
      <c r="N425" s="820" t="s">
        <v>149</v>
      </c>
      <c r="O425" s="820"/>
      <c r="P425" s="820"/>
      <c r="Q425" s="820"/>
      <c r="R425" s="820"/>
      <c r="S425" s="820"/>
      <c r="T425" s="820"/>
      <c r="U425" s="820"/>
      <c r="V425" s="820"/>
      <c r="W425" s="821"/>
    </row>
    <row r="426" spans="1:23" customFormat="1" ht="16.5" customHeight="1" thickBot="1">
      <c r="A426" s="158" t="s">
        <v>165</v>
      </c>
      <c r="B426" s="847">
        <v>23</v>
      </c>
      <c r="C426" s="848">
        <v>46178</v>
      </c>
      <c r="D426" s="849" t="s">
        <v>142</v>
      </c>
      <c r="E426" s="850" t="s">
        <v>232</v>
      </c>
      <c r="F426" s="850" t="s">
        <v>268</v>
      </c>
      <c r="G426" s="850" t="s">
        <v>176</v>
      </c>
      <c r="H426" s="851">
        <v>5771802</v>
      </c>
      <c r="I426" s="850" t="s">
        <v>772</v>
      </c>
      <c r="J426" s="850">
        <v>366</v>
      </c>
      <c r="K426" s="850">
        <v>1</v>
      </c>
      <c r="L426" s="850">
        <v>0</v>
      </c>
      <c r="M426" s="850"/>
      <c r="N426" s="850" t="s">
        <v>149</v>
      </c>
      <c r="O426" s="850"/>
      <c r="P426" s="850"/>
      <c r="Q426" s="850"/>
      <c r="R426" s="850"/>
      <c r="S426" s="850"/>
      <c r="T426" s="850"/>
      <c r="U426" s="850"/>
      <c r="V426" s="850"/>
      <c r="W426" s="852"/>
    </row>
    <row r="427" spans="1:23" customFormat="1" ht="16.5" customHeight="1">
      <c r="A427" s="63" t="s">
        <v>165</v>
      </c>
      <c r="B427" s="64">
        <v>23</v>
      </c>
      <c r="C427" s="65">
        <v>46179</v>
      </c>
      <c r="D427" s="66" t="s">
        <v>147</v>
      </c>
      <c r="E427" s="837" t="s">
        <v>183</v>
      </c>
      <c r="F427" s="837" t="s">
        <v>188</v>
      </c>
      <c r="G427" s="837" t="s">
        <v>36</v>
      </c>
      <c r="H427" s="163">
        <v>5476623</v>
      </c>
      <c r="I427" s="837">
        <v>20260602002</v>
      </c>
      <c r="J427" s="837">
        <v>11</v>
      </c>
      <c r="K427" s="1192">
        <v>1</v>
      </c>
      <c r="L427" s="1192">
        <v>5</v>
      </c>
      <c r="M427" s="1192">
        <v>1</v>
      </c>
      <c r="N427" s="1192" t="s">
        <v>149</v>
      </c>
      <c r="O427" s="1192" t="s">
        <v>56</v>
      </c>
      <c r="P427" s="1192" t="s">
        <v>62</v>
      </c>
      <c r="Q427" s="1192" t="s">
        <v>674</v>
      </c>
      <c r="R427" s="1192" t="s">
        <v>31</v>
      </c>
      <c r="S427" s="1192" t="s">
        <v>184</v>
      </c>
      <c r="T427" s="1192" t="s">
        <v>185</v>
      </c>
      <c r="U427" s="1192"/>
      <c r="V427" s="1192" t="s">
        <v>149</v>
      </c>
      <c r="W427" s="1305">
        <v>1</v>
      </c>
    </row>
    <row r="428" spans="1:23" customFormat="1" ht="16.5" customHeight="1">
      <c r="A428" s="134" t="s">
        <v>165</v>
      </c>
      <c r="B428" s="135">
        <v>23</v>
      </c>
      <c r="C428" s="136">
        <v>46179</v>
      </c>
      <c r="D428" s="137" t="s">
        <v>147</v>
      </c>
      <c r="E428" s="839" t="s">
        <v>183</v>
      </c>
      <c r="F428" s="839" t="s">
        <v>188</v>
      </c>
      <c r="G428" s="839" t="s">
        <v>28</v>
      </c>
      <c r="H428" s="139">
        <v>5476622</v>
      </c>
      <c r="I428" s="839">
        <v>20260602002</v>
      </c>
      <c r="J428" s="839">
        <v>13</v>
      </c>
      <c r="K428" s="1165"/>
      <c r="L428" s="1165"/>
      <c r="M428" s="1165"/>
      <c r="N428" s="1165"/>
      <c r="O428" s="1165"/>
      <c r="P428" s="1165"/>
      <c r="Q428" s="1165"/>
      <c r="R428" s="1165"/>
      <c r="S428" s="1165"/>
      <c r="T428" s="1165"/>
      <c r="U428" s="1165"/>
      <c r="V428" s="1165"/>
      <c r="W428" s="1167"/>
    </row>
    <row r="429" spans="1:23" customFormat="1" ht="16.5" customHeight="1">
      <c r="A429" s="134" t="s">
        <v>165</v>
      </c>
      <c r="B429" s="135">
        <v>23</v>
      </c>
      <c r="C429" s="136">
        <v>46179</v>
      </c>
      <c r="D429" s="137" t="s">
        <v>147</v>
      </c>
      <c r="E429" s="839" t="s">
        <v>183</v>
      </c>
      <c r="F429" s="839" t="s">
        <v>211</v>
      </c>
      <c r="G429" s="839" t="s">
        <v>52</v>
      </c>
      <c r="H429" s="139">
        <v>5327223</v>
      </c>
      <c r="I429" s="839">
        <v>20260602003</v>
      </c>
      <c r="J429" s="839">
        <v>9</v>
      </c>
      <c r="K429" s="1188">
        <v>1</v>
      </c>
      <c r="L429" s="1188">
        <v>0</v>
      </c>
      <c r="M429" s="1188"/>
      <c r="N429" s="1188" t="s">
        <v>149</v>
      </c>
      <c r="O429" s="1188"/>
      <c r="P429" s="1188"/>
      <c r="Q429" s="1188"/>
      <c r="R429" s="1188"/>
      <c r="S429" s="1188"/>
      <c r="T429" s="1188"/>
      <c r="U429" s="1188"/>
      <c r="V429" s="1188"/>
      <c r="W429" s="1307"/>
    </row>
    <row r="430" spans="1:23" customFormat="1" ht="16.5" customHeight="1">
      <c r="A430" s="134" t="s">
        <v>165</v>
      </c>
      <c r="B430" s="135">
        <v>23</v>
      </c>
      <c r="C430" s="136">
        <v>46179</v>
      </c>
      <c r="D430" s="137" t="s">
        <v>147</v>
      </c>
      <c r="E430" s="839" t="s">
        <v>183</v>
      </c>
      <c r="F430" s="839" t="s">
        <v>211</v>
      </c>
      <c r="G430" s="839" t="s">
        <v>36</v>
      </c>
      <c r="H430" s="139">
        <v>5327222</v>
      </c>
      <c r="I430" s="839">
        <v>20260602003</v>
      </c>
      <c r="J430" s="839">
        <v>43</v>
      </c>
      <c r="K430" s="1150"/>
      <c r="L430" s="1150"/>
      <c r="M430" s="1150"/>
      <c r="N430" s="1150"/>
      <c r="O430" s="1150"/>
      <c r="P430" s="1150"/>
      <c r="Q430" s="1150"/>
      <c r="R430" s="1150"/>
      <c r="S430" s="1150"/>
      <c r="T430" s="1150"/>
      <c r="U430" s="1150"/>
      <c r="V430" s="1150"/>
      <c r="W430" s="1151"/>
    </row>
    <row r="431" spans="1:23" customFormat="1" ht="16.5" customHeight="1" thickBot="1">
      <c r="A431" s="859" t="s">
        <v>165</v>
      </c>
      <c r="B431" s="860">
        <v>23</v>
      </c>
      <c r="C431" s="861">
        <v>46179</v>
      </c>
      <c r="D431" s="862" t="s">
        <v>147</v>
      </c>
      <c r="E431" s="863" t="s">
        <v>183</v>
      </c>
      <c r="F431" s="863" t="s">
        <v>211</v>
      </c>
      <c r="G431" s="863" t="s">
        <v>28</v>
      </c>
      <c r="H431" s="864">
        <v>5327221</v>
      </c>
      <c r="I431" s="863">
        <v>20260602003</v>
      </c>
      <c r="J431" s="863">
        <v>23</v>
      </c>
      <c r="K431" s="1150"/>
      <c r="L431" s="1150"/>
      <c r="M431" s="1150"/>
      <c r="N431" s="1150"/>
      <c r="O431" s="1150"/>
      <c r="P431" s="1150"/>
      <c r="Q431" s="1150"/>
      <c r="R431" s="1150"/>
      <c r="S431" s="1150"/>
      <c r="T431" s="1150"/>
      <c r="U431" s="1150"/>
      <c r="V431" s="1150"/>
      <c r="W431" s="1151"/>
    </row>
    <row r="432" spans="1:23" customFormat="1" ht="16.5" customHeight="1">
      <c r="A432" s="63" t="s">
        <v>165</v>
      </c>
      <c r="B432" s="64">
        <v>23</v>
      </c>
      <c r="C432" s="65">
        <v>46180</v>
      </c>
      <c r="D432" s="66" t="s">
        <v>147</v>
      </c>
      <c r="E432" s="853" t="s">
        <v>183</v>
      </c>
      <c r="F432" s="853" t="s">
        <v>211</v>
      </c>
      <c r="G432" s="853" t="s">
        <v>28</v>
      </c>
      <c r="H432" s="163">
        <v>5327221</v>
      </c>
      <c r="I432" s="853">
        <v>20260602003</v>
      </c>
      <c r="J432" s="853">
        <v>20</v>
      </c>
      <c r="K432" s="1142">
        <v>1</v>
      </c>
      <c r="L432" s="1142">
        <v>0</v>
      </c>
      <c r="M432" s="1142"/>
      <c r="N432" s="1142" t="s">
        <v>149</v>
      </c>
      <c r="O432" s="1142"/>
      <c r="P432" s="1142"/>
      <c r="Q432" s="1142"/>
      <c r="R432" s="1142"/>
      <c r="S432" s="1142"/>
      <c r="T432" s="1142"/>
      <c r="U432" s="1142"/>
      <c r="V432" s="1142"/>
      <c r="W432" s="1153"/>
    </row>
    <row r="433" spans="1:23" customFormat="1" ht="16.5" customHeight="1">
      <c r="A433" s="134" t="s">
        <v>165</v>
      </c>
      <c r="B433" s="135">
        <v>23</v>
      </c>
      <c r="C433" s="136">
        <v>46180</v>
      </c>
      <c r="D433" s="137" t="s">
        <v>147</v>
      </c>
      <c r="E433" s="855" t="s">
        <v>183</v>
      </c>
      <c r="F433" s="855" t="s">
        <v>211</v>
      </c>
      <c r="G433" s="855" t="s">
        <v>32</v>
      </c>
      <c r="H433" s="139">
        <v>5327220</v>
      </c>
      <c r="I433" s="855">
        <v>20260602003</v>
      </c>
      <c r="J433" s="855">
        <v>12</v>
      </c>
      <c r="K433" s="1143"/>
      <c r="L433" s="1143"/>
      <c r="M433" s="1143"/>
      <c r="N433" s="1143"/>
      <c r="O433" s="1143"/>
      <c r="P433" s="1143"/>
      <c r="Q433" s="1143"/>
      <c r="R433" s="1143"/>
      <c r="S433" s="1143"/>
      <c r="T433" s="1143"/>
      <c r="U433" s="1143"/>
      <c r="V433" s="1143"/>
      <c r="W433" s="1145"/>
    </row>
    <row r="434" spans="1:23" customFormat="1" ht="16.5" customHeight="1" thickBot="1">
      <c r="A434" s="116" t="s">
        <v>165</v>
      </c>
      <c r="B434" s="141">
        <v>23</v>
      </c>
      <c r="C434" s="142">
        <v>46180</v>
      </c>
      <c r="D434" s="143" t="s">
        <v>147</v>
      </c>
      <c r="E434" s="854" t="s">
        <v>183</v>
      </c>
      <c r="F434" s="854" t="s">
        <v>210</v>
      </c>
      <c r="G434" s="854" t="s">
        <v>36</v>
      </c>
      <c r="H434" s="145">
        <v>5327242</v>
      </c>
      <c r="I434" s="854">
        <v>20260602004</v>
      </c>
      <c r="J434" s="854">
        <v>28</v>
      </c>
      <c r="K434" s="1156"/>
      <c r="L434" s="1156"/>
      <c r="M434" s="1156"/>
      <c r="N434" s="1156"/>
      <c r="O434" s="1156"/>
      <c r="P434" s="1156"/>
      <c r="Q434" s="1156"/>
      <c r="R434" s="1156"/>
      <c r="S434" s="1156"/>
      <c r="T434" s="1156"/>
      <c r="U434" s="1156"/>
      <c r="V434" s="1156"/>
      <c r="W434" s="1158"/>
    </row>
    <row r="435" spans="1:23" customFormat="1" ht="16.5" customHeight="1">
      <c r="A435" s="63" t="s">
        <v>165</v>
      </c>
      <c r="B435" s="64">
        <v>24</v>
      </c>
      <c r="C435" s="65">
        <v>46181</v>
      </c>
      <c r="D435" s="66" t="s">
        <v>147</v>
      </c>
      <c r="E435" s="856" t="s">
        <v>183</v>
      </c>
      <c r="F435" s="856" t="s">
        <v>210</v>
      </c>
      <c r="G435" s="856" t="s">
        <v>28</v>
      </c>
      <c r="H435" s="163">
        <v>5327241</v>
      </c>
      <c r="I435" s="856">
        <v>20260602004</v>
      </c>
      <c r="J435" s="856">
        <v>55</v>
      </c>
      <c r="K435" s="1142">
        <v>1</v>
      </c>
      <c r="L435" s="1142">
        <v>0</v>
      </c>
      <c r="M435" s="1142"/>
      <c r="N435" s="1142" t="s">
        <v>149</v>
      </c>
      <c r="O435" s="1142"/>
      <c r="P435" s="1142"/>
      <c r="Q435" s="1142"/>
      <c r="R435" s="1142"/>
      <c r="S435" s="1142"/>
      <c r="T435" s="1142"/>
      <c r="U435" s="1142"/>
      <c r="V435" s="1142"/>
      <c r="W435" s="1153"/>
    </row>
    <row r="436" spans="1:23" customFormat="1" ht="16.5" customHeight="1">
      <c r="A436" s="134" t="s">
        <v>165</v>
      </c>
      <c r="B436" s="135">
        <v>24</v>
      </c>
      <c r="C436" s="136">
        <v>46181</v>
      </c>
      <c r="D436" s="137" t="s">
        <v>147</v>
      </c>
      <c r="E436" s="858" t="s">
        <v>183</v>
      </c>
      <c r="F436" s="858" t="s">
        <v>210</v>
      </c>
      <c r="G436" s="858" t="s">
        <v>32</v>
      </c>
      <c r="H436" s="139">
        <v>5327240</v>
      </c>
      <c r="I436" s="858">
        <v>20260602004</v>
      </c>
      <c r="J436" s="858">
        <v>37</v>
      </c>
      <c r="K436" s="1143"/>
      <c r="L436" s="1143"/>
      <c r="M436" s="1143"/>
      <c r="N436" s="1143"/>
      <c r="O436" s="1143"/>
      <c r="P436" s="1143"/>
      <c r="Q436" s="1143"/>
      <c r="R436" s="1143"/>
      <c r="S436" s="1143"/>
      <c r="T436" s="1143"/>
      <c r="U436" s="1143"/>
      <c r="V436" s="1143"/>
      <c r="W436" s="1145"/>
    </row>
    <row r="437" spans="1:23" customFormat="1" ht="16.5" customHeight="1">
      <c r="A437" s="134" t="s">
        <v>165</v>
      </c>
      <c r="B437" s="135">
        <v>24</v>
      </c>
      <c r="C437" s="136">
        <v>46181</v>
      </c>
      <c r="D437" s="137" t="s">
        <v>147</v>
      </c>
      <c r="E437" s="858" t="s">
        <v>183</v>
      </c>
      <c r="F437" s="858" t="s">
        <v>210</v>
      </c>
      <c r="G437" s="858" t="s">
        <v>63</v>
      </c>
      <c r="H437" s="139">
        <v>5327239</v>
      </c>
      <c r="I437" s="858">
        <v>20260602004</v>
      </c>
      <c r="J437" s="858">
        <v>23</v>
      </c>
      <c r="K437" s="1143"/>
      <c r="L437" s="1143"/>
      <c r="M437" s="1143"/>
      <c r="N437" s="1143"/>
      <c r="O437" s="1143"/>
      <c r="P437" s="1143"/>
      <c r="Q437" s="1143"/>
      <c r="R437" s="1143"/>
      <c r="S437" s="1143"/>
      <c r="T437" s="1143"/>
      <c r="U437" s="1143"/>
      <c r="V437" s="1143"/>
      <c r="W437" s="1145"/>
    </row>
    <row r="438" spans="1:23" customFormat="1" ht="16.5" customHeight="1">
      <c r="A438" s="134" t="s">
        <v>165</v>
      </c>
      <c r="B438" s="135">
        <v>24</v>
      </c>
      <c r="C438" s="136">
        <v>46181</v>
      </c>
      <c r="D438" s="137" t="s">
        <v>147</v>
      </c>
      <c r="E438" s="858" t="s">
        <v>183</v>
      </c>
      <c r="F438" s="858" t="s">
        <v>209</v>
      </c>
      <c r="G438" s="858" t="s">
        <v>52</v>
      </c>
      <c r="H438" s="139">
        <v>5327228</v>
      </c>
      <c r="I438" s="858">
        <v>20260602005</v>
      </c>
      <c r="J438" s="858">
        <v>10</v>
      </c>
      <c r="K438" s="1196">
        <v>1</v>
      </c>
      <c r="L438" s="1196">
        <v>5</v>
      </c>
      <c r="M438" s="1196">
        <v>1</v>
      </c>
      <c r="N438" s="1196" t="s">
        <v>149</v>
      </c>
      <c r="O438" s="1196" t="s">
        <v>61</v>
      </c>
      <c r="P438" s="1196" t="s">
        <v>62</v>
      </c>
      <c r="Q438" s="1196" t="s">
        <v>378</v>
      </c>
      <c r="R438" s="1196" t="s">
        <v>31</v>
      </c>
      <c r="S438" s="1196" t="s">
        <v>184</v>
      </c>
      <c r="T438" s="1196" t="s">
        <v>185</v>
      </c>
      <c r="U438" s="1196"/>
      <c r="V438" s="1196" t="s">
        <v>149</v>
      </c>
      <c r="W438" s="1312">
        <v>1</v>
      </c>
    </row>
    <row r="439" spans="1:23" customFormat="1" ht="16.5" customHeight="1" thickBot="1">
      <c r="A439" s="866" t="s">
        <v>165</v>
      </c>
      <c r="B439" s="867">
        <v>24</v>
      </c>
      <c r="C439" s="868">
        <v>46181</v>
      </c>
      <c r="D439" s="869" t="s">
        <v>147</v>
      </c>
      <c r="E439" s="865" t="s">
        <v>183</v>
      </c>
      <c r="F439" s="865" t="s">
        <v>209</v>
      </c>
      <c r="G439" s="865" t="s">
        <v>36</v>
      </c>
      <c r="H439" s="870">
        <v>5327227</v>
      </c>
      <c r="I439" s="865">
        <v>20260602005</v>
      </c>
      <c r="J439" s="865">
        <v>30</v>
      </c>
      <c r="K439" s="1150"/>
      <c r="L439" s="1150"/>
      <c r="M439" s="1150"/>
      <c r="N439" s="1150"/>
      <c r="O439" s="1150"/>
      <c r="P439" s="1150"/>
      <c r="Q439" s="1150"/>
      <c r="R439" s="1150"/>
      <c r="S439" s="1150"/>
      <c r="T439" s="1150"/>
      <c r="U439" s="1150"/>
      <c r="V439" s="1150"/>
      <c r="W439" s="1151"/>
    </row>
    <row r="440" spans="1:23" customFormat="1" ht="16.5" customHeight="1">
      <c r="A440" s="63" t="s">
        <v>165</v>
      </c>
      <c r="B440" s="64">
        <v>24</v>
      </c>
      <c r="C440" s="65">
        <v>46182</v>
      </c>
      <c r="D440" s="66" t="s">
        <v>147</v>
      </c>
      <c r="E440" s="856" t="s">
        <v>183</v>
      </c>
      <c r="F440" s="856" t="s">
        <v>209</v>
      </c>
      <c r="G440" s="856" t="s">
        <v>36</v>
      </c>
      <c r="H440" s="163">
        <v>5327227</v>
      </c>
      <c r="I440" s="856">
        <v>20260602005</v>
      </c>
      <c r="J440" s="856">
        <v>11</v>
      </c>
      <c r="K440" s="1142">
        <v>1</v>
      </c>
      <c r="L440" s="1142">
        <v>5</v>
      </c>
      <c r="M440" s="1142">
        <v>1</v>
      </c>
      <c r="N440" s="1142" t="s">
        <v>149</v>
      </c>
      <c r="O440" s="1142" t="s">
        <v>96</v>
      </c>
      <c r="P440" s="1142" t="s">
        <v>40</v>
      </c>
      <c r="Q440" s="1142" t="s">
        <v>777</v>
      </c>
      <c r="R440" s="1142" t="s">
        <v>31</v>
      </c>
      <c r="S440" s="1142" t="s">
        <v>184</v>
      </c>
      <c r="T440" s="1142" t="s">
        <v>185</v>
      </c>
      <c r="U440" s="1142"/>
      <c r="V440" s="1142" t="s">
        <v>149</v>
      </c>
      <c r="W440" s="1153">
        <v>1</v>
      </c>
    </row>
    <row r="441" spans="1:23" customFormat="1" ht="16.5" customHeight="1">
      <c r="A441" s="134" t="s">
        <v>165</v>
      </c>
      <c r="B441" s="135">
        <v>24</v>
      </c>
      <c r="C441" s="136">
        <v>46182</v>
      </c>
      <c r="D441" s="137" t="s">
        <v>147</v>
      </c>
      <c r="E441" s="858" t="s">
        <v>183</v>
      </c>
      <c r="F441" s="858" t="s">
        <v>209</v>
      </c>
      <c r="G441" s="858" t="s">
        <v>28</v>
      </c>
      <c r="H441" s="139">
        <v>5327226</v>
      </c>
      <c r="I441" s="858">
        <v>20260602005</v>
      </c>
      <c r="J441" s="858">
        <v>41</v>
      </c>
      <c r="K441" s="1143"/>
      <c r="L441" s="1143"/>
      <c r="M441" s="1143"/>
      <c r="N441" s="1143"/>
      <c r="O441" s="1143"/>
      <c r="P441" s="1143"/>
      <c r="Q441" s="1143"/>
      <c r="R441" s="1143"/>
      <c r="S441" s="1143"/>
      <c r="T441" s="1143"/>
      <c r="U441" s="1143"/>
      <c r="V441" s="1143"/>
      <c r="W441" s="1145"/>
    </row>
    <row r="442" spans="1:23" customFormat="1" ht="16.5" customHeight="1">
      <c r="A442" s="134" t="s">
        <v>165</v>
      </c>
      <c r="B442" s="135">
        <v>24</v>
      </c>
      <c r="C442" s="136">
        <v>46182</v>
      </c>
      <c r="D442" s="137" t="s">
        <v>147</v>
      </c>
      <c r="E442" s="858" t="s">
        <v>183</v>
      </c>
      <c r="F442" s="858" t="s">
        <v>209</v>
      </c>
      <c r="G442" s="858" t="s">
        <v>32</v>
      </c>
      <c r="H442" s="139">
        <v>5327225</v>
      </c>
      <c r="I442" s="858">
        <v>20260602005</v>
      </c>
      <c r="J442" s="858">
        <v>12</v>
      </c>
      <c r="K442" s="1143"/>
      <c r="L442" s="1143"/>
      <c r="M442" s="1143"/>
      <c r="N442" s="1143"/>
      <c r="O442" s="1143"/>
      <c r="P442" s="1143"/>
      <c r="Q442" s="1143"/>
      <c r="R442" s="1143"/>
      <c r="S442" s="1143"/>
      <c r="T442" s="1143"/>
      <c r="U442" s="1143"/>
      <c r="V442" s="1143"/>
      <c r="W442" s="1145"/>
    </row>
    <row r="443" spans="1:23" customFormat="1" ht="16.5" customHeight="1">
      <c r="A443" s="134" t="s">
        <v>165</v>
      </c>
      <c r="B443" s="135">
        <v>24</v>
      </c>
      <c r="C443" s="136">
        <v>46182</v>
      </c>
      <c r="D443" s="137" t="s">
        <v>142</v>
      </c>
      <c r="E443" s="858" t="s">
        <v>232</v>
      </c>
      <c r="F443" s="858" t="s">
        <v>275</v>
      </c>
      <c r="G443" s="858" t="s">
        <v>37</v>
      </c>
      <c r="H443" s="139">
        <v>5823326</v>
      </c>
      <c r="I443" s="858">
        <v>4523451518</v>
      </c>
      <c r="J443" s="858">
        <v>15</v>
      </c>
      <c r="K443" s="1143">
        <v>1</v>
      </c>
      <c r="L443" s="1143">
        <v>0</v>
      </c>
      <c r="M443" s="1143"/>
      <c r="N443" s="1143" t="s">
        <v>149</v>
      </c>
      <c r="O443" s="1143"/>
      <c r="P443" s="1143"/>
      <c r="Q443" s="1143"/>
      <c r="R443" s="1143"/>
      <c r="S443" s="1143"/>
      <c r="T443" s="1143"/>
      <c r="U443" s="1143"/>
      <c r="V443" s="1143"/>
      <c r="W443" s="1145"/>
    </row>
    <row r="444" spans="1:23" customFormat="1" ht="16.5" customHeight="1">
      <c r="A444" s="134" t="s">
        <v>165</v>
      </c>
      <c r="B444" s="135">
        <v>24</v>
      </c>
      <c r="C444" s="136">
        <v>46182</v>
      </c>
      <c r="D444" s="137" t="s">
        <v>142</v>
      </c>
      <c r="E444" s="858" t="s">
        <v>232</v>
      </c>
      <c r="F444" s="858" t="s">
        <v>275</v>
      </c>
      <c r="G444" s="858" t="s">
        <v>37</v>
      </c>
      <c r="H444" s="139">
        <v>5823326</v>
      </c>
      <c r="I444" s="858">
        <v>4523453088</v>
      </c>
      <c r="J444" s="858">
        <v>15</v>
      </c>
      <c r="K444" s="1143"/>
      <c r="L444" s="1143"/>
      <c r="M444" s="1143"/>
      <c r="N444" s="1143"/>
      <c r="O444" s="1143"/>
      <c r="P444" s="1143"/>
      <c r="Q444" s="1143"/>
      <c r="R444" s="1143"/>
      <c r="S444" s="1143"/>
      <c r="T444" s="1143"/>
      <c r="U444" s="1143"/>
      <c r="V444" s="1143"/>
      <c r="W444" s="1145"/>
    </row>
    <row r="445" spans="1:23" customFormat="1" ht="16.5" customHeight="1" thickBot="1">
      <c r="A445" s="116" t="s">
        <v>165</v>
      </c>
      <c r="B445" s="141">
        <v>24</v>
      </c>
      <c r="C445" s="142">
        <v>46182</v>
      </c>
      <c r="D445" s="143" t="s">
        <v>142</v>
      </c>
      <c r="E445" s="857" t="s">
        <v>232</v>
      </c>
      <c r="F445" s="857" t="s">
        <v>267</v>
      </c>
      <c r="G445" s="857" t="s">
        <v>37</v>
      </c>
      <c r="H445" s="145">
        <v>5771962</v>
      </c>
      <c r="I445" s="857" t="s">
        <v>773</v>
      </c>
      <c r="J445" s="857">
        <v>248</v>
      </c>
      <c r="K445" s="1156"/>
      <c r="L445" s="1156"/>
      <c r="M445" s="1156"/>
      <c r="N445" s="1156"/>
      <c r="O445" s="1156"/>
      <c r="P445" s="1156"/>
      <c r="Q445" s="1156"/>
      <c r="R445" s="1156"/>
      <c r="S445" s="1156"/>
      <c r="T445" s="1156"/>
      <c r="U445" s="1156"/>
      <c r="V445" s="1156"/>
      <c r="W445" s="1158"/>
    </row>
    <row r="446" spans="1:23" customFormat="1" ht="16.5" customHeight="1">
      <c r="A446" s="63" t="s">
        <v>165</v>
      </c>
      <c r="B446" s="64">
        <v>24</v>
      </c>
      <c r="C446" s="65">
        <v>46183</v>
      </c>
      <c r="D446" s="66" t="s">
        <v>142</v>
      </c>
      <c r="E446" s="871" t="s">
        <v>232</v>
      </c>
      <c r="F446" s="871" t="s">
        <v>267</v>
      </c>
      <c r="G446" s="871" t="s">
        <v>37</v>
      </c>
      <c r="H446" s="163">
        <v>5771962</v>
      </c>
      <c r="I446" s="871" t="s">
        <v>774</v>
      </c>
      <c r="J446" s="871">
        <v>264</v>
      </c>
      <c r="K446" s="1190">
        <v>1</v>
      </c>
      <c r="L446" s="1190">
        <v>0</v>
      </c>
      <c r="M446" s="1190"/>
      <c r="N446" s="1190" t="s">
        <v>149</v>
      </c>
      <c r="O446" s="1190"/>
      <c r="P446" s="1190"/>
      <c r="Q446" s="1190"/>
      <c r="R446" s="1190"/>
      <c r="S446" s="1190"/>
      <c r="T446" s="1190"/>
      <c r="U446" s="1190"/>
      <c r="V446" s="1190"/>
      <c r="W446" s="1193"/>
    </row>
    <row r="447" spans="1:23" customFormat="1" ht="16.5" customHeight="1" thickBot="1">
      <c r="A447" s="116" t="s">
        <v>165</v>
      </c>
      <c r="B447" s="141">
        <v>24</v>
      </c>
      <c r="C447" s="142">
        <v>46183</v>
      </c>
      <c r="D447" s="143" t="s">
        <v>142</v>
      </c>
      <c r="E447" s="872" t="s">
        <v>232</v>
      </c>
      <c r="F447" s="872" t="s">
        <v>266</v>
      </c>
      <c r="G447" s="872" t="s">
        <v>37</v>
      </c>
      <c r="H447" s="145">
        <v>5766065</v>
      </c>
      <c r="I447" s="872" t="s">
        <v>775</v>
      </c>
      <c r="J447" s="872">
        <v>100</v>
      </c>
      <c r="K447" s="1147"/>
      <c r="L447" s="1147"/>
      <c r="M447" s="1147"/>
      <c r="N447" s="1147"/>
      <c r="O447" s="1147"/>
      <c r="P447" s="1147"/>
      <c r="Q447" s="1147"/>
      <c r="R447" s="1147"/>
      <c r="S447" s="1147"/>
      <c r="T447" s="1147"/>
      <c r="U447" s="1147"/>
      <c r="V447" s="1147"/>
      <c r="W447" s="1149"/>
    </row>
    <row r="448" spans="1:23" customFormat="1" ht="16.5" customHeight="1">
      <c r="A448" s="63" t="s">
        <v>165</v>
      </c>
      <c r="B448" s="64">
        <v>24</v>
      </c>
      <c r="C448" s="65">
        <v>46184</v>
      </c>
      <c r="D448" s="66" t="s">
        <v>142</v>
      </c>
      <c r="E448" s="871" t="s">
        <v>232</v>
      </c>
      <c r="F448" s="871" t="s">
        <v>266</v>
      </c>
      <c r="G448" s="871" t="s">
        <v>37</v>
      </c>
      <c r="H448" s="163">
        <v>5766065</v>
      </c>
      <c r="I448" s="871" t="s">
        <v>775</v>
      </c>
      <c r="J448" s="871">
        <v>200</v>
      </c>
      <c r="K448" s="1191">
        <v>1</v>
      </c>
      <c r="L448" s="1191">
        <v>0</v>
      </c>
      <c r="M448" s="1191"/>
      <c r="N448" s="1191" t="s">
        <v>149</v>
      </c>
      <c r="O448" s="1191"/>
      <c r="P448" s="1191"/>
      <c r="Q448" s="1191"/>
      <c r="R448" s="1191"/>
      <c r="S448" s="1191"/>
      <c r="T448" s="1191"/>
      <c r="U448" s="1191"/>
      <c r="V448" s="1191"/>
      <c r="W448" s="1308"/>
    </row>
    <row r="449" spans="1:23" customFormat="1" ht="16.5" customHeight="1" thickBot="1">
      <c r="A449" s="116" t="s">
        <v>165</v>
      </c>
      <c r="B449" s="141">
        <v>24</v>
      </c>
      <c r="C449" s="142">
        <v>46184</v>
      </c>
      <c r="D449" s="143" t="s">
        <v>142</v>
      </c>
      <c r="E449" s="872" t="s">
        <v>232</v>
      </c>
      <c r="F449" s="872" t="s">
        <v>266</v>
      </c>
      <c r="G449" s="872" t="s">
        <v>37</v>
      </c>
      <c r="H449" s="145">
        <v>5766065</v>
      </c>
      <c r="I449" s="872" t="s">
        <v>776</v>
      </c>
      <c r="J449" s="872">
        <v>200</v>
      </c>
      <c r="K449" s="1147"/>
      <c r="L449" s="1147"/>
      <c r="M449" s="1147"/>
      <c r="N449" s="1147"/>
      <c r="O449" s="1147"/>
      <c r="P449" s="1147"/>
      <c r="Q449" s="1147"/>
      <c r="R449" s="1147"/>
      <c r="S449" s="1147"/>
      <c r="T449" s="1147"/>
      <c r="U449" s="1147"/>
      <c r="V449" s="1147"/>
      <c r="W449" s="1149"/>
    </row>
    <row r="450" spans="1:23" customFormat="1" ht="16.5" customHeight="1">
      <c r="A450" s="63" t="s">
        <v>165</v>
      </c>
      <c r="B450" s="64">
        <v>24</v>
      </c>
      <c r="C450" s="65">
        <v>46185</v>
      </c>
      <c r="D450" s="66" t="s">
        <v>142</v>
      </c>
      <c r="E450" s="873" t="s">
        <v>232</v>
      </c>
      <c r="F450" s="873" t="s">
        <v>266</v>
      </c>
      <c r="G450" s="873" t="s">
        <v>37</v>
      </c>
      <c r="H450" s="163">
        <v>5766065</v>
      </c>
      <c r="I450" s="873" t="s">
        <v>776</v>
      </c>
      <c r="J450" s="873">
        <v>208</v>
      </c>
      <c r="K450" s="873">
        <v>1</v>
      </c>
      <c r="L450" s="873">
        <v>0</v>
      </c>
      <c r="M450" s="873"/>
      <c r="N450" s="873" t="s">
        <v>149</v>
      </c>
      <c r="O450" s="873"/>
      <c r="P450" s="873"/>
      <c r="Q450" s="873"/>
      <c r="R450" s="873"/>
      <c r="S450" s="873"/>
      <c r="T450" s="873"/>
      <c r="U450" s="873"/>
      <c r="V450" s="873"/>
      <c r="W450" s="876"/>
    </row>
    <row r="451" spans="1:23" customFormat="1" ht="16.5" customHeight="1">
      <c r="A451" s="134" t="s">
        <v>165</v>
      </c>
      <c r="B451" s="135">
        <v>24</v>
      </c>
      <c r="C451" s="136">
        <v>46185</v>
      </c>
      <c r="D451" s="137" t="s">
        <v>142</v>
      </c>
      <c r="E451" s="874" t="s">
        <v>232</v>
      </c>
      <c r="F451" s="874" t="s">
        <v>268</v>
      </c>
      <c r="G451" s="874" t="s">
        <v>176</v>
      </c>
      <c r="H451" s="139">
        <v>5771802</v>
      </c>
      <c r="I451" s="874" t="s">
        <v>780</v>
      </c>
      <c r="J451" s="874">
        <v>184</v>
      </c>
      <c r="K451" s="1176">
        <v>1</v>
      </c>
      <c r="L451" s="1176">
        <v>5</v>
      </c>
      <c r="M451" s="1176">
        <v>1</v>
      </c>
      <c r="N451" s="1176" t="s">
        <v>149</v>
      </c>
      <c r="O451" s="1176" t="s">
        <v>61</v>
      </c>
      <c r="P451" s="1176" t="s">
        <v>62</v>
      </c>
      <c r="Q451" s="1176" t="s">
        <v>665</v>
      </c>
      <c r="R451" s="1176" t="s">
        <v>31</v>
      </c>
      <c r="S451" s="1176" t="s">
        <v>184</v>
      </c>
      <c r="T451" s="1176" t="s">
        <v>185</v>
      </c>
      <c r="U451" s="1176"/>
      <c r="V451" s="1176" t="s">
        <v>149</v>
      </c>
      <c r="W451" s="1306">
        <v>1</v>
      </c>
    </row>
    <row r="452" spans="1:23" customFormat="1" ht="16.5" customHeight="1" thickBot="1">
      <c r="A452" s="879" t="s">
        <v>165</v>
      </c>
      <c r="B452" s="880">
        <v>24</v>
      </c>
      <c r="C452" s="881">
        <v>46185</v>
      </c>
      <c r="D452" s="882" t="s">
        <v>142</v>
      </c>
      <c r="E452" s="878" t="s">
        <v>232</v>
      </c>
      <c r="F452" s="878" t="s">
        <v>268</v>
      </c>
      <c r="G452" s="878" t="s">
        <v>176</v>
      </c>
      <c r="H452" s="883">
        <v>5771802</v>
      </c>
      <c r="I452" s="878" t="s">
        <v>781</v>
      </c>
      <c r="J452" s="878">
        <v>34</v>
      </c>
      <c r="K452" s="1150"/>
      <c r="L452" s="1150"/>
      <c r="M452" s="1150"/>
      <c r="N452" s="1150"/>
      <c r="O452" s="1150"/>
      <c r="P452" s="1150"/>
      <c r="Q452" s="1150"/>
      <c r="R452" s="1150"/>
      <c r="S452" s="1150"/>
      <c r="T452" s="1150"/>
      <c r="U452" s="1150"/>
      <c r="V452" s="1150"/>
      <c r="W452" s="1151"/>
    </row>
    <row r="453" spans="1:23" customFormat="1" ht="16.5" customHeight="1">
      <c r="A453" s="63" t="s">
        <v>165</v>
      </c>
      <c r="B453" s="64">
        <v>24</v>
      </c>
      <c r="C453" s="65">
        <v>46186</v>
      </c>
      <c r="D453" s="66" t="s">
        <v>142</v>
      </c>
      <c r="E453" s="873" t="s">
        <v>232</v>
      </c>
      <c r="F453" s="873" t="s">
        <v>269</v>
      </c>
      <c r="G453" s="873" t="s">
        <v>176</v>
      </c>
      <c r="H453" s="163">
        <v>5773217</v>
      </c>
      <c r="I453" s="873" t="s">
        <v>782</v>
      </c>
      <c r="J453" s="873">
        <v>168</v>
      </c>
      <c r="K453" s="1186">
        <v>1</v>
      </c>
      <c r="L453" s="1186">
        <v>5</v>
      </c>
      <c r="M453" s="1186">
        <v>1</v>
      </c>
      <c r="N453" s="1186" t="s">
        <v>149</v>
      </c>
      <c r="O453" s="1186" t="s">
        <v>61</v>
      </c>
      <c r="P453" s="1186" t="s">
        <v>62</v>
      </c>
      <c r="Q453" s="1186" t="s">
        <v>295</v>
      </c>
      <c r="R453" s="1186" t="s">
        <v>31</v>
      </c>
      <c r="S453" s="1186" t="s">
        <v>184</v>
      </c>
      <c r="T453" s="1186" t="s">
        <v>185</v>
      </c>
      <c r="U453" s="1186"/>
      <c r="V453" s="1186" t="s">
        <v>149</v>
      </c>
      <c r="W453" s="1189">
        <v>1</v>
      </c>
    </row>
    <row r="454" spans="1:23" customFormat="1" ht="16.5" customHeight="1" thickBot="1">
      <c r="A454" s="116" t="s">
        <v>165</v>
      </c>
      <c r="B454" s="141">
        <v>24</v>
      </c>
      <c r="C454" s="142">
        <v>46186</v>
      </c>
      <c r="D454" s="143" t="s">
        <v>142</v>
      </c>
      <c r="E454" s="875" t="s">
        <v>232</v>
      </c>
      <c r="F454" s="875" t="s">
        <v>269</v>
      </c>
      <c r="G454" s="875" t="s">
        <v>176</v>
      </c>
      <c r="H454" s="145">
        <v>5773217</v>
      </c>
      <c r="I454" s="875" t="s">
        <v>783</v>
      </c>
      <c r="J454" s="875">
        <v>220</v>
      </c>
      <c r="K454" s="1147"/>
      <c r="L454" s="1147"/>
      <c r="M454" s="1147"/>
      <c r="N454" s="1147"/>
      <c r="O454" s="1147"/>
      <c r="P454" s="1147"/>
      <c r="Q454" s="1147"/>
      <c r="R454" s="1147"/>
      <c r="S454" s="1147"/>
      <c r="T454" s="1147"/>
      <c r="U454" s="1147"/>
      <c r="V454" s="1147"/>
      <c r="W454" s="1149"/>
    </row>
    <row r="455" spans="1:23" customFormat="1" ht="16.5" customHeight="1">
      <c r="A455" s="219" t="s">
        <v>165</v>
      </c>
      <c r="B455" s="214">
        <v>25</v>
      </c>
      <c r="C455" s="215">
        <v>46188</v>
      </c>
      <c r="D455" s="216" t="s">
        <v>142</v>
      </c>
      <c r="E455" s="877" t="s">
        <v>232</v>
      </c>
      <c r="F455" s="877" t="s">
        <v>269</v>
      </c>
      <c r="G455" s="877" t="s">
        <v>176</v>
      </c>
      <c r="H455" s="217">
        <v>5773217</v>
      </c>
      <c r="I455" s="877" t="s">
        <v>783</v>
      </c>
      <c r="J455" s="877">
        <v>80</v>
      </c>
      <c r="K455" s="1150">
        <v>1</v>
      </c>
      <c r="L455" s="1150"/>
      <c r="M455" s="1150">
        <v>0</v>
      </c>
      <c r="N455" s="1150" t="s">
        <v>149</v>
      </c>
      <c r="O455" s="1150"/>
      <c r="P455" s="1150"/>
      <c r="Q455" s="1150"/>
      <c r="R455" s="1150"/>
      <c r="S455" s="1150"/>
      <c r="T455" s="1150"/>
      <c r="U455" s="1150"/>
      <c r="V455" s="1150"/>
      <c r="W455" s="1151"/>
    </row>
    <row r="456" spans="1:23" customFormat="1" ht="16.5" customHeight="1">
      <c r="A456" s="134" t="s">
        <v>165</v>
      </c>
      <c r="B456" s="135">
        <v>25</v>
      </c>
      <c r="C456" s="136">
        <v>46188</v>
      </c>
      <c r="D456" s="137" t="s">
        <v>142</v>
      </c>
      <c r="E456" s="874" t="s">
        <v>232</v>
      </c>
      <c r="F456" s="874" t="s">
        <v>269</v>
      </c>
      <c r="G456" s="874" t="s">
        <v>176</v>
      </c>
      <c r="H456" s="139">
        <v>5773217</v>
      </c>
      <c r="I456" s="874" t="s">
        <v>784</v>
      </c>
      <c r="J456" s="874">
        <v>160</v>
      </c>
      <c r="K456" s="1165"/>
      <c r="L456" s="1165"/>
      <c r="M456" s="1165"/>
      <c r="N456" s="1165"/>
      <c r="O456" s="1165"/>
      <c r="P456" s="1165"/>
      <c r="Q456" s="1165"/>
      <c r="R456" s="1165"/>
      <c r="S456" s="1165"/>
      <c r="T456" s="1165"/>
      <c r="U456" s="1165"/>
      <c r="V456" s="1165"/>
      <c r="W456" s="1167"/>
    </row>
    <row r="457" spans="1:23" customFormat="1" ht="16.5" customHeight="1">
      <c r="A457" s="134" t="s">
        <v>165</v>
      </c>
      <c r="B457" s="135">
        <v>25</v>
      </c>
      <c r="C457" s="136">
        <v>46188</v>
      </c>
      <c r="D457" s="137" t="s">
        <v>142</v>
      </c>
      <c r="E457" s="874" t="s">
        <v>386</v>
      </c>
      <c r="F457" s="874" t="s">
        <v>274</v>
      </c>
      <c r="G457" s="874" t="s">
        <v>36</v>
      </c>
      <c r="H457" s="139">
        <v>5535131</v>
      </c>
      <c r="I457" s="874" t="s">
        <v>785</v>
      </c>
      <c r="J457" s="874">
        <v>24</v>
      </c>
      <c r="K457" s="1176">
        <v>1</v>
      </c>
      <c r="L457" s="1176"/>
      <c r="M457" s="1176">
        <v>0</v>
      </c>
      <c r="N457" s="1176" t="s">
        <v>149</v>
      </c>
      <c r="O457" s="1176"/>
      <c r="P457" s="1176"/>
      <c r="Q457" s="1176"/>
      <c r="R457" s="1176"/>
      <c r="S457" s="1176"/>
      <c r="T457" s="1176"/>
      <c r="U457" s="1176"/>
      <c r="V457" s="1176"/>
      <c r="W457" s="1306"/>
    </row>
    <row r="458" spans="1:23" customFormat="1" ht="16.5" customHeight="1">
      <c r="A458" s="134" t="s">
        <v>165</v>
      </c>
      <c r="B458" s="135">
        <v>25</v>
      </c>
      <c r="C458" s="136">
        <v>46188</v>
      </c>
      <c r="D458" s="137" t="s">
        <v>142</v>
      </c>
      <c r="E458" s="874" t="s">
        <v>386</v>
      </c>
      <c r="F458" s="874" t="s">
        <v>274</v>
      </c>
      <c r="G458" s="874" t="s">
        <v>28</v>
      </c>
      <c r="H458" s="139">
        <v>5535130</v>
      </c>
      <c r="I458" s="874" t="s">
        <v>786</v>
      </c>
      <c r="J458" s="874">
        <v>72</v>
      </c>
      <c r="K458" s="1150"/>
      <c r="L458" s="1150"/>
      <c r="M458" s="1150"/>
      <c r="N458" s="1150"/>
      <c r="O458" s="1150"/>
      <c r="P458" s="1150"/>
      <c r="Q458" s="1150"/>
      <c r="R458" s="1150"/>
      <c r="S458" s="1150"/>
      <c r="T458" s="1150"/>
      <c r="U458" s="1150"/>
      <c r="V458" s="1150"/>
      <c r="W458" s="1151"/>
    </row>
    <row r="459" spans="1:23" customFormat="1" ht="16.5" customHeight="1">
      <c r="A459" s="134" t="s">
        <v>165</v>
      </c>
      <c r="B459" s="135">
        <v>25</v>
      </c>
      <c r="C459" s="136">
        <v>46188</v>
      </c>
      <c r="D459" s="137" t="s">
        <v>142</v>
      </c>
      <c r="E459" s="874" t="s">
        <v>386</v>
      </c>
      <c r="F459" s="874" t="s">
        <v>274</v>
      </c>
      <c r="G459" s="874" t="s">
        <v>36</v>
      </c>
      <c r="H459" s="139">
        <v>5535131</v>
      </c>
      <c r="I459" s="874" t="s">
        <v>787</v>
      </c>
      <c r="J459" s="874">
        <v>24</v>
      </c>
      <c r="K459" s="1150"/>
      <c r="L459" s="1150"/>
      <c r="M459" s="1150"/>
      <c r="N459" s="1150"/>
      <c r="O459" s="1150"/>
      <c r="P459" s="1150"/>
      <c r="Q459" s="1150"/>
      <c r="R459" s="1150"/>
      <c r="S459" s="1150"/>
      <c r="T459" s="1150"/>
      <c r="U459" s="1150"/>
      <c r="V459" s="1150"/>
      <c r="W459" s="1151"/>
    </row>
    <row r="460" spans="1:23" customFormat="1" ht="16.5" customHeight="1" thickBot="1">
      <c r="A460" s="891" t="s">
        <v>165</v>
      </c>
      <c r="B460" s="892">
        <v>25</v>
      </c>
      <c r="C460" s="893">
        <v>46188</v>
      </c>
      <c r="D460" s="894" t="s">
        <v>142</v>
      </c>
      <c r="E460" s="890" t="s">
        <v>386</v>
      </c>
      <c r="F460" s="890" t="s">
        <v>274</v>
      </c>
      <c r="G460" s="890" t="s">
        <v>36</v>
      </c>
      <c r="H460" s="895">
        <v>5535131</v>
      </c>
      <c r="I460" s="890" t="s">
        <v>788</v>
      </c>
      <c r="J460" s="890">
        <v>32</v>
      </c>
      <c r="K460" s="1150"/>
      <c r="L460" s="1150"/>
      <c r="M460" s="1150"/>
      <c r="N460" s="1150"/>
      <c r="O460" s="1150"/>
      <c r="P460" s="1150"/>
      <c r="Q460" s="1150"/>
      <c r="R460" s="1150"/>
      <c r="S460" s="1150"/>
      <c r="T460" s="1150"/>
      <c r="U460" s="1150"/>
      <c r="V460" s="1150"/>
      <c r="W460" s="1151"/>
    </row>
    <row r="461" spans="1:23" customFormat="1" ht="16.5" customHeight="1">
      <c r="A461" s="63" t="s">
        <v>165</v>
      </c>
      <c r="B461" s="64">
        <v>25</v>
      </c>
      <c r="C461" s="65">
        <v>46189</v>
      </c>
      <c r="D461" s="66" t="s">
        <v>142</v>
      </c>
      <c r="E461" s="884" t="s">
        <v>386</v>
      </c>
      <c r="F461" s="884" t="s">
        <v>274</v>
      </c>
      <c r="G461" s="884" t="s">
        <v>28</v>
      </c>
      <c r="H461" s="163">
        <v>5535130</v>
      </c>
      <c r="I461" s="884" t="s">
        <v>789</v>
      </c>
      <c r="J461" s="884">
        <v>88</v>
      </c>
      <c r="K461" s="1142">
        <v>1</v>
      </c>
      <c r="L461" s="1142"/>
      <c r="M461" s="1142">
        <v>0</v>
      </c>
      <c r="N461" s="1142" t="s">
        <v>149</v>
      </c>
      <c r="O461" s="1142"/>
      <c r="P461" s="1142"/>
      <c r="Q461" s="1142"/>
      <c r="R461" s="1142"/>
      <c r="S461" s="1142"/>
      <c r="T461" s="1142"/>
      <c r="U461" s="1142"/>
      <c r="V461" s="1142"/>
      <c r="W461" s="1153"/>
    </row>
    <row r="462" spans="1:23" customFormat="1" ht="16.5" customHeight="1">
      <c r="A462" s="134" t="s">
        <v>165</v>
      </c>
      <c r="B462" s="135">
        <v>25</v>
      </c>
      <c r="C462" s="136">
        <v>46189</v>
      </c>
      <c r="D462" s="137" t="s">
        <v>142</v>
      </c>
      <c r="E462" s="885" t="s">
        <v>386</v>
      </c>
      <c r="F462" s="885" t="s">
        <v>274</v>
      </c>
      <c r="G462" s="885" t="s">
        <v>32</v>
      </c>
      <c r="H462" s="139">
        <v>5535129</v>
      </c>
      <c r="I462" s="885" t="s">
        <v>790</v>
      </c>
      <c r="J462" s="885">
        <v>56</v>
      </c>
      <c r="K462" s="1143"/>
      <c r="L462" s="1143"/>
      <c r="M462" s="1143"/>
      <c r="N462" s="1143"/>
      <c r="O462" s="1143"/>
      <c r="P462" s="1143"/>
      <c r="Q462" s="1143"/>
      <c r="R462" s="1143"/>
      <c r="S462" s="1143"/>
      <c r="T462" s="1143"/>
      <c r="U462" s="1143"/>
      <c r="V462" s="1143"/>
      <c r="W462" s="1145"/>
    </row>
    <row r="463" spans="1:23" customFormat="1" ht="16.5" customHeight="1">
      <c r="A463" s="134" t="s">
        <v>165</v>
      </c>
      <c r="B463" s="135">
        <v>25</v>
      </c>
      <c r="C463" s="136">
        <v>46189</v>
      </c>
      <c r="D463" s="137" t="s">
        <v>142</v>
      </c>
      <c r="E463" s="885" t="s">
        <v>386</v>
      </c>
      <c r="F463" s="885" t="s">
        <v>274</v>
      </c>
      <c r="G463" s="885" t="s">
        <v>32</v>
      </c>
      <c r="H463" s="139">
        <v>5535129</v>
      </c>
      <c r="I463" s="885" t="s">
        <v>791</v>
      </c>
      <c r="J463" s="885">
        <v>104</v>
      </c>
      <c r="K463" s="1143"/>
      <c r="L463" s="1143"/>
      <c r="M463" s="1143"/>
      <c r="N463" s="1143"/>
      <c r="O463" s="1143"/>
      <c r="P463" s="1143"/>
      <c r="Q463" s="1143"/>
      <c r="R463" s="1143"/>
      <c r="S463" s="1143"/>
      <c r="T463" s="1143"/>
      <c r="U463" s="1143"/>
      <c r="V463" s="1143"/>
      <c r="W463" s="1145"/>
    </row>
    <row r="464" spans="1:23" customFormat="1" ht="16.5" customHeight="1" thickBot="1">
      <c r="A464" s="891" t="s">
        <v>165</v>
      </c>
      <c r="B464" s="892">
        <v>25</v>
      </c>
      <c r="C464" s="893">
        <v>46189</v>
      </c>
      <c r="D464" s="894" t="s">
        <v>143</v>
      </c>
      <c r="E464" s="890" t="s">
        <v>94</v>
      </c>
      <c r="F464" s="890" t="s">
        <v>95</v>
      </c>
      <c r="G464" s="890" t="s">
        <v>28</v>
      </c>
      <c r="H464" s="895">
        <v>4488548</v>
      </c>
      <c r="I464" s="890">
        <v>4523586805</v>
      </c>
      <c r="J464" s="890">
        <v>8</v>
      </c>
      <c r="K464" s="890">
        <v>1</v>
      </c>
      <c r="L464" s="890">
        <v>5</v>
      </c>
      <c r="M464" s="890">
        <v>1</v>
      </c>
      <c r="N464" s="890" t="s">
        <v>149</v>
      </c>
      <c r="O464" s="890" t="s">
        <v>96</v>
      </c>
      <c r="P464" s="890" t="s">
        <v>40</v>
      </c>
      <c r="Q464" s="890" t="s">
        <v>800</v>
      </c>
      <c r="R464" s="890" t="s">
        <v>31</v>
      </c>
      <c r="S464" s="890" t="s">
        <v>301</v>
      </c>
      <c r="T464" s="890" t="s">
        <v>185</v>
      </c>
      <c r="U464" s="890"/>
      <c r="V464" s="890" t="s">
        <v>149</v>
      </c>
      <c r="W464" s="896">
        <v>1</v>
      </c>
    </row>
    <row r="465" spans="1:23" customFormat="1" ht="16.5" customHeight="1">
      <c r="A465" s="63" t="s">
        <v>165</v>
      </c>
      <c r="B465" s="64">
        <v>25</v>
      </c>
      <c r="C465" s="65">
        <v>46190</v>
      </c>
      <c r="D465" s="66" t="s">
        <v>143</v>
      </c>
      <c r="E465" s="884" t="s">
        <v>157</v>
      </c>
      <c r="F465" s="884" t="s">
        <v>158</v>
      </c>
      <c r="G465" s="884" t="s">
        <v>28</v>
      </c>
      <c r="H465" s="163">
        <v>4248138</v>
      </c>
      <c r="I465" s="884">
        <v>4524015151</v>
      </c>
      <c r="J465" s="884">
        <v>8</v>
      </c>
      <c r="K465" s="1142">
        <v>1</v>
      </c>
      <c r="L465" s="884">
        <v>5</v>
      </c>
      <c r="M465" s="1142">
        <v>1</v>
      </c>
      <c r="N465" s="884" t="s">
        <v>149</v>
      </c>
      <c r="O465" s="884" t="s">
        <v>29</v>
      </c>
      <c r="P465" s="884" t="s">
        <v>30</v>
      </c>
      <c r="Q465" s="884" t="s">
        <v>300</v>
      </c>
      <c r="R465" s="884" t="s">
        <v>31</v>
      </c>
      <c r="S465" s="884" t="s">
        <v>184</v>
      </c>
      <c r="T465" s="884" t="s">
        <v>185</v>
      </c>
      <c r="U465" s="1142"/>
      <c r="V465" s="1142" t="s">
        <v>149</v>
      </c>
      <c r="W465" s="1153">
        <v>1</v>
      </c>
    </row>
    <row r="466" spans="1:23" customFormat="1" ht="16.5" customHeight="1">
      <c r="A466" s="134" t="s">
        <v>165</v>
      </c>
      <c r="B466" s="135">
        <v>25</v>
      </c>
      <c r="C466" s="136">
        <v>46190</v>
      </c>
      <c r="D466" s="137" t="s">
        <v>143</v>
      </c>
      <c r="E466" s="885" t="s">
        <v>157</v>
      </c>
      <c r="F466" s="885" t="s">
        <v>158</v>
      </c>
      <c r="G466" s="885" t="s">
        <v>36</v>
      </c>
      <c r="H466" s="139">
        <v>4248137</v>
      </c>
      <c r="I466" s="885">
        <v>4524009420</v>
      </c>
      <c r="J466" s="885">
        <v>8</v>
      </c>
      <c r="K466" s="1143"/>
      <c r="L466" s="885">
        <v>5</v>
      </c>
      <c r="M466" s="1143"/>
      <c r="N466" s="885" t="s">
        <v>149</v>
      </c>
      <c r="O466" s="885" t="s">
        <v>96</v>
      </c>
      <c r="P466" s="885" t="s">
        <v>40</v>
      </c>
      <c r="Q466" s="885" t="s">
        <v>801</v>
      </c>
      <c r="R466" s="885" t="s">
        <v>31</v>
      </c>
      <c r="S466" s="885" t="s">
        <v>184</v>
      </c>
      <c r="T466" s="885" t="s">
        <v>185</v>
      </c>
      <c r="U466" s="1143"/>
      <c r="V466" s="1143"/>
      <c r="W466" s="1145"/>
    </row>
    <row r="467" spans="1:23" customFormat="1" ht="16.5" customHeight="1">
      <c r="A467" s="134" t="s">
        <v>165</v>
      </c>
      <c r="B467" s="135">
        <v>25</v>
      </c>
      <c r="C467" s="136">
        <v>46190</v>
      </c>
      <c r="D467" s="137" t="s">
        <v>142</v>
      </c>
      <c r="E467" s="885" t="s">
        <v>387</v>
      </c>
      <c r="F467" s="885" t="s">
        <v>282</v>
      </c>
      <c r="G467" s="885" t="s">
        <v>36</v>
      </c>
      <c r="H467" s="139">
        <v>5535142</v>
      </c>
      <c r="I467" s="885" t="s">
        <v>792</v>
      </c>
      <c r="J467" s="885">
        <v>157</v>
      </c>
      <c r="K467" s="1143">
        <v>1</v>
      </c>
      <c r="L467" s="1143"/>
      <c r="M467" s="1143">
        <v>0</v>
      </c>
      <c r="N467" s="1143" t="s">
        <v>149</v>
      </c>
      <c r="O467" s="1143"/>
      <c r="P467" s="1143"/>
      <c r="Q467" s="1143"/>
      <c r="R467" s="1143"/>
      <c r="S467" s="1143"/>
      <c r="T467" s="1143"/>
      <c r="U467" s="1143"/>
      <c r="V467" s="1143"/>
      <c r="W467" s="1145"/>
    </row>
    <row r="468" spans="1:23" customFormat="1" ht="16.5" customHeight="1" thickBot="1">
      <c r="A468" s="891" t="s">
        <v>165</v>
      </c>
      <c r="B468" s="892">
        <v>25</v>
      </c>
      <c r="C468" s="893">
        <v>46190</v>
      </c>
      <c r="D468" s="894" t="s">
        <v>142</v>
      </c>
      <c r="E468" s="890" t="s">
        <v>387</v>
      </c>
      <c r="F468" s="890" t="s">
        <v>282</v>
      </c>
      <c r="G468" s="890" t="s">
        <v>28</v>
      </c>
      <c r="H468" s="895">
        <v>5535141</v>
      </c>
      <c r="I468" s="890" t="s">
        <v>793</v>
      </c>
      <c r="J468" s="890">
        <v>50</v>
      </c>
      <c r="K468" s="1178"/>
      <c r="L468" s="1178"/>
      <c r="M468" s="1178"/>
      <c r="N468" s="1178"/>
      <c r="O468" s="1178"/>
      <c r="P468" s="1178"/>
      <c r="Q468" s="1178"/>
      <c r="R468" s="1178"/>
      <c r="S468" s="1178"/>
      <c r="T468" s="1178"/>
      <c r="U468" s="1178"/>
      <c r="V468" s="1178"/>
      <c r="W468" s="1184"/>
    </row>
    <row r="469" spans="1:23" customFormat="1" ht="16.5" customHeight="1">
      <c r="A469" s="63" t="s">
        <v>165</v>
      </c>
      <c r="B469" s="149">
        <v>25</v>
      </c>
      <c r="C469" s="150">
        <v>46191</v>
      </c>
      <c r="D469" s="151" t="s">
        <v>145</v>
      </c>
      <c r="E469" s="889" t="s">
        <v>50</v>
      </c>
      <c r="F469" s="889" t="s">
        <v>258</v>
      </c>
      <c r="G469" s="889" t="s">
        <v>28</v>
      </c>
      <c r="H469" s="153">
        <v>5797096</v>
      </c>
      <c r="I469" s="889">
        <v>4523829507</v>
      </c>
      <c r="J469" s="889">
        <v>4</v>
      </c>
      <c r="K469" s="1152">
        <v>1</v>
      </c>
      <c r="L469" s="1152"/>
      <c r="M469" s="1152">
        <v>0</v>
      </c>
      <c r="N469" s="1152" t="s">
        <v>149</v>
      </c>
      <c r="O469" s="1152"/>
      <c r="P469" s="1152"/>
      <c r="Q469" s="1152"/>
      <c r="R469" s="1152"/>
      <c r="S469" s="1152"/>
      <c r="T469" s="1152"/>
      <c r="U469" s="1152"/>
      <c r="V469" s="1152"/>
      <c r="W469" s="1153"/>
    </row>
    <row r="470" spans="1:23" customFormat="1" ht="16.5" customHeight="1">
      <c r="A470" s="134" t="s">
        <v>165</v>
      </c>
      <c r="B470" s="135">
        <v>25</v>
      </c>
      <c r="C470" s="136">
        <v>46191</v>
      </c>
      <c r="D470" s="137" t="s">
        <v>145</v>
      </c>
      <c r="E470" s="886" t="s">
        <v>50</v>
      </c>
      <c r="F470" s="886" t="s">
        <v>258</v>
      </c>
      <c r="G470" s="886" t="s">
        <v>63</v>
      </c>
      <c r="H470" s="139">
        <v>5797094</v>
      </c>
      <c r="I470" s="886">
        <v>4523829507</v>
      </c>
      <c r="J470" s="886">
        <v>4</v>
      </c>
      <c r="K470" s="1143"/>
      <c r="L470" s="1143"/>
      <c r="M470" s="1143"/>
      <c r="N470" s="1143"/>
      <c r="O470" s="1143"/>
      <c r="P470" s="1143"/>
      <c r="Q470" s="1143"/>
      <c r="R470" s="1143"/>
      <c r="S470" s="1143"/>
      <c r="T470" s="1143"/>
      <c r="U470" s="1143"/>
      <c r="V470" s="1143"/>
      <c r="W470" s="1145"/>
    </row>
    <row r="471" spans="1:23" customFormat="1" ht="16.5" customHeight="1">
      <c r="A471" s="134" t="s">
        <v>165</v>
      </c>
      <c r="B471" s="135">
        <v>25</v>
      </c>
      <c r="C471" s="136">
        <v>46191</v>
      </c>
      <c r="D471" s="137" t="s">
        <v>145</v>
      </c>
      <c r="E471" s="886" t="s">
        <v>50</v>
      </c>
      <c r="F471" s="886" t="s">
        <v>233</v>
      </c>
      <c r="G471" s="886" t="s">
        <v>36</v>
      </c>
      <c r="H471" s="139">
        <v>5463835</v>
      </c>
      <c r="I471" s="886">
        <v>4521544983</v>
      </c>
      <c r="J471" s="886">
        <v>14</v>
      </c>
      <c r="K471" s="1143"/>
      <c r="L471" s="1143"/>
      <c r="M471" s="1143"/>
      <c r="N471" s="1143"/>
      <c r="O471" s="1143"/>
      <c r="P471" s="1143"/>
      <c r="Q471" s="1143"/>
      <c r="R471" s="1143"/>
      <c r="S471" s="1143"/>
      <c r="T471" s="1143"/>
      <c r="U471" s="1143"/>
      <c r="V471" s="1143"/>
      <c r="W471" s="1145"/>
    </row>
    <row r="472" spans="1:23" customFormat="1" ht="16.5" customHeight="1">
      <c r="A472" s="134" t="s">
        <v>165</v>
      </c>
      <c r="B472" s="135">
        <v>25</v>
      </c>
      <c r="C472" s="136">
        <v>46191</v>
      </c>
      <c r="D472" s="137" t="s">
        <v>145</v>
      </c>
      <c r="E472" s="886" t="s">
        <v>50</v>
      </c>
      <c r="F472" s="886" t="s">
        <v>233</v>
      </c>
      <c r="G472" s="886" t="s">
        <v>28</v>
      </c>
      <c r="H472" s="139">
        <v>5463834</v>
      </c>
      <c r="I472" s="886">
        <v>4521544983</v>
      </c>
      <c r="J472" s="886">
        <v>33</v>
      </c>
      <c r="K472" s="1143"/>
      <c r="L472" s="1143"/>
      <c r="M472" s="1143"/>
      <c r="N472" s="1143"/>
      <c r="O472" s="1143"/>
      <c r="P472" s="1143"/>
      <c r="Q472" s="1143"/>
      <c r="R472" s="1143"/>
      <c r="S472" s="1143"/>
      <c r="T472" s="1143"/>
      <c r="U472" s="1143"/>
      <c r="V472" s="1143"/>
      <c r="W472" s="1145"/>
    </row>
    <row r="473" spans="1:23" customFormat="1" ht="16.5" customHeight="1" thickBot="1">
      <c r="A473" s="898" t="s">
        <v>165</v>
      </c>
      <c r="B473" s="899">
        <v>25</v>
      </c>
      <c r="C473" s="900">
        <v>46191</v>
      </c>
      <c r="D473" s="901" t="s">
        <v>145</v>
      </c>
      <c r="E473" s="897" t="s">
        <v>50</v>
      </c>
      <c r="F473" s="897" t="s">
        <v>233</v>
      </c>
      <c r="G473" s="897" t="s">
        <v>32</v>
      </c>
      <c r="H473" s="902">
        <v>5463833</v>
      </c>
      <c r="I473" s="897">
        <v>4521544983</v>
      </c>
      <c r="J473" s="897">
        <v>142</v>
      </c>
      <c r="K473" s="1177"/>
      <c r="L473" s="1177"/>
      <c r="M473" s="1177"/>
      <c r="N473" s="1177"/>
      <c r="O473" s="1177"/>
      <c r="P473" s="1177"/>
      <c r="Q473" s="1177"/>
      <c r="R473" s="1177"/>
      <c r="S473" s="1177"/>
      <c r="T473" s="1177"/>
      <c r="U473" s="1177"/>
      <c r="V473" s="1177"/>
      <c r="W473" s="1313"/>
    </row>
    <row r="474" spans="1:23" s="50" customFormat="1" ht="16.5" customHeight="1">
      <c r="A474" s="63" t="s">
        <v>165</v>
      </c>
      <c r="B474" s="149">
        <v>25</v>
      </c>
      <c r="C474" s="150">
        <v>46192</v>
      </c>
      <c r="D474" s="151" t="s">
        <v>145</v>
      </c>
      <c r="E474" s="889" t="s">
        <v>50</v>
      </c>
      <c r="F474" s="889" t="s">
        <v>233</v>
      </c>
      <c r="G474" s="889" t="s">
        <v>32</v>
      </c>
      <c r="H474" s="153">
        <v>5463833</v>
      </c>
      <c r="I474" s="889">
        <v>4521544983</v>
      </c>
      <c r="J474" s="889">
        <v>100</v>
      </c>
      <c r="K474" s="889">
        <v>1</v>
      </c>
      <c r="L474" s="889"/>
      <c r="M474" s="889">
        <v>0</v>
      </c>
      <c r="N474" s="889" t="s">
        <v>149</v>
      </c>
      <c r="O474" s="889"/>
      <c r="P474" s="889"/>
      <c r="Q474" s="889"/>
      <c r="R474" s="889"/>
      <c r="S474" s="889"/>
      <c r="T474" s="889"/>
      <c r="U474" s="889"/>
      <c r="V474" s="889"/>
      <c r="W474" s="888"/>
    </row>
    <row r="475" spans="1:23" customFormat="1" ht="16.5" customHeight="1">
      <c r="A475" s="134" t="s">
        <v>165</v>
      </c>
      <c r="B475" s="135">
        <v>25</v>
      </c>
      <c r="C475" s="136">
        <v>46192</v>
      </c>
      <c r="D475" s="137" t="s">
        <v>142</v>
      </c>
      <c r="E475" s="886" t="s">
        <v>232</v>
      </c>
      <c r="F475" s="886" t="s">
        <v>272</v>
      </c>
      <c r="G475" s="886" t="s">
        <v>37</v>
      </c>
      <c r="H475" s="139">
        <v>5823327</v>
      </c>
      <c r="I475" s="886">
        <v>4524162023</v>
      </c>
      <c r="J475" s="886">
        <v>54</v>
      </c>
      <c r="K475" s="1143">
        <v>1</v>
      </c>
      <c r="L475" s="1143">
        <v>5</v>
      </c>
      <c r="M475" s="1143">
        <v>1</v>
      </c>
      <c r="N475" s="1143" t="s">
        <v>149</v>
      </c>
      <c r="O475" s="1143" t="s">
        <v>96</v>
      </c>
      <c r="P475" s="1143" t="s">
        <v>40</v>
      </c>
      <c r="Q475" s="1143" t="s">
        <v>804</v>
      </c>
      <c r="R475" s="1143" t="s">
        <v>31</v>
      </c>
      <c r="S475" s="1143" t="s">
        <v>184</v>
      </c>
      <c r="T475" s="1143" t="s">
        <v>185</v>
      </c>
      <c r="U475" s="1143"/>
      <c r="V475" s="1143" t="s">
        <v>149</v>
      </c>
      <c r="W475" s="1145">
        <v>1</v>
      </c>
    </row>
    <row r="476" spans="1:23" customFormat="1" ht="16.5" customHeight="1">
      <c r="A476" s="134" t="s">
        <v>165</v>
      </c>
      <c r="B476" s="135">
        <v>25</v>
      </c>
      <c r="C476" s="136">
        <v>46192</v>
      </c>
      <c r="D476" s="137" t="s">
        <v>142</v>
      </c>
      <c r="E476" s="886" t="s">
        <v>232</v>
      </c>
      <c r="F476" s="886" t="s">
        <v>272</v>
      </c>
      <c r="G476" s="886" t="s">
        <v>37</v>
      </c>
      <c r="H476" s="139">
        <v>5823327</v>
      </c>
      <c r="I476" s="886">
        <v>4524191295</v>
      </c>
      <c r="J476" s="886">
        <v>18</v>
      </c>
      <c r="K476" s="1143"/>
      <c r="L476" s="1143"/>
      <c r="M476" s="1143"/>
      <c r="N476" s="1143"/>
      <c r="O476" s="1143"/>
      <c r="P476" s="1143"/>
      <c r="Q476" s="1143"/>
      <c r="R476" s="1143"/>
      <c r="S476" s="1143"/>
      <c r="T476" s="1143"/>
      <c r="U476" s="1143"/>
      <c r="V476" s="1143"/>
      <c r="W476" s="1145"/>
    </row>
    <row r="477" spans="1:23" customFormat="1" ht="16.5" customHeight="1">
      <c r="A477" s="134" t="s">
        <v>165</v>
      </c>
      <c r="B477" s="135">
        <v>25</v>
      </c>
      <c r="C477" s="136">
        <v>46192</v>
      </c>
      <c r="D477" s="137" t="s">
        <v>142</v>
      </c>
      <c r="E477" s="886" t="s">
        <v>232</v>
      </c>
      <c r="F477" s="886" t="s">
        <v>275</v>
      </c>
      <c r="G477" s="886" t="s">
        <v>37</v>
      </c>
      <c r="H477" s="139">
        <v>5823326</v>
      </c>
      <c r="I477" s="886">
        <v>4524161989</v>
      </c>
      <c r="J477" s="886">
        <v>1</v>
      </c>
      <c r="K477" s="1143"/>
      <c r="L477" s="1143"/>
      <c r="M477" s="1143"/>
      <c r="N477" s="1143"/>
      <c r="O477" s="1143"/>
      <c r="P477" s="1143"/>
      <c r="Q477" s="1143"/>
      <c r="R477" s="1143"/>
      <c r="S477" s="1143"/>
      <c r="T477" s="1143"/>
      <c r="U477" s="1143"/>
      <c r="V477" s="1143"/>
      <c r="W477" s="1145"/>
    </row>
    <row r="478" spans="1:23" customFormat="1" ht="16.5" customHeight="1">
      <c r="A478" s="134" t="s">
        <v>165</v>
      </c>
      <c r="B478" s="135">
        <v>25</v>
      </c>
      <c r="C478" s="136">
        <v>46192</v>
      </c>
      <c r="D478" s="137" t="s">
        <v>142</v>
      </c>
      <c r="E478" s="886" t="s">
        <v>232</v>
      </c>
      <c r="F478" s="886" t="s">
        <v>275</v>
      </c>
      <c r="G478" s="886" t="s">
        <v>37</v>
      </c>
      <c r="H478" s="139">
        <v>5823326</v>
      </c>
      <c r="I478" s="886">
        <v>4524187106</v>
      </c>
      <c r="J478" s="886">
        <v>1</v>
      </c>
      <c r="K478" s="1143"/>
      <c r="L478" s="1143"/>
      <c r="M478" s="1143"/>
      <c r="N478" s="1143"/>
      <c r="O478" s="1143"/>
      <c r="P478" s="1143"/>
      <c r="Q478" s="1143"/>
      <c r="R478" s="1143"/>
      <c r="S478" s="1143"/>
      <c r="T478" s="1143"/>
      <c r="U478" s="1143"/>
      <c r="V478" s="1143"/>
      <c r="W478" s="1145"/>
    </row>
    <row r="479" spans="1:23" customFormat="1" ht="16.5" customHeight="1">
      <c r="A479" s="134" t="s">
        <v>165</v>
      </c>
      <c r="B479" s="135">
        <v>25</v>
      </c>
      <c r="C479" s="136">
        <v>46192</v>
      </c>
      <c r="D479" s="137" t="s">
        <v>142</v>
      </c>
      <c r="E479" s="886" t="s">
        <v>232</v>
      </c>
      <c r="F479" s="886" t="s">
        <v>275</v>
      </c>
      <c r="G479" s="886" t="s">
        <v>37</v>
      </c>
      <c r="H479" s="139">
        <v>5823326</v>
      </c>
      <c r="I479" s="886">
        <v>4523446837</v>
      </c>
      <c r="J479" s="886">
        <v>15</v>
      </c>
      <c r="K479" s="1143"/>
      <c r="L479" s="1143"/>
      <c r="M479" s="1143"/>
      <c r="N479" s="1143"/>
      <c r="O479" s="1143"/>
      <c r="P479" s="1143"/>
      <c r="Q479" s="1143"/>
      <c r="R479" s="1143"/>
      <c r="S479" s="1143"/>
      <c r="T479" s="1143"/>
      <c r="U479" s="1143"/>
      <c r="V479" s="1143"/>
      <c r="W479" s="1145"/>
    </row>
    <row r="480" spans="1:23" customFormat="1" ht="16.5" customHeight="1">
      <c r="A480" s="134" t="s">
        <v>165</v>
      </c>
      <c r="B480" s="135">
        <v>25</v>
      </c>
      <c r="C480" s="136">
        <v>46192</v>
      </c>
      <c r="D480" s="137" t="s">
        <v>142</v>
      </c>
      <c r="E480" s="886" t="s">
        <v>232</v>
      </c>
      <c r="F480" s="886" t="s">
        <v>275</v>
      </c>
      <c r="G480" s="886" t="s">
        <v>37</v>
      </c>
      <c r="H480" s="139">
        <v>5823326</v>
      </c>
      <c r="I480" s="886">
        <v>4523441363</v>
      </c>
      <c r="J480" s="886">
        <v>15</v>
      </c>
      <c r="K480" s="1143"/>
      <c r="L480" s="1143"/>
      <c r="M480" s="1143"/>
      <c r="N480" s="1143"/>
      <c r="O480" s="1143"/>
      <c r="P480" s="1143"/>
      <c r="Q480" s="1143"/>
      <c r="R480" s="1143"/>
      <c r="S480" s="1143"/>
      <c r="T480" s="1143"/>
      <c r="U480" s="1143"/>
      <c r="V480" s="1143"/>
      <c r="W480" s="1145"/>
    </row>
    <row r="481" spans="1:23" customFormat="1" ht="16.5" customHeight="1" thickBot="1">
      <c r="A481" s="116" t="s">
        <v>165</v>
      </c>
      <c r="B481" s="141">
        <v>25</v>
      </c>
      <c r="C481" s="142">
        <v>46192</v>
      </c>
      <c r="D481" s="143" t="s">
        <v>142</v>
      </c>
      <c r="E481" s="887" t="s">
        <v>232</v>
      </c>
      <c r="F481" s="887" t="s">
        <v>266</v>
      </c>
      <c r="G481" s="887" t="s">
        <v>37</v>
      </c>
      <c r="H481" s="145">
        <v>5766065</v>
      </c>
      <c r="I481" s="887" t="s">
        <v>802</v>
      </c>
      <c r="J481" s="887">
        <v>50</v>
      </c>
      <c r="K481" s="1156"/>
      <c r="L481" s="1156"/>
      <c r="M481" s="1156"/>
      <c r="N481" s="1156"/>
      <c r="O481" s="1156"/>
      <c r="P481" s="1156"/>
      <c r="Q481" s="1156"/>
      <c r="R481" s="1156"/>
      <c r="S481" s="1156"/>
      <c r="T481" s="1156"/>
      <c r="U481" s="1156"/>
      <c r="V481" s="1156"/>
      <c r="W481" s="1158"/>
    </row>
    <row r="482" spans="1:23" customFormat="1" ht="16.5" customHeight="1" thickBot="1">
      <c r="A482" s="348" t="s">
        <v>165</v>
      </c>
      <c r="B482" s="349">
        <v>25</v>
      </c>
      <c r="C482" s="350">
        <v>46193</v>
      </c>
      <c r="D482" s="351" t="s">
        <v>142</v>
      </c>
      <c r="E482" s="903" t="s">
        <v>232</v>
      </c>
      <c r="F482" s="903" t="s">
        <v>266</v>
      </c>
      <c r="G482" s="903" t="s">
        <v>37</v>
      </c>
      <c r="H482" s="352">
        <v>5766065</v>
      </c>
      <c r="I482" s="903" t="s">
        <v>802</v>
      </c>
      <c r="J482" s="903">
        <v>350</v>
      </c>
      <c r="K482" s="903">
        <v>1</v>
      </c>
      <c r="L482" s="903"/>
      <c r="M482" s="903">
        <v>0</v>
      </c>
      <c r="N482" s="903" t="s">
        <v>149</v>
      </c>
      <c r="O482" s="903"/>
      <c r="P482" s="903"/>
      <c r="Q482" s="903"/>
      <c r="R482" s="903"/>
      <c r="S482" s="903"/>
      <c r="T482" s="903"/>
      <c r="U482" s="903"/>
      <c r="V482" s="903"/>
      <c r="W482" s="904"/>
    </row>
    <row r="483" spans="1:23" customFormat="1" ht="16.5" customHeight="1">
      <c r="A483" s="63" t="s">
        <v>165</v>
      </c>
      <c r="B483" s="64">
        <v>26</v>
      </c>
      <c r="C483" s="65">
        <v>46195</v>
      </c>
      <c r="D483" s="66" t="s">
        <v>142</v>
      </c>
      <c r="E483" s="905" t="s">
        <v>232</v>
      </c>
      <c r="F483" s="905" t="s">
        <v>266</v>
      </c>
      <c r="G483" s="905" t="s">
        <v>37</v>
      </c>
      <c r="H483" s="163">
        <v>5766065</v>
      </c>
      <c r="I483" s="905" t="s">
        <v>802</v>
      </c>
      <c r="J483" s="905">
        <v>100</v>
      </c>
      <c r="K483" s="1142">
        <v>1</v>
      </c>
      <c r="L483" s="905">
        <v>5</v>
      </c>
      <c r="M483" s="1142">
        <v>1</v>
      </c>
      <c r="N483" s="905" t="s">
        <v>149</v>
      </c>
      <c r="O483" s="905" t="s">
        <v>39</v>
      </c>
      <c r="P483" s="905" t="s">
        <v>40</v>
      </c>
      <c r="Q483" s="905" t="s">
        <v>316</v>
      </c>
      <c r="R483" s="905" t="s">
        <v>31</v>
      </c>
      <c r="S483" s="905" t="s">
        <v>184</v>
      </c>
      <c r="T483" s="905" t="s">
        <v>185</v>
      </c>
      <c r="U483" s="1142"/>
      <c r="V483" s="1142" t="s">
        <v>149</v>
      </c>
      <c r="W483" s="1153">
        <v>1</v>
      </c>
    </row>
    <row r="484" spans="1:23" customFormat="1" ht="16.5" customHeight="1" thickBot="1">
      <c r="A484" s="911" t="s">
        <v>165</v>
      </c>
      <c r="B484" s="912">
        <v>26</v>
      </c>
      <c r="C484" s="913">
        <v>46195</v>
      </c>
      <c r="D484" s="914" t="s">
        <v>142</v>
      </c>
      <c r="E484" s="915" t="s">
        <v>232</v>
      </c>
      <c r="F484" s="915" t="s">
        <v>266</v>
      </c>
      <c r="G484" s="915" t="s">
        <v>37</v>
      </c>
      <c r="H484" s="916">
        <v>5766065</v>
      </c>
      <c r="I484" s="915" t="s">
        <v>803</v>
      </c>
      <c r="J484" s="915">
        <v>260</v>
      </c>
      <c r="K484" s="1309">
        <v>1</v>
      </c>
      <c r="L484" s="915">
        <v>5</v>
      </c>
      <c r="M484" s="1309"/>
      <c r="N484" s="915" t="s">
        <v>149</v>
      </c>
      <c r="O484" s="915" t="s">
        <v>65</v>
      </c>
      <c r="P484" s="915" t="s">
        <v>82</v>
      </c>
      <c r="Q484" s="915" t="s">
        <v>805</v>
      </c>
      <c r="R484" s="915" t="s">
        <v>31</v>
      </c>
      <c r="S484" s="915" t="s">
        <v>184</v>
      </c>
      <c r="T484" s="915" t="s">
        <v>185</v>
      </c>
      <c r="U484" s="1309"/>
      <c r="V484" s="1309"/>
      <c r="W484" s="1311"/>
    </row>
    <row r="485" spans="1:23" customFormat="1" ht="16.5" customHeight="1">
      <c r="A485" s="63" t="s">
        <v>165</v>
      </c>
      <c r="B485" s="149">
        <v>26</v>
      </c>
      <c r="C485" s="150">
        <v>46196</v>
      </c>
      <c r="D485" s="151" t="s">
        <v>142</v>
      </c>
      <c r="E485" s="910" t="s">
        <v>232</v>
      </c>
      <c r="F485" s="910" t="s">
        <v>266</v>
      </c>
      <c r="G485" s="910" t="s">
        <v>37</v>
      </c>
      <c r="H485" s="153">
        <v>5766065</v>
      </c>
      <c r="I485" s="910" t="s">
        <v>803</v>
      </c>
      <c r="J485" s="910">
        <v>236</v>
      </c>
      <c r="K485" s="910">
        <v>1</v>
      </c>
      <c r="L485" s="910">
        <v>5</v>
      </c>
      <c r="M485" s="910">
        <v>1</v>
      </c>
      <c r="N485" s="910" t="s">
        <v>149</v>
      </c>
      <c r="O485" s="910" t="s">
        <v>39</v>
      </c>
      <c r="P485" s="910" t="s">
        <v>40</v>
      </c>
      <c r="Q485" s="910" t="s">
        <v>844</v>
      </c>
      <c r="R485" s="910" t="s">
        <v>31</v>
      </c>
      <c r="S485" s="910" t="s">
        <v>301</v>
      </c>
      <c r="T485" s="910" t="s">
        <v>185</v>
      </c>
      <c r="U485" s="910"/>
      <c r="V485" s="910" t="s">
        <v>149</v>
      </c>
      <c r="W485" s="909">
        <v>1</v>
      </c>
    </row>
    <row r="486" spans="1:23" customFormat="1" ht="16.5" customHeight="1" thickBot="1">
      <c r="A486" s="116" t="s">
        <v>165</v>
      </c>
      <c r="B486" s="141">
        <v>26</v>
      </c>
      <c r="C486" s="142">
        <v>46196</v>
      </c>
      <c r="D486" s="143" t="s">
        <v>142</v>
      </c>
      <c r="E486" s="907" t="s">
        <v>387</v>
      </c>
      <c r="F486" s="907" t="s">
        <v>282</v>
      </c>
      <c r="G486" s="907" t="s">
        <v>28</v>
      </c>
      <c r="H486" s="145">
        <v>5535141</v>
      </c>
      <c r="I486" s="907" t="s">
        <v>806</v>
      </c>
      <c r="J486" s="907">
        <v>56</v>
      </c>
      <c r="K486" s="907">
        <v>1</v>
      </c>
      <c r="L486" s="907"/>
      <c r="M486" s="907">
        <v>0</v>
      </c>
      <c r="N486" s="907" t="s">
        <v>149</v>
      </c>
      <c r="O486" s="907"/>
      <c r="P486" s="907"/>
      <c r="Q486" s="907"/>
      <c r="R486" s="907"/>
      <c r="S486" s="907"/>
      <c r="T486" s="907"/>
      <c r="U486" s="907"/>
      <c r="V486" s="907"/>
      <c r="W486" s="908"/>
    </row>
    <row r="487" spans="1:23" customFormat="1" ht="16.5" customHeight="1">
      <c r="A487" s="63" t="s">
        <v>165</v>
      </c>
      <c r="B487" s="149">
        <v>26</v>
      </c>
      <c r="C487" s="150">
        <v>46197</v>
      </c>
      <c r="D487" s="151" t="s">
        <v>142</v>
      </c>
      <c r="E487" s="920" t="s">
        <v>387</v>
      </c>
      <c r="F487" s="920" t="s">
        <v>282</v>
      </c>
      <c r="G487" s="920" t="s">
        <v>28</v>
      </c>
      <c r="H487" s="153">
        <v>5535141</v>
      </c>
      <c r="I487" s="920" t="s">
        <v>807</v>
      </c>
      <c r="J487" s="920">
        <v>56</v>
      </c>
      <c r="K487" s="1187">
        <v>1</v>
      </c>
      <c r="L487" s="1187"/>
      <c r="M487" s="1187">
        <v>0</v>
      </c>
      <c r="N487" s="1187" t="s">
        <v>149</v>
      </c>
      <c r="O487" s="1187"/>
      <c r="P487" s="1187"/>
      <c r="Q487" s="1187"/>
      <c r="R487" s="1187"/>
      <c r="S487" s="1187"/>
      <c r="T487" s="1187"/>
      <c r="U487" s="1187"/>
      <c r="V487" s="1187"/>
      <c r="W487" s="1310"/>
    </row>
    <row r="488" spans="1:23" customFormat="1" ht="16.5" customHeight="1">
      <c r="A488" s="134" t="s">
        <v>165</v>
      </c>
      <c r="B488" s="135">
        <v>26</v>
      </c>
      <c r="C488" s="136">
        <v>46197</v>
      </c>
      <c r="D488" s="137" t="s">
        <v>142</v>
      </c>
      <c r="E488" s="918" t="s">
        <v>387</v>
      </c>
      <c r="F488" s="918" t="s">
        <v>282</v>
      </c>
      <c r="G488" s="918" t="s">
        <v>32</v>
      </c>
      <c r="H488" s="139">
        <v>5535140</v>
      </c>
      <c r="I488" s="918" t="s">
        <v>845</v>
      </c>
      <c r="J488" s="918">
        <v>56</v>
      </c>
      <c r="K488" s="1150"/>
      <c r="L488" s="1150"/>
      <c r="M488" s="1150"/>
      <c r="N488" s="1150"/>
      <c r="O488" s="1150"/>
      <c r="P488" s="1150"/>
      <c r="Q488" s="1150"/>
      <c r="R488" s="1150"/>
      <c r="S488" s="1150"/>
      <c r="T488" s="1150"/>
      <c r="U488" s="1150"/>
      <c r="V488" s="1150"/>
      <c r="W488" s="1151"/>
    </row>
    <row r="489" spans="1:23" customFormat="1" ht="16.5" customHeight="1">
      <c r="A489" s="134" t="s">
        <v>165</v>
      </c>
      <c r="B489" s="135">
        <v>26</v>
      </c>
      <c r="C489" s="136">
        <v>46197</v>
      </c>
      <c r="D489" s="137" t="s">
        <v>142</v>
      </c>
      <c r="E489" s="918" t="s">
        <v>387</v>
      </c>
      <c r="F489" s="918" t="s">
        <v>282</v>
      </c>
      <c r="G489" s="918" t="s">
        <v>32</v>
      </c>
      <c r="H489" s="139">
        <v>5535140</v>
      </c>
      <c r="I489" s="918" t="s">
        <v>846</v>
      </c>
      <c r="J489" s="918">
        <v>32</v>
      </c>
      <c r="K489" s="1165"/>
      <c r="L489" s="1165"/>
      <c r="M489" s="1165"/>
      <c r="N489" s="1165"/>
      <c r="O489" s="1165"/>
      <c r="P489" s="1165"/>
      <c r="Q489" s="1165"/>
      <c r="R489" s="1165"/>
      <c r="S489" s="1165"/>
      <c r="T489" s="1165"/>
      <c r="U489" s="1165"/>
      <c r="V489" s="1165"/>
      <c r="W489" s="1167"/>
    </row>
    <row r="490" spans="1:23" customFormat="1" ht="16.5" customHeight="1">
      <c r="A490" s="134" t="s">
        <v>165</v>
      </c>
      <c r="B490" s="135">
        <v>26</v>
      </c>
      <c r="C490" s="136">
        <v>46197</v>
      </c>
      <c r="D490" s="137" t="s">
        <v>142</v>
      </c>
      <c r="E490" s="918" t="s">
        <v>386</v>
      </c>
      <c r="F490" s="918" t="s">
        <v>274</v>
      </c>
      <c r="G490" s="918" t="s">
        <v>36</v>
      </c>
      <c r="H490" s="139">
        <v>5535131</v>
      </c>
      <c r="I490" s="918" t="s">
        <v>847</v>
      </c>
      <c r="J490" s="918">
        <v>40</v>
      </c>
      <c r="K490" s="1143">
        <v>1</v>
      </c>
      <c r="L490" s="1143"/>
      <c r="M490" s="1143">
        <v>0</v>
      </c>
      <c r="N490" s="1143" t="s">
        <v>149</v>
      </c>
      <c r="O490" s="1143"/>
      <c r="P490" s="1143"/>
      <c r="Q490" s="1143"/>
      <c r="R490" s="1143"/>
      <c r="S490" s="1143"/>
      <c r="T490" s="1143"/>
      <c r="U490" s="1143"/>
      <c r="V490" s="1143"/>
      <c r="W490" s="1145"/>
    </row>
    <row r="491" spans="1:23" customFormat="1" ht="16.5" customHeight="1">
      <c r="A491" s="134" t="s">
        <v>165</v>
      </c>
      <c r="B491" s="135">
        <v>26</v>
      </c>
      <c r="C491" s="136">
        <v>46197</v>
      </c>
      <c r="D491" s="137" t="s">
        <v>142</v>
      </c>
      <c r="E491" s="918" t="s">
        <v>386</v>
      </c>
      <c r="F491" s="918" t="s">
        <v>274</v>
      </c>
      <c r="G491" s="918" t="s">
        <v>36</v>
      </c>
      <c r="H491" s="139">
        <v>5535131</v>
      </c>
      <c r="I491" s="918" t="s">
        <v>848</v>
      </c>
      <c r="J491" s="918">
        <v>32</v>
      </c>
      <c r="K491" s="1143"/>
      <c r="L491" s="1143"/>
      <c r="M491" s="1143"/>
      <c r="N491" s="1143"/>
      <c r="O491" s="1143"/>
      <c r="P491" s="1143"/>
      <c r="Q491" s="1143"/>
      <c r="R491" s="1143"/>
      <c r="S491" s="1143"/>
      <c r="T491" s="1143"/>
      <c r="U491" s="1143"/>
      <c r="V491" s="1143"/>
      <c r="W491" s="1145"/>
    </row>
    <row r="492" spans="1:23" customFormat="1" ht="16.5" customHeight="1" thickBot="1">
      <c r="A492" s="116" t="s">
        <v>165</v>
      </c>
      <c r="B492" s="141">
        <v>26</v>
      </c>
      <c r="C492" s="142">
        <v>46197</v>
      </c>
      <c r="D492" s="143" t="s">
        <v>142</v>
      </c>
      <c r="E492" s="919" t="s">
        <v>386</v>
      </c>
      <c r="F492" s="919" t="s">
        <v>274</v>
      </c>
      <c r="G492" s="919" t="s">
        <v>28</v>
      </c>
      <c r="H492" s="145">
        <v>5535130</v>
      </c>
      <c r="I492" s="919" t="s">
        <v>849</v>
      </c>
      <c r="J492" s="919">
        <v>80</v>
      </c>
      <c r="K492" s="1156"/>
      <c r="L492" s="1156"/>
      <c r="M492" s="1156"/>
      <c r="N492" s="1156"/>
      <c r="O492" s="1156"/>
      <c r="P492" s="1156"/>
      <c r="Q492" s="1156"/>
      <c r="R492" s="1156"/>
      <c r="S492" s="1156"/>
      <c r="T492" s="1156"/>
      <c r="U492" s="1156"/>
      <c r="V492" s="1156"/>
      <c r="W492" s="1158"/>
    </row>
    <row r="493" spans="1:23" customFormat="1" ht="16.5" customHeight="1">
      <c r="A493" s="63" t="s">
        <v>165</v>
      </c>
      <c r="B493" s="149">
        <v>26</v>
      </c>
      <c r="C493" s="150">
        <v>46198</v>
      </c>
      <c r="D493" s="151" t="s">
        <v>142</v>
      </c>
      <c r="E493" s="920" t="s">
        <v>386</v>
      </c>
      <c r="F493" s="920" t="s">
        <v>274</v>
      </c>
      <c r="G493" s="920" t="s">
        <v>28</v>
      </c>
      <c r="H493" s="153">
        <v>5535130</v>
      </c>
      <c r="I493" s="920" t="s">
        <v>850</v>
      </c>
      <c r="J493" s="920">
        <v>88</v>
      </c>
      <c r="K493" s="920">
        <v>1</v>
      </c>
      <c r="L493" s="920"/>
      <c r="M493" s="920">
        <v>0</v>
      </c>
      <c r="N493" s="920" t="s">
        <v>149</v>
      </c>
      <c r="O493" s="920"/>
      <c r="P493" s="920"/>
      <c r="Q493" s="920"/>
      <c r="R493" s="920"/>
      <c r="S493" s="920"/>
      <c r="T493" s="920"/>
      <c r="U493" s="920"/>
      <c r="V493" s="920"/>
      <c r="W493" s="917"/>
    </row>
    <row r="494" spans="1:23" customFormat="1" ht="16.5" customHeight="1">
      <c r="A494" s="134" t="s">
        <v>165</v>
      </c>
      <c r="B494" s="135">
        <v>26</v>
      </c>
      <c r="C494" s="136">
        <v>46198</v>
      </c>
      <c r="D494" s="137" t="s">
        <v>142</v>
      </c>
      <c r="E494" s="918" t="s">
        <v>232</v>
      </c>
      <c r="F494" s="918" t="s">
        <v>268</v>
      </c>
      <c r="G494" s="918" t="s">
        <v>176</v>
      </c>
      <c r="H494" s="139">
        <v>5771802</v>
      </c>
      <c r="I494" s="918" t="s">
        <v>851</v>
      </c>
      <c r="J494" s="918">
        <v>168</v>
      </c>
      <c r="K494" s="1185">
        <v>1</v>
      </c>
      <c r="L494" s="1185"/>
      <c r="M494" s="1185">
        <v>0</v>
      </c>
      <c r="N494" s="1185" t="s">
        <v>149</v>
      </c>
      <c r="O494" s="1185"/>
      <c r="P494" s="1185"/>
      <c r="Q494" s="1185"/>
      <c r="R494" s="1185"/>
      <c r="S494" s="1185"/>
      <c r="T494" s="1185"/>
      <c r="U494" s="1185"/>
      <c r="V494" s="1185"/>
      <c r="W494" s="1317"/>
    </row>
    <row r="495" spans="1:23" customFormat="1" ht="16.5" customHeight="1" thickBot="1">
      <c r="A495" s="116" t="s">
        <v>165</v>
      </c>
      <c r="B495" s="141">
        <v>26</v>
      </c>
      <c r="C495" s="142">
        <v>46198</v>
      </c>
      <c r="D495" s="143" t="s">
        <v>142</v>
      </c>
      <c r="E495" s="919" t="s">
        <v>232</v>
      </c>
      <c r="F495" s="919" t="s">
        <v>268</v>
      </c>
      <c r="G495" s="919" t="s">
        <v>176</v>
      </c>
      <c r="H495" s="145">
        <v>5771802</v>
      </c>
      <c r="I495" s="919" t="s">
        <v>852</v>
      </c>
      <c r="J495" s="919">
        <v>50</v>
      </c>
      <c r="K495" s="1147"/>
      <c r="L495" s="1147"/>
      <c r="M495" s="1147"/>
      <c r="N495" s="1147"/>
      <c r="O495" s="1147"/>
      <c r="P495" s="1147"/>
      <c r="Q495" s="1147"/>
      <c r="R495" s="1147"/>
      <c r="S495" s="1147"/>
      <c r="T495" s="1147"/>
      <c r="U495" s="1147"/>
      <c r="V495" s="1147"/>
      <c r="W495" s="1149"/>
    </row>
    <row r="496" spans="1:23" customFormat="1" ht="16.5" customHeight="1">
      <c r="A496" s="63" t="s">
        <v>165</v>
      </c>
      <c r="B496" s="149">
        <v>27</v>
      </c>
      <c r="C496" s="150">
        <v>46203</v>
      </c>
      <c r="D496" s="151" t="s">
        <v>142</v>
      </c>
      <c r="E496" s="933" t="s">
        <v>232</v>
      </c>
      <c r="F496" s="933" t="s">
        <v>268</v>
      </c>
      <c r="G496" s="933" t="s">
        <v>176</v>
      </c>
      <c r="H496" s="153">
        <v>5771802</v>
      </c>
      <c r="I496" s="933" t="s">
        <v>852</v>
      </c>
      <c r="J496" s="933">
        <v>126</v>
      </c>
      <c r="K496" s="1175">
        <v>1</v>
      </c>
      <c r="L496" s="1175">
        <v>5</v>
      </c>
      <c r="M496" s="1175">
        <v>36</v>
      </c>
      <c r="N496" s="1181" t="s">
        <v>187</v>
      </c>
      <c r="O496" s="1175" t="s">
        <v>56</v>
      </c>
      <c r="P496" s="1175" t="s">
        <v>62</v>
      </c>
      <c r="Q496" s="1175" t="s">
        <v>861</v>
      </c>
      <c r="R496" s="1175" t="s">
        <v>31</v>
      </c>
      <c r="S496" s="1175" t="s">
        <v>184</v>
      </c>
      <c r="T496" s="1175" t="s">
        <v>185</v>
      </c>
      <c r="U496" s="1314" t="s">
        <v>862</v>
      </c>
      <c r="V496" s="1175" t="s">
        <v>149</v>
      </c>
      <c r="W496" s="1316">
        <v>20</v>
      </c>
    </row>
    <row r="497" spans="1:23" customFormat="1" ht="16.5" customHeight="1" thickBot="1">
      <c r="A497" s="116" t="s">
        <v>165</v>
      </c>
      <c r="B497" s="141">
        <v>27</v>
      </c>
      <c r="C497" s="142">
        <v>46203</v>
      </c>
      <c r="D497" s="143" t="s">
        <v>142</v>
      </c>
      <c r="E497" s="932" t="s">
        <v>232</v>
      </c>
      <c r="F497" s="932" t="s">
        <v>268</v>
      </c>
      <c r="G497" s="932" t="s">
        <v>176</v>
      </c>
      <c r="H497" s="145">
        <v>5771802</v>
      </c>
      <c r="I497" s="932" t="s">
        <v>853</v>
      </c>
      <c r="J497" s="932">
        <v>200</v>
      </c>
      <c r="K497" s="1147"/>
      <c r="L497" s="1147"/>
      <c r="M497" s="1147"/>
      <c r="N497" s="1182"/>
      <c r="O497" s="1147"/>
      <c r="P497" s="1147"/>
      <c r="Q497" s="1147"/>
      <c r="R497" s="1147"/>
      <c r="S497" s="1147"/>
      <c r="T497" s="1147"/>
      <c r="U497" s="1147"/>
      <c r="V497" s="1147"/>
      <c r="W497" s="1149"/>
    </row>
    <row r="498" spans="1:23" customFormat="1" ht="16.5" customHeight="1">
      <c r="A498" s="63" t="s">
        <v>166</v>
      </c>
      <c r="B498" s="149">
        <v>27</v>
      </c>
      <c r="C498" s="150">
        <v>46204</v>
      </c>
      <c r="D498" s="151" t="s">
        <v>142</v>
      </c>
      <c r="E498" s="933" t="s">
        <v>265</v>
      </c>
      <c r="F498" s="933" t="s">
        <v>270</v>
      </c>
      <c r="G498" s="933" t="s">
        <v>37</v>
      </c>
      <c r="H498" s="153">
        <v>5447763</v>
      </c>
      <c r="I498" s="933" t="s">
        <v>854</v>
      </c>
      <c r="J498" s="933">
        <v>144</v>
      </c>
      <c r="K498" s="1175">
        <v>1</v>
      </c>
      <c r="L498" s="1175">
        <v>5</v>
      </c>
      <c r="M498" s="1175">
        <v>1</v>
      </c>
      <c r="N498" s="1175" t="s">
        <v>149</v>
      </c>
      <c r="O498" s="1175" t="s">
        <v>29</v>
      </c>
      <c r="P498" s="1175" t="s">
        <v>30</v>
      </c>
      <c r="Q498" s="1175" t="s">
        <v>252</v>
      </c>
      <c r="R498" s="1175" t="s">
        <v>31</v>
      </c>
      <c r="S498" s="1175" t="s">
        <v>184</v>
      </c>
      <c r="T498" s="1175" t="s">
        <v>185</v>
      </c>
      <c r="U498" s="1175"/>
      <c r="V498" s="1175" t="s">
        <v>149</v>
      </c>
      <c r="W498" s="1316">
        <v>1</v>
      </c>
    </row>
    <row r="499" spans="1:23" customFormat="1" ht="16.5" customHeight="1">
      <c r="A499" s="134" t="s">
        <v>166</v>
      </c>
      <c r="B499" s="135">
        <v>27</v>
      </c>
      <c r="C499" s="136">
        <v>46204</v>
      </c>
      <c r="D499" s="137" t="s">
        <v>142</v>
      </c>
      <c r="E499" s="931" t="s">
        <v>265</v>
      </c>
      <c r="F499" s="931" t="s">
        <v>270</v>
      </c>
      <c r="G499" s="931" t="s">
        <v>37</v>
      </c>
      <c r="H499" s="139">
        <v>5447763</v>
      </c>
      <c r="I499" s="931" t="s">
        <v>855</v>
      </c>
      <c r="J499" s="931">
        <v>136</v>
      </c>
      <c r="K499" s="1150"/>
      <c r="L499" s="1150"/>
      <c r="M499" s="1150"/>
      <c r="N499" s="1150"/>
      <c r="O499" s="1150"/>
      <c r="P499" s="1150"/>
      <c r="Q499" s="1150"/>
      <c r="R499" s="1150"/>
      <c r="S499" s="1150"/>
      <c r="T499" s="1150"/>
      <c r="U499" s="1150"/>
      <c r="V499" s="1150"/>
      <c r="W499" s="1151"/>
    </row>
    <row r="500" spans="1:23" customFormat="1" ht="16.5" customHeight="1" thickBot="1">
      <c r="A500" s="116" t="s">
        <v>166</v>
      </c>
      <c r="B500" s="141">
        <v>27</v>
      </c>
      <c r="C500" s="142">
        <v>46204</v>
      </c>
      <c r="D500" s="143" t="s">
        <v>142</v>
      </c>
      <c r="E500" s="932" t="s">
        <v>265</v>
      </c>
      <c r="F500" s="932" t="s">
        <v>270</v>
      </c>
      <c r="G500" s="932" t="s">
        <v>37</v>
      </c>
      <c r="H500" s="145">
        <v>5447763</v>
      </c>
      <c r="I500" s="932" t="s">
        <v>856</v>
      </c>
      <c r="J500" s="932">
        <v>40</v>
      </c>
      <c r="K500" s="1147"/>
      <c r="L500" s="1147"/>
      <c r="M500" s="1147"/>
      <c r="N500" s="1147"/>
      <c r="O500" s="1147"/>
      <c r="P500" s="1147"/>
      <c r="Q500" s="1147"/>
      <c r="R500" s="1147"/>
      <c r="S500" s="1147"/>
      <c r="T500" s="1147"/>
      <c r="U500" s="1147"/>
      <c r="V500" s="1147"/>
      <c r="W500" s="1149"/>
    </row>
    <row r="501" spans="1:23" customFormat="1" ht="16.5" customHeight="1">
      <c r="A501" s="219" t="s">
        <v>166</v>
      </c>
      <c r="B501" s="214">
        <v>27</v>
      </c>
      <c r="C501" s="215">
        <v>46205</v>
      </c>
      <c r="D501" s="216" t="s">
        <v>142</v>
      </c>
      <c r="E501" s="929" t="s">
        <v>265</v>
      </c>
      <c r="F501" s="929" t="s">
        <v>270</v>
      </c>
      <c r="G501" s="929" t="s">
        <v>37</v>
      </c>
      <c r="H501" s="217">
        <v>5447763</v>
      </c>
      <c r="I501" s="929" t="s">
        <v>856</v>
      </c>
      <c r="J501" s="929">
        <v>100</v>
      </c>
      <c r="K501" s="929">
        <v>1</v>
      </c>
      <c r="L501" s="929"/>
      <c r="M501" s="929">
        <v>0</v>
      </c>
      <c r="N501" s="929" t="s">
        <v>149</v>
      </c>
      <c r="O501" s="929"/>
      <c r="P501" s="929"/>
      <c r="Q501" s="929"/>
      <c r="R501" s="929"/>
      <c r="S501" s="929"/>
      <c r="T501" s="929"/>
      <c r="U501" s="929"/>
      <c r="V501" s="929"/>
      <c r="W501" s="930"/>
    </row>
    <row r="502" spans="1:23" customFormat="1" ht="16.5" customHeight="1">
      <c r="A502" s="134" t="s">
        <v>166</v>
      </c>
      <c r="B502" s="135">
        <v>27</v>
      </c>
      <c r="C502" s="136">
        <v>46205</v>
      </c>
      <c r="D502" s="137" t="s">
        <v>142</v>
      </c>
      <c r="E502" s="922" t="s">
        <v>387</v>
      </c>
      <c r="F502" s="922" t="s">
        <v>282</v>
      </c>
      <c r="G502" s="922" t="s">
        <v>36</v>
      </c>
      <c r="H502" s="139">
        <v>5535142</v>
      </c>
      <c r="I502" s="922" t="s">
        <v>792</v>
      </c>
      <c r="J502" s="922">
        <v>43</v>
      </c>
      <c r="K502" s="1179">
        <v>1</v>
      </c>
      <c r="L502" s="1179"/>
      <c r="M502" s="1179">
        <v>0</v>
      </c>
      <c r="N502" s="1179" t="s">
        <v>149</v>
      </c>
      <c r="O502" s="1179"/>
      <c r="P502" s="1179"/>
      <c r="Q502" s="1179"/>
      <c r="R502" s="1179"/>
      <c r="S502" s="1179"/>
      <c r="T502" s="1179"/>
      <c r="U502" s="1179"/>
      <c r="V502" s="1179"/>
      <c r="W502" s="1180"/>
    </row>
    <row r="503" spans="1:23" customFormat="1" ht="16.5" customHeight="1">
      <c r="A503" s="134" t="s">
        <v>166</v>
      </c>
      <c r="B503" s="135">
        <v>27</v>
      </c>
      <c r="C503" s="136">
        <v>46205</v>
      </c>
      <c r="D503" s="137" t="s">
        <v>142</v>
      </c>
      <c r="E503" s="922" t="s">
        <v>387</v>
      </c>
      <c r="F503" s="922" t="s">
        <v>282</v>
      </c>
      <c r="G503" s="922" t="s">
        <v>36</v>
      </c>
      <c r="H503" s="139">
        <v>5535142</v>
      </c>
      <c r="I503" s="922" t="s">
        <v>864</v>
      </c>
      <c r="J503" s="922">
        <v>8</v>
      </c>
      <c r="K503" s="1150"/>
      <c r="L503" s="1150"/>
      <c r="M503" s="1150"/>
      <c r="N503" s="1150"/>
      <c r="O503" s="1150"/>
      <c r="P503" s="1150"/>
      <c r="Q503" s="1150"/>
      <c r="R503" s="1150"/>
      <c r="S503" s="1150"/>
      <c r="T503" s="1150"/>
      <c r="U503" s="1150"/>
      <c r="V503" s="1150"/>
      <c r="W503" s="1151"/>
    </row>
    <row r="504" spans="1:23" customFormat="1" ht="16.5" customHeight="1">
      <c r="A504" s="134" t="s">
        <v>166</v>
      </c>
      <c r="B504" s="135">
        <v>27</v>
      </c>
      <c r="C504" s="136">
        <v>46205</v>
      </c>
      <c r="D504" s="137" t="s">
        <v>142</v>
      </c>
      <c r="E504" s="922" t="s">
        <v>387</v>
      </c>
      <c r="F504" s="922" t="s">
        <v>282</v>
      </c>
      <c r="G504" s="922" t="s">
        <v>36</v>
      </c>
      <c r="H504" s="139">
        <v>5535142</v>
      </c>
      <c r="I504" s="922" t="s">
        <v>857</v>
      </c>
      <c r="J504" s="922">
        <v>16</v>
      </c>
      <c r="K504" s="1150"/>
      <c r="L504" s="1150"/>
      <c r="M504" s="1150"/>
      <c r="N504" s="1150"/>
      <c r="O504" s="1150"/>
      <c r="P504" s="1150"/>
      <c r="Q504" s="1150"/>
      <c r="R504" s="1150"/>
      <c r="S504" s="1150"/>
      <c r="T504" s="1150"/>
      <c r="U504" s="1150"/>
      <c r="V504" s="1150"/>
      <c r="W504" s="1151"/>
    </row>
    <row r="505" spans="1:23" customFormat="1" ht="16.5" customHeight="1">
      <c r="A505" s="134" t="s">
        <v>166</v>
      </c>
      <c r="B505" s="135">
        <v>27</v>
      </c>
      <c r="C505" s="136">
        <v>46205</v>
      </c>
      <c r="D505" s="137" t="s">
        <v>142</v>
      </c>
      <c r="E505" s="922" t="s">
        <v>387</v>
      </c>
      <c r="F505" s="922" t="s">
        <v>282</v>
      </c>
      <c r="G505" s="922" t="s">
        <v>36</v>
      </c>
      <c r="H505" s="139">
        <v>5535142</v>
      </c>
      <c r="I505" s="922" t="s">
        <v>858</v>
      </c>
      <c r="J505" s="922">
        <v>8</v>
      </c>
      <c r="K505" s="1150"/>
      <c r="L505" s="1150"/>
      <c r="M505" s="1150"/>
      <c r="N505" s="1150"/>
      <c r="O505" s="1150"/>
      <c r="P505" s="1150"/>
      <c r="Q505" s="1150"/>
      <c r="R505" s="1150"/>
      <c r="S505" s="1150"/>
      <c r="T505" s="1150"/>
      <c r="U505" s="1150"/>
      <c r="V505" s="1150"/>
      <c r="W505" s="1151"/>
    </row>
    <row r="506" spans="1:23" customFormat="1" ht="16.5" customHeight="1">
      <c r="A506" s="134" t="s">
        <v>166</v>
      </c>
      <c r="B506" s="135">
        <v>27</v>
      </c>
      <c r="C506" s="136">
        <v>46205</v>
      </c>
      <c r="D506" s="137" t="s">
        <v>142</v>
      </c>
      <c r="E506" s="922" t="s">
        <v>387</v>
      </c>
      <c r="F506" s="922" t="s">
        <v>282</v>
      </c>
      <c r="G506" s="922" t="s">
        <v>36</v>
      </c>
      <c r="H506" s="139">
        <v>5535142</v>
      </c>
      <c r="I506" s="922" t="s">
        <v>859</v>
      </c>
      <c r="J506" s="922">
        <v>8</v>
      </c>
      <c r="K506" s="1150"/>
      <c r="L506" s="1150"/>
      <c r="M506" s="1150"/>
      <c r="N506" s="1150"/>
      <c r="O506" s="1150"/>
      <c r="P506" s="1150"/>
      <c r="Q506" s="1150"/>
      <c r="R506" s="1150"/>
      <c r="S506" s="1150"/>
      <c r="T506" s="1150"/>
      <c r="U506" s="1150"/>
      <c r="V506" s="1150"/>
      <c r="W506" s="1151"/>
    </row>
    <row r="507" spans="1:23" customFormat="1" ht="16.5" customHeight="1">
      <c r="A507" s="134" t="s">
        <v>166</v>
      </c>
      <c r="B507" s="135">
        <v>27</v>
      </c>
      <c r="C507" s="136">
        <v>46205</v>
      </c>
      <c r="D507" s="137" t="s">
        <v>142</v>
      </c>
      <c r="E507" s="922" t="s">
        <v>387</v>
      </c>
      <c r="F507" s="922" t="s">
        <v>282</v>
      </c>
      <c r="G507" s="922" t="s">
        <v>36</v>
      </c>
      <c r="H507" s="139">
        <v>5535142</v>
      </c>
      <c r="I507" s="922" t="s">
        <v>865</v>
      </c>
      <c r="J507" s="922">
        <v>8</v>
      </c>
      <c r="K507" s="1165"/>
      <c r="L507" s="1165"/>
      <c r="M507" s="1165"/>
      <c r="N507" s="1165"/>
      <c r="O507" s="1165"/>
      <c r="P507" s="1165"/>
      <c r="Q507" s="1165"/>
      <c r="R507" s="1165"/>
      <c r="S507" s="1165"/>
      <c r="T507" s="1165"/>
      <c r="U507" s="1165"/>
      <c r="V507" s="1165"/>
      <c r="W507" s="1167"/>
    </row>
    <row r="508" spans="1:23" customFormat="1" ht="16.5" customHeight="1" thickBot="1">
      <c r="A508" s="116" t="s">
        <v>166</v>
      </c>
      <c r="B508" s="141">
        <v>27</v>
      </c>
      <c r="C508" s="142">
        <v>46205</v>
      </c>
      <c r="D508" s="143" t="s">
        <v>142</v>
      </c>
      <c r="E508" s="924" t="s">
        <v>232</v>
      </c>
      <c r="F508" s="924" t="s">
        <v>266</v>
      </c>
      <c r="G508" s="924" t="s">
        <v>37</v>
      </c>
      <c r="H508" s="145">
        <v>5766065</v>
      </c>
      <c r="I508" s="924" t="s">
        <v>860</v>
      </c>
      <c r="J508" s="924">
        <v>140</v>
      </c>
      <c r="K508" s="924">
        <v>1</v>
      </c>
      <c r="L508" s="924"/>
      <c r="M508" s="924">
        <v>0</v>
      </c>
      <c r="N508" s="924" t="s">
        <v>149</v>
      </c>
      <c r="O508" s="924"/>
      <c r="P508" s="924"/>
      <c r="Q508" s="924"/>
      <c r="R508" s="924"/>
      <c r="S508" s="924"/>
      <c r="T508" s="924"/>
      <c r="U508" s="924"/>
      <c r="V508" s="924"/>
      <c r="W508" s="925"/>
    </row>
    <row r="509" spans="1:23" customFormat="1" ht="16.5" customHeight="1">
      <c r="A509" s="63" t="s">
        <v>166</v>
      </c>
      <c r="B509" s="64">
        <v>27</v>
      </c>
      <c r="C509" s="65">
        <v>46206</v>
      </c>
      <c r="D509" s="66" t="s">
        <v>142</v>
      </c>
      <c r="E509" s="934" t="s">
        <v>232</v>
      </c>
      <c r="F509" s="934" t="s">
        <v>266</v>
      </c>
      <c r="G509" s="934" t="s">
        <v>37</v>
      </c>
      <c r="H509" s="163">
        <v>5766065</v>
      </c>
      <c r="I509" s="934" t="s">
        <v>860</v>
      </c>
      <c r="J509" s="934">
        <v>136</v>
      </c>
      <c r="K509" s="1174">
        <v>1</v>
      </c>
      <c r="L509" s="1174">
        <v>5</v>
      </c>
      <c r="M509" s="1174">
        <v>1</v>
      </c>
      <c r="N509" s="1174" t="s">
        <v>149</v>
      </c>
      <c r="O509" s="1174" t="s">
        <v>39</v>
      </c>
      <c r="P509" s="1174" t="s">
        <v>40</v>
      </c>
      <c r="Q509" s="1174" t="s">
        <v>316</v>
      </c>
      <c r="R509" s="1174" t="s">
        <v>31</v>
      </c>
      <c r="S509" s="1174" t="s">
        <v>184</v>
      </c>
      <c r="T509" s="1174" t="s">
        <v>185</v>
      </c>
      <c r="U509" s="1174"/>
      <c r="V509" s="1174" t="s">
        <v>149</v>
      </c>
      <c r="W509" s="1183">
        <v>1</v>
      </c>
    </row>
    <row r="510" spans="1:23" customFormat="1" ht="16.5" customHeight="1" thickBot="1">
      <c r="A510" s="935" t="s">
        <v>166</v>
      </c>
      <c r="B510" s="936">
        <v>27</v>
      </c>
      <c r="C510" s="937">
        <v>46206</v>
      </c>
      <c r="D510" s="938" t="s">
        <v>142</v>
      </c>
      <c r="E510" s="939" t="s">
        <v>232</v>
      </c>
      <c r="F510" s="939" t="s">
        <v>266</v>
      </c>
      <c r="G510" s="939" t="s">
        <v>37</v>
      </c>
      <c r="H510" s="940">
        <v>5766065</v>
      </c>
      <c r="I510" s="939" t="s">
        <v>866</v>
      </c>
      <c r="J510" s="939">
        <v>200</v>
      </c>
      <c r="K510" s="1150"/>
      <c r="L510" s="1150"/>
      <c r="M510" s="1150"/>
      <c r="N510" s="1150"/>
      <c r="O510" s="1150"/>
      <c r="P510" s="1150"/>
      <c r="Q510" s="1150"/>
      <c r="R510" s="1150"/>
      <c r="S510" s="1150"/>
      <c r="T510" s="1150"/>
      <c r="U510" s="1150"/>
      <c r="V510" s="1150"/>
      <c r="W510" s="1151"/>
    </row>
    <row r="511" spans="1:23" customFormat="1" ht="16.5" customHeight="1">
      <c r="A511" s="63" t="s">
        <v>166</v>
      </c>
      <c r="B511" s="149">
        <v>27</v>
      </c>
      <c r="C511" s="150">
        <v>46207</v>
      </c>
      <c r="D511" s="151" t="s">
        <v>142</v>
      </c>
      <c r="E511" s="944" t="s">
        <v>232</v>
      </c>
      <c r="F511" s="944" t="s">
        <v>266</v>
      </c>
      <c r="G511" s="944" t="s">
        <v>37</v>
      </c>
      <c r="H511" s="153">
        <v>5766065</v>
      </c>
      <c r="I511" s="944" t="s">
        <v>866</v>
      </c>
      <c r="J511" s="944">
        <v>176</v>
      </c>
      <c r="K511" s="1175">
        <v>1</v>
      </c>
      <c r="L511" s="1175"/>
      <c r="M511" s="1175">
        <v>0</v>
      </c>
      <c r="N511" s="1175" t="s">
        <v>149</v>
      </c>
      <c r="O511" s="1175"/>
      <c r="P511" s="1175"/>
      <c r="Q511" s="1175"/>
      <c r="R511" s="1175"/>
      <c r="S511" s="1175"/>
      <c r="T511" s="1175"/>
      <c r="U511" s="1175"/>
      <c r="V511" s="1175"/>
      <c r="W511" s="1316"/>
    </row>
    <row r="512" spans="1:23" customFormat="1" ht="16.5" customHeight="1">
      <c r="A512" s="134" t="s">
        <v>166</v>
      </c>
      <c r="B512" s="135">
        <v>27</v>
      </c>
      <c r="C512" s="136">
        <v>46207</v>
      </c>
      <c r="D512" s="137" t="s">
        <v>142</v>
      </c>
      <c r="E512" s="942" t="s">
        <v>232</v>
      </c>
      <c r="F512" s="942" t="s">
        <v>267</v>
      </c>
      <c r="G512" s="942" t="s">
        <v>37</v>
      </c>
      <c r="H512" s="139">
        <v>5771962</v>
      </c>
      <c r="I512" s="942" t="s">
        <v>867</v>
      </c>
      <c r="J512" s="942">
        <v>248</v>
      </c>
      <c r="K512" s="1150"/>
      <c r="L512" s="1150"/>
      <c r="M512" s="1150"/>
      <c r="N512" s="1150"/>
      <c r="O512" s="1150"/>
      <c r="P512" s="1150"/>
      <c r="Q512" s="1150"/>
      <c r="R512" s="1150"/>
      <c r="S512" s="1150"/>
      <c r="T512" s="1150"/>
      <c r="U512" s="1150"/>
      <c r="V512" s="1150"/>
      <c r="W512" s="1151"/>
    </row>
    <row r="513" spans="1:23" customFormat="1" ht="16.5" customHeight="1" thickBot="1">
      <c r="A513" s="946" t="s">
        <v>166</v>
      </c>
      <c r="B513" s="947">
        <v>27</v>
      </c>
      <c r="C513" s="948">
        <v>46207</v>
      </c>
      <c r="D513" s="949" t="s">
        <v>142</v>
      </c>
      <c r="E513" s="945" t="s">
        <v>232</v>
      </c>
      <c r="F513" s="945" t="s">
        <v>267</v>
      </c>
      <c r="G513" s="945" t="s">
        <v>37</v>
      </c>
      <c r="H513" s="950">
        <v>5771962</v>
      </c>
      <c r="I513" s="945" t="s">
        <v>868</v>
      </c>
      <c r="J513" s="945">
        <v>48</v>
      </c>
      <c r="K513" s="1150"/>
      <c r="L513" s="1150"/>
      <c r="M513" s="1150"/>
      <c r="N513" s="1150"/>
      <c r="O513" s="1150"/>
      <c r="P513" s="1150"/>
      <c r="Q513" s="1150"/>
      <c r="R513" s="1150"/>
      <c r="S513" s="1150"/>
      <c r="T513" s="1150"/>
      <c r="U513" s="1150"/>
      <c r="V513" s="1150"/>
      <c r="W513" s="1151"/>
    </row>
    <row r="514" spans="1:23" customFormat="1" ht="16.5" customHeight="1">
      <c r="A514" s="63" t="s">
        <v>166</v>
      </c>
      <c r="B514" s="64">
        <v>28</v>
      </c>
      <c r="C514" s="65">
        <v>46209</v>
      </c>
      <c r="D514" s="66" t="s">
        <v>142</v>
      </c>
      <c r="E514" s="941" t="s">
        <v>232</v>
      </c>
      <c r="F514" s="941" t="s">
        <v>275</v>
      </c>
      <c r="G514" s="941" t="s">
        <v>37</v>
      </c>
      <c r="H514" s="163">
        <v>5823326</v>
      </c>
      <c r="I514" s="941">
        <v>4523453605</v>
      </c>
      <c r="J514" s="941">
        <v>15</v>
      </c>
      <c r="K514" s="1142">
        <v>1</v>
      </c>
      <c r="L514" s="1142">
        <v>1</v>
      </c>
      <c r="M514" s="1142">
        <v>8</v>
      </c>
      <c r="N514" s="1315" t="s">
        <v>187</v>
      </c>
      <c r="O514" s="1142" t="s">
        <v>67</v>
      </c>
      <c r="P514" s="1142" t="s">
        <v>57</v>
      </c>
      <c r="Q514" s="1142" t="s">
        <v>869</v>
      </c>
      <c r="R514" s="1142" t="s">
        <v>31</v>
      </c>
      <c r="S514" s="1142" t="s">
        <v>184</v>
      </c>
      <c r="T514" s="1142" t="s">
        <v>185</v>
      </c>
      <c r="U514" s="1142"/>
      <c r="V514" s="1142" t="s">
        <v>149</v>
      </c>
      <c r="W514" s="1153">
        <v>8</v>
      </c>
    </row>
    <row r="515" spans="1:23" customFormat="1" ht="16.5" customHeight="1">
      <c r="A515" s="134" t="s">
        <v>166</v>
      </c>
      <c r="B515" s="135">
        <v>28</v>
      </c>
      <c r="C515" s="136">
        <v>46209</v>
      </c>
      <c r="D515" s="137" t="s">
        <v>142</v>
      </c>
      <c r="E515" s="942" t="s">
        <v>232</v>
      </c>
      <c r="F515" s="942" t="s">
        <v>275</v>
      </c>
      <c r="G515" s="942" t="s">
        <v>37</v>
      </c>
      <c r="H515" s="139">
        <v>5823326</v>
      </c>
      <c r="I515" s="942">
        <v>4524209404</v>
      </c>
      <c r="J515" s="942">
        <v>1</v>
      </c>
      <c r="K515" s="1143"/>
      <c r="L515" s="1143"/>
      <c r="M515" s="1143"/>
      <c r="N515" s="1232"/>
      <c r="O515" s="1143"/>
      <c r="P515" s="1143"/>
      <c r="Q515" s="1143"/>
      <c r="R515" s="1143"/>
      <c r="S515" s="1143"/>
      <c r="T515" s="1143"/>
      <c r="U515" s="1143"/>
      <c r="V515" s="1143"/>
      <c r="W515" s="1145"/>
    </row>
    <row r="516" spans="1:23" customFormat="1" ht="16.5" customHeight="1">
      <c r="A516" s="134" t="s">
        <v>166</v>
      </c>
      <c r="B516" s="135">
        <v>28</v>
      </c>
      <c r="C516" s="136">
        <v>46209</v>
      </c>
      <c r="D516" s="137" t="s">
        <v>142</v>
      </c>
      <c r="E516" s="942" t="s">
        <v>232</v>
      </c>
      <c r="F516" s="942" t="s">
        <v>272</v>
      </c>
      <c r="G516" s="942" t="s">
        <v>37</v>
      </c>
      <c r="H516" s="139">
        <v>5823327</v>
      </c>
      <c r="I516" s="942">
        <v>4524231672</v>
      </c>
      <c r="J516" s="942">
        <v>36</v>
      </c>
      <c r="K516" s="1143"/>
      <c r="L516" s="1143"/>
      <c r="M516" s="1143"/>
      <c r="N516" s="1232"/>
      <c r="O516" s="1143"/>
      <c r="P516" s="1143"/>
      <c r="Q516" s="1143"/>
      <c r="R516" s="1143"/>
      <c r="S516" s="1143"/>
      <c r="T516" s="1143"/>
      <c r="U516" s="1143"/>
      <c r="V516" s="1143"/>
      <c r="W516" s="1145"/>
    </row>
    <row r="517" spans="1:23" customFormat="1" ht="16.5" customHeight="1">
      <c r="A517" s="134" t="s">
        <v>166</v>
      </c>
      <c r="B517" s="135">
        <v>28</v>
      </c>
      <c r="C517" s="136">
        <v>46209</v>
      </c>
      <c r="D517" s="137" t="s">
        <v>145</v>
      </c>
      <c r="E517" s="942" t="s">
        <v>50</v>
      </c>
      <c r="F517" s="942" t="s">
        <v>258</v>
      </c>
      <c r="G517" s="942" t="s">
        <v>36</v>
      </c>
      <c r="H517" s="139">
        <v>5797097</v>
      </c>
      <c r="I517" s="942">
        <v>4523847404</v>
      </c>
      <c r="J517" s="942">
        <v>4</v>
      </c>
      <c r="K517" s="1143">
        <v>1</v>
      </c>
      <c r="L517" s="1143">
        <v>5</v>
      </c>
      <c r="M517" s="1143">
        <v>1</v>
      </c>
      <c r="N517" s="1143" t="s">
        <v>149</v>
      </c>
      <c r="O517" s="1143" t="s">
        <v>96</v>
      </c>
      <c r="P517" s="1143" t="s">
        <v>40</v>
      </c>
      <c r="Q517" s="1143" t="s">
        <v>870</v>
      </c>
      <c r="R517" s="1143" t="s">
        <v>31</v>
      </c>
      <c r="S517" s="1143" t="s">
        <v>184</v>
      </c>
      <c r="T517" s="1143" t="s">
        <v>185</v>
      </c>
      <c r="U517" s="1143"/>
      <c r="V517" s="1143" t="s">
        <v>149</v>
      </c>
      <c r="W517" s="1145">
        <v>1</v>
      </c>
    </row>
    <row r="518" spans="1:23" customFormat="1" ht="16.5" customHeight="1">
      <c r="A518" s="134" t="s">
        <v>166</v>
      </c>
      <c r="B518" s="135">
        <v>28</v>
      </c>
      <c r="C518" s="136">
        <v>46209</v>
      </c>
      <c r="D518" s="137" t="s">
        <v>145</v>
      </c>
      <c r="E518" s="942" t="s">
        <v>50</v>
      </c>
      <c r="F518" s="942" t="s">
        <v>258</v>
      </c>
      <c r="G518" s="942" t="s">
        <v>28</v>
      </c>
      <c r="H518" s="139">
        <v>5797096</v>
      </c>
      <c r="I518" s="942">
        <v>4523847404</v>
      </c>
      <c r="J518" s="942">
        <v>4</v>
      </c>
      <c r="K518" s="1143"/>
      <c r="L518" s="1143"/>
      <c r="M518" s="1143"/>
      <c r="N518" s="1143"/>
      <c r="O518" s="1143"/>
      <c r="P518" s="1143"/>
      <c r="Q518" s="1143"/>
      <c r="R518" s="1143"/>
      <c r="S518" s="1143"/>
      <c r="T518" s="1143"/>
      <c r="U518" s="1143"/>
      <c r="V518" s="1143"/>
      <c r="W518" s="1145"/>
    </row>
    <row r="519" spans="1:23" customFormat="1" ht="16.5" customHeight="1">
      <c r="A519" s="134" t="s">
        <v>166</v>
      </c>
      <c r="B519" s="135">
        <v>28</v>
      </c>
      <c r="C519" s="136">
        <v>46209</v>
      </c>
      <c r="D519" s="137" t="s">
        <v>145</v>
      </c>
      <c r="E519" s="942" t="s">
        <v>50</v>
      </c>
      <c r="F519" s="942" t="s">
        <v>258</v>
      </c>
      <c r="G519" s="942" t="s">
        <v>32</v>
      </c>
      <c r="H519" s="139">
        <v>5797095</v>
      </c>
      <c r="I519" s="942">
        <v>4523847404</v>
      </c>
      <c r="J519" s="942">
        <v>4</v>
      </c>
      <c r="K519" s="1143"/>
      <c r="L519" s="1143"/>
      <c r="M519" s="1143"/>
      <c r="N519" s="1143"/>
      <c r="O519" s="1143"/>
      <c r="P519" s="1143"/>
      <c r="Q519" s="1143"/>
      <c r="R519" s="1143"/>
      <c r="S519" s="1143"/>
      <c r="T519" s="1143"/>
      <c r="U519" s="1143"/>
      <c r="V519" s="1143"/>
      <c r="W519" s="1145"/>
    </row>
    <row r="520" spans="1:23" customFormat="1" ht="16.5" customHeight="1">
      <c r="A520" s="134" t="s">
        <v>166</v>
      </c>
      <c r="B520" s="135">
        <v>28</v>
      </c>
      <c r="C520" s="136">
        <v>46209</v>
      </c>
      <c r="D520" s="137" t="s">
        <v>142</v>
      </c>
      <c r="E520" s="942" t="s">
        <v>386</v>
      </c>
      <c r="F520" s="942" t="s">
        <v>274</v>
      </c>
      <c r="G520" s="942" t="s">
        <v>36</v>
      </c>
      <c r="H520" s="139">
        <v>5535131</v>
      </c>
      <c r="I520" s="942" t="s">
        <v>871</v>
      </c>
      <c r="J520" s="942">
        <v>24</v>
      </c>
      <c r="K520" s="1143">
        <v>1</v>
      </c>
      <c r="L520" s="1143"/>
      <c r="M520" s="1143">
        <v>0</v>
      </c>
      <c r="N520" s="1143" t="s">
        <v>149</v>
      </c>
      <c r="O520" s="1143"/>
      <c r="P520" s="1143"/>
      <c r="Q520" s="1143"/>
      <c r="R520" s="1143"/>
      <c r="S520" s="1143"/>
      <c r="T520" s="1143"/>
      <c r="U520" s="1143"/>
      <c r="V520" s="1143"/>
      <c r="W520" s="1145"/>
    </row>
    <row r="521" spans="1:23" customFormat="1" ht="16.5" customHeight="1">
      <c r="A521" s="134" t="s">
        <v>166</v>
      </c>
      <c r="B521" s="135">
        <v>28</v>
      </c>
      <c r="C521" s="136">
        <v>46209</v>
      </c>
      <c r="D521" s="137" t="s">
        <v>142</v>
      </c>
      <c r="E521" s="942" t="s">
        <v>386</v>
      </c>
      <c r="F521" s="942" t="s">
        <v>274</v>
      </c>
      <c r="G521" s="942" t="s">
        <v>36</v>
      </c>
      <c r="H521" s="139">
        <v>5535131</v>
      </c>
      <c r="I521" s="942" t="s">
        <v>875</v>
      </c>
      <c r="J521" s="942">
        <v>40</v>
      </c>
      <c r="K521" s="1143"/>
      <c r="L521" s="1143"/>
      <c r="M521" s="1143"/>
      <c r="N521" s="1143"/>
      <c r="O521" s="1143"/>
      <c r="P521" s="1143"/>
      <c r="Q521" s="1143"/>
      <c r="R521" s="1143"/>
      <c r="S521" s="1143"/>
      <c r="T521" s="1143"/>
      <c r="U521" s="1143"/>
      <c r="V521" s="1143"/>
      <c r="W521" s="1145"/>
    </row>
    <row r="522" spans="1:23" customFormat="1" ht="16.5" customHeight="1">
      <c r="A522" s="134" t="s">
        <v>166</v>
      </c>
      <c r="B522" s="135">
        <v>28</v>
      </c>
      <c r="C522" s="136">
        <v>46209</v>
      </c>
      <c r="D522" s="137" t="s">
        <v>142</v>
      </c>
      <c r="E522" s="942" t="s">
        <v>386</v>
      </c>
      <c r="F522" s="942" t="s">
        <v>274</v>
      </c>
      <c r="G522" s="942" t="s">
        <v>28</v>
      </c>
      <c r="H522" s="139">
        <v>5535130</v>
      </c>
      <c r="I522" s="942" t="s">
        <v>872</v>
      </c>
      <c r="J522" s="942">
        <v>36</v>
      </c>
      <c r="K522" s="1143"/>
      <c r="L522" s="1143"/>
      <c r="M522" s="1143"/>
      <c r="N522" s="1143"/>
      <c r="O522" s="1143"/>
      <c r="P522" s="1143"/>
      <c r="Q522" s="1143"/>
      <c r="R522" s="1143"/>
      <c r="S522" s="1143"/>
      <c r="T522" s="1143"/>
      <c r="U522" s="1143"/>
      <c r="V522" s="1143"/>
      <c r="W522" s="1145"/>
    </row>
    <row r="523" spans="1:23" customFormat="1" ht="16.5" customHeight="1">
      <c r="A523" s="134" t="s">
        <v>166</v>
      </c>
      <c r="B523" s="135">
        <v>28</v>
      </c>
      <c r="C523" s="136">
        <v>46209</v>
      </c>
      <c r="D523" s="137" t="s">
        <v>142</v>
      </c>
      <c r="E523" s="942" t="s">
        <v>387</v>
      </c>
      <c r="F523" s="942" t="s">
        <v>283</v>
      </c>
      <c r="G523" s="942" t="s">
        <v>36</v>
      </c>
      <c r="H523" s="139">
        <v>5535146</v>
      </c>
      <c r="I523" s="942" t="s">
        <v>873</v>
      </c>
      <c r="J523" s="942">
        <v>14</v>
      </c>
      <c r="K523" s="1143">
        <v>1</v>
      </c>
      <c r="L523" s="1143"/>
      <c r="M523" s="1143">
        <v>0</v>
      </c>
      <c r="N523" s="1143" t="s">
        <v>149</v>
      </c>
      <c r="O523" s="1143"/>
      <c r="P523" s="1143"/>
      <c r="Q523" s="1143"/>
      <c r="R523" s="1143"/>
      <c r="S523" s="1143"/>
      <c r="T523" s="1143"/>
      <c r="U523" s="1143"/>
      <c r="V523" s="1143"/>
      <c r="W523" s="1145"/>
    </row>
    <row r="524" spans="1:23" customFormat="1" ht="16.5" customHeight="1" thickBot="1">
      <c r="A524" s="116" t="s">
        <v>166</v>
      </c>
      <c r="B524" s="141">
        <v>28</v>
      </c>
      <c r="C524" s="142">
        <v>46209</v>
      </c>
      <c r="D524" s="143" t="s">
        <v>142</v>
      </c>
      <c r="E524" s="943" t="s">
        <v>387</v>
      </c>
      <c r="F524" s="943" t="s">
        <v>283</v>
      </c>
      <c r="G524" s="943" t="s">
        <v>32</v>
      </c>
      <c r="H524" s="145">
        <v>5535144</v>
      </c>
      <c r="I524" s="943" t="s">
        <v>874</v>
      </c>
      <c r="J524" s="943">
        <v>2</v>
      </c>
      <c r="K524" s="1156"/>
      <c r="L524" s="1156"/>
      <c r="M524" s="1156"/>
      <c r="N524" s="1156"/>
      <c r="O524" s="1156"/>
      <c r="P524" s="1156"/>
      <c r="Q524" s="1156"/>
      <c r="R524" s="1156"/>
      <c r="S524" s="1156"/>
      <c r="T524" s="1156"/>
      <c r="U524" s="1156"/>
      <c r="V524" s="1156"/>
      <c r="W524" s="1158"/>
    </row>
    <row r="525" spans="1:23" customFormat="1" ht="16.5" customHeight="1">
      <c r="A525" s="63" t="s">
        <v>166</v>
      </c>
      <c r="B525" s="149">
        <v>28</v>
      </c>
      <c r="C525" s="150">
        <v>46212</v>
      </c>
      <c r="D525" s="151" t="s">
        <v>142</v>
      </c>
      <c r="E525" s="955" t="s">
        <v>386</v>
      </c>
      <c r="F525" s="955" t="s">
        <v>273</v>
      </c>
      <c r="G525" s="955" t="s">
        <v>28</v>
      </c>
      <c r="H525" s="153">
        <v>5535134</v>
      </c>
      <c r="I525" s="955" t="s">
        <v>877</v>
      </c>
      <c r="J525" s="955">
        <v>50</v>
      </c>
      <c r="K525" s="955">
        <v>1</v>
      </c>
      <c r="L525" s="955"/>
      <c r="M525" s="955">
        <v>0</v>
      </c>
      <c r="N525" s="955" t="s">
        <v>149</v>
      </c>
      <c r="O525" s="955"/>
      <c r="P525" s="955"/>
      <c r="Q525" s="955"/>
      <c r="R525" s="955"/>
      <c r="S525" s="955"/>
      <c r="T525" s="955"/>
      <c r="U525" s="955"/>
      <c r="V525" s="955"/>
      <c r="W525" s="952"/>
    </row>
    <row r="526" spans="1:23" customFormat="1" ht="16.5" customHeight="1">
      <c r="A526" s="134" t="s">
        <v>166</v>
      </c>
      <c r="B526" s="135">
        <v>28</v>
      </c>
      <c r="C526" s="136">
        <v>46212</v>
      </c>
      <c r="D526" s="137" t="s">
        <v>142</v>
      </c>
      <c r="E526" s="951" t="s">
        <v>387</v>
      </c>
      <c r="F526" s="951" t="s">
        <v>282</v>
      </c>
      <c r="G526" s="951" t="s">
        <v>28</v>
      </c>
      <c r="H526" s="139">
        <v>5535141</v>
      </c>
      <c r="I526" s="951" t="s">
        <v>878</v>
      </c>
      <c r="J526" s="951">
        <v>14</v>
      </c>
      <c r="K526" s="1170">
        <v>1</v>
      </c>
      <c r="L526" s="1170"/>
      <c r="M526" s="1170">
        <v>0</v>
      </c>
      <c r="N526" s="1170" t="s">
        <v>149</v>
      </c>
      <c r="O526" s="1170"/>
      <c r="P526" s="1170"/>
      <c r="Q526" s="1170"/>
      <c r="R526" s="1170"/>
      <c r="S526" s="1170"/>
      <c r="T526" s="1170"/>
      <c r="U526" s="1170"/>
      <c r="V526" s="1170"/>
      <c r="W526" s="1172"/>
    </row>
    <row r="527" spans="1:23" customFormat="1" ht="16.5" customHeight="1" thickBot="1">
      <c r="A527" s="116" t="s">
        <v>166</v>
      </c>
      <c r="B527" s="141">
        <v>28</v>
      </c>
      <c r="C527" s="142">
        <v>46212</v>
      </c>
      <c r="D527" s="143" t="s">
        <v>142</v>
      </c>
      <c r="E527" s="953" t="s">
        <v>387</v>
      </c>
      <c r="F527" s="953" t="s">
        <v>282</v>
      </c>
      <c r="G527" s="953" t="s">
        <v>28</v>
      </c>
      <c r="H527" s="145">
        <v>5535141</v>
      </c>
      <c r="I527" s="953" t="s">
        <v>879</v>
      </c>
      <c r="J527" s="953">
        <v>56</v>
      </c>
      <c r="K527" s="1147"/>
      <c r="L527" s="1147"/>
      <c r="M527" s="1147"/>
      <c r="N527" s="1147"/>
      <c r="O527" s="1147"/>
      <c r="P527" s="1147"/>
      <c r="Q527" s="1147"/>
      <c r="R527" s="1147"/>
      <c r="S527" s="1147"/>
      <c r="T527" s="1147"/>
      <c r="U527" s="1147"/>
      <c r="V527" s="1147"/>
      <c r="W527" s="1149"/>
    </row>
    <row r="528" spans="1:23" customFormat="1" ht="16.5" customHeight="1">
      <c r="A528" s="63" t="s">
        <v>166</v>
      </c>
      <c r="B528" s="149">
        <v>28</v>
      </c>
      <c r="C528" s="150">
        <v>46214</v>
      </c>
      <c r="D528" s="151" t="s">
        <v>142</v>
      </c>
      <c r="E528" s="955" t="s">
        <v>387</v>
      </c>
      <c r="F528" s="955" t="s">
        <v>282</v>
      </c>
      <c r="G528" s="955" t="s">
        <v>28</v>
      </c>
      <c r="H528" s="153">
        <v>5535141</v>
      </c>
      <c r="I528" s="955" t="s">
        <v>880</v>
      </c>
      <c r="J528" s="955">
        <v>64</v>
      </c>
      <c r="K528" s="1169">
        <v>1</v>
      </c>
      <c r="L528" s="1169">
        <v>5</v>
      </c>
      <c r="M528" s="1169">
        <v>1</v>
      </c>
      <c r="N528" s="1169" t="s">
        <v>149</v>
      </c>
      <c r="O528" s="1169" t="s">
        <v>65</v>
      </c>
      <c r="P528" s="1169" t="s">
        <v>40</v>
      </c>
      <c r="Q528" s="1169" t="s">
        <v>891</v>
      </c>
      <c r="R528" s="1169" t="s">
        <v>31</v>
      </c>
      <c r="S528" s="1169" t="s">
        <v>184</v>
      </c>
      <c r="T528" s="1169" t="s">
        <v>185</v>
      </c>
      <c r="U528" s="1169"/>
      <c r="V528" s="1169" t="s">
        <v>149</v>
      </c>
      <c r="W528" s="1173">
        <v>1</v>
      </c>
    </row>
    <row r="529" spans="1:23" customFormat="1" ht="16.5" customHeight="1">
      <c r="A529" s="134" t="s">
        <v>166</v>
      </c>
      <c r="B529" s="135">
        <v>28</v>
      </c>
      <c r="C529" s="136">
        <v>46214</v>
      </c>
      <c r="D529" s="137" t="s">
        <v>142</v>
      </c>
      <c r="E529" s="951" t="s">
        <v>387</v>
      </c>
      <c r="F529" s="951" t="s">
        <v>282</v>
      </c>
      <c r="G529" s="951" t="s">
        <v>28</v>
      </c>
      <c r="H529" s="139">
        <v>5535141</v>
      </c>
      <c r="I529" s="951" t="s">
        <v>881</v>
      </c>
      <c r="J529" s="951">
        <v>56</v>
      </c>
      <c r="K529" s="1150"/>
      <c r="L529" s="1150"/>
      <c r="M529" s="1150"/>
      <c r="N529" s="1150"/>
      <c r="O529" s="1150"/>
      <c r="P529" s="1150"/>
      <c r="Q529" s="1150"/>
      <c r="R529" s="1150"/>
      <c r="S529" s="1150"/>
      <c r="T529" s="1150"/>
      <c r="U529" s="1150"/>
      <c r="V529" s="1150"/>
      <c r="W529" s="1151"/>
    </row>
    <row r="530" spans="1:23" customFormat="1" ht="16.5" customHeight="1">
      <c r="A530" s="134" t="s">
        <v>166</v>
      </c>
      <c r="B530" s="135">
        <v>28</v>
      </c>
      <c r="C530" s="136">
        <v>46214</v>
      </c>
      <c r="D530" s="137" t="s">
        <v>142</v>
      </c>
      <c r="E530" s="951" t="s">
        <v>387</v>
      </c>
      <c r="F530" s="951" t="s">
        <v>282</v>
      </c>
      <c r="G530" s="951" t="s">
        <v>28</v>
      </c>
      <c r="H530" s="139">
        <v>5535141</v>
      </c>
      <c r="I530" s="951" t="s">
        <v>882</v>
      </c>
      <c r="J530" s="951">
        <v>56</v>
      </c>
      <c r="K530" s="1150"/>
      <c r="L530" s="1150"/>
      <c r="M530" s="1150"/>
      <c r="N530" s="1150"/>
      <c r="O530" s="1150"/>
      <c r="P530" s="1150"/>
      <c r="Q530" s="1150"/>
      <c r="R530" s="1150"/>
      <c r="S530" s="1150"/>
      <c r="T530" s="1150"/>
      <c r="U530" s="1150"/>
      <c r="V530" s="1150"/>
      <c r="W530" s="1151"/>
    </row>
    <row r="531" spans="1:23" customFormat="1" ht="16.5" customHeight="1">
      <c r="A531" s="134" t="s">
        <v>166</v>
      </c>
      <c r="B531" s="135">
        <v>28</v>
      </c>
      <c r="C531" s="136">
        <v>46214</v>
      </c>
      <c r="D531" s="137" t="s">
        <v>142</v>
      </c>
      <c r="E531" s="951" t="s">
        <v>387</v>
      </c>
      <c r="F531" s="951" t="s">
        <v>282</v>
      </c>
      <c r="G531" s="951" t="s">
        <v>28</v>
      </c>
      <c r="H531" s="139">
        <v>5535141</v>
      </c>
      <c r="I531" s="951" t="s">
        <v>883</v>
      </c>
      <c r="J531" s="951">
        <v>32</v>
      </c>
      <c r="K531" s="1150"/>
      <c r="L531" s="1150"/>
      <c r="M531" s="1150"/>
      <c r="N531" s="1150"/>
      <c r="O531" s="1150"/>
      <c r="P531" s="1150"/>
      <c r="Q531" s="1150"/>
      <c r="R531" s="1150"/>
      <c r="S531" s="1150"/>
      <c r="T531" s="1150"/>
      <c r="U531" s="1150"/>
      <c r="V531" s="1150"/>
      <c r="W531" s="1151"/>
    </row>
    <row r="532" spans="1:23" customFormat="1" ht="16.5" customHeight="1">
      <c r="A532" s="134" t="s">
        <v>166</v>
      </c>
      <c r="B532" s="135">
        <v>28</v>
      </c>
      <c r="C532" s="136">
        <v>46214</v>
      </c>
      <c r="D532" s="137" t="s">
        <v>142</v>
      </c>
      <c r="E532" s="951" t="s">
        <v>387</v>
      </c>
      <c r="F532" s="951" t="s">
        <v>282</v>
      </c>
      <c r="G532" s="951" t="s">
        <v>32</v>
      </c>
      <c r="H532" s="139">
        <v>5535140</v>
      </c>
      <c r="I532" s="951" t="s">
        <v>884</v>
      </c>
      <c r="J532" s="951">
        <v>4</v>
      </c>
      <c r="K532" s="1150"/>
      <c r="L532" s="1150"/>
      <c r="M532" s="1150"/>
      <c r="N532" s="1150"/>
      <c r="O532" s="1150"/>
      <c r="P532" s="1150"/>
      <c r="Q532" s="1150"/>
      <c r="R532" s="1150"/>
      <c r="S532" s="1150"/>
      <c r="T532" s="1150"/>
      <c r="U532" s="1150"/>
      <c r="V532" s="1150"/>
      <c r="W532" s="1151"/>
    </row>
    <row r="533" spans="1:23" customFormat="1" ht="16.5" customHeight="1">
      <c r="A533" s="134" t="s">
        <v>166</v>
      </c>
      <c r="B533" s="135">
        <v>28</v>
      </c>
      <c r="C533" s="136">
        <v>46214</v>
      </c>
      <c r="D533" s="137" t="s">
        <v>142</v>
      </c>
      <c r="E533" s="951" t="s">
        <v>387</v>
      </c>
      <c r="F533" s="951" t="s">
        <v>282</v>
      </c>
      <c r="G533" s="951" t="s">
        <v>32</v>
      </c>
      <c r="H533" s="139">
        <v>5535140</v>
      </c>
      <c r="I533" s="951" t="s">
        <v>885</v>
      </c>
      <c r="J533" s="951">
        <v>40</v>
      </c>
      <c r="K533" s="1150"/>
      <c r="L533" s="1150"/>
      <c r="M533" s="1150"/>
      <c r="N533" s="1150"/>
      <c r="O533" s="1150"/>
      <c r="P533" s="1150"/>
      <c r="Q533" s="1150"/>
      <c r="R533" s="1150"/>
      <c r="S533" s="1150"/>
      <c r="T533" s="1150"/>
      <c r="U533" s="1150"/>
      <c r="V533" s="1150"/>
      <c r="W533" s="1151"/>
    </row>
    <row r="534" spans="1:23" customFormat="1" ht="16.5" customHeight="1" thickBot="1">
      <c r="A534" s="960" t="s">
        <v>166</v>
      </c>
      <c r="B534" s="961">
        <v>28</v>
      </c>
      <c r="C534" s="962">
        <v>46214</v>
      </c>
      <c r="D534" s="963" t="s">
        <v>142</v>
      </c>
      <c r="E534" s="959" t="s">
        <v>387</v>
      </c>
      <c r="F534" s="959" t="s">
        <v>282</v>
      </c>
      <c r="G534" s="959" t="s">
        <v>32</v>
      </c>
      <c r="H534" s="964">
        <v>5535140</v>
      </c>
      <c r="I534" s="959" t="s">
        <v>886</v>
      </c>
      <c r="J534" s="959">
        <v>32</v>
      </c>
      <c r="K534" s="1150"/>
      <c r="L534" s="1150"/>
      <c r="M534" s="1150"/>
      <c r="N534" s="1150"/>
      <c r="O534" s="1150"/>
      <c r="P534" s="1150"/>
      <c r="Q534" s="1150"/>
      <c r="R534" s="1150"/>
      <c r="S534" s="1150"/>
      <c r="T534" s="1150"/>
      <c r="U534" s="1150"/>
      <c r="V534" s="1150"/>
      <c r="W534" s="1151"/>
    </row>
    <row r="535" spans="1:23" customFormat="1" ht="16.5" customHeight="1">
      <c r="A535" s="63" t="s">
        <v>166</v>
      </c>
      <c r="B535" s="149">
        <v>29</v>
      </c>
      <c r="C535" s="150">
        <v>46216</v>
      </c>
      <c r="D535" s="151" t="s">
        <v>142</v>
      </c>
      <c r="E535" s="958" t="s">
        <v>387</v>
      </c>
      <c r="F535" s="958" t="s">
        <v>282</v>
      </c>
      <c r="G535" s="958" t="s">
        <v>32</v>
      </c>
      <c r="H535" s="153">
        <v>5535140</v>
      </c>
      <c r="I535" s="958" t="s">
        <v>887</v>
      </c>
      <c r="J535" s="958">
        <v>40</v>
      </c>
      <c r="K535" s="1169">
        <v>1</v>
      </c>
      <c r="L535" s="958">
        <v>5</v>
      </c>
      <c r="M535" s="1169">
        <v>1</v>
      </c>
      <c r="N535" s="1169" t="s">
        <v>149</v>
      </c>
      <c r="O535" s="958" t="s">
        <v>39</v>
      </c>
      <c r="P535" s="958" t="s">
        <v>40</v>
      </c>
      <c r="Q535" s="958" t="s">
        <v>316</v>
      </c>
      <c r="R535" s="958" t="s">
        <v>31</v>
      </c>
      <c r="S535" s="958" t="s">
        <v>184</v>
      </c>
      <c r="T535" s="958" t="s">
        <v>185</v>
      </c>
      <c r="U535" s="1169"/>
      <c r="V535" s="1169" t="s">
        <v>149</v>
      </c>
      <c r="W535" s="1173">
        <v>1</v>
      </c>
    </row>
    <row r="536" spans="1:23" customFormat="1" ht="16.5" customHeight="1">
      <c r="A536" s="134" t="s">
        <v>166</v>
      </c>
      <c r="B536" s="135">
        <v>29</v>
      </c>
      <c r="C536" s="136">
        <v>46216</v>
      </c>
      <c r="D536" s="137" t="s">
        <v>142</v>
      </c>
      <c r="E536" s="956" t="s">
        <v>387</v>
      </c>
      <c r="F536" s="956" t="s">
        <v>282</v>
      </c>
      <c r="G536" s="956" t="s">
        <v>32</v>
      </c>
      <c r="H536" s="139">
        <v>5535140</v>
      </c>
      <c r="I536" s="956" t="s">
        <v>888</v>
      </c>
      <c r="J536" s="956">
        <v>8</v>
      </c>
      <c r="K536" s="1150"/>
      <c r="L536" s="1150">
        <v>5</v>
      </c>
      <c r="M536" s="1150"/>
      <c r="N536" s="1150"/>
      <c r="O536" s="1150" t="s">
        <v>299</v>
      </c>
      <c r="P536" s="1150" t="s">
        <v>62</v>
      </c>
      <c r="Q536" s="1150" t="s">
        <v>341</v>
      </c>
      <c r="R536" s="1150" t="s">
        <v>31</v>
      </c>
      <c r="S536" s="1150" t="s">
        <v>184</v>
      </c>
      <c r="T536" s="1171" t="s">
        <v>185</v>
      </c>
      <c r="U536" s="1150"/>
      <c r="V536" s="1150"/>
      <c r="W536" s="1151"/>
    </row>
    <row r="537" spans="1:23" customFormat="1" ht="16.5" customHeight="1">
      <c r="A537" s="134" t="s">
        <v>166</v>
      </c>
      <c r="B537" s="135">
        <v>29</v>
      </c>
      <c r="C537" s="136">
        <v>46216</v>
      </c>
      <c r="D537" s="137" t="s">
        <v>142</v>
      </c>
      <c r="E537" s="956" t="s">
        <v>387</v>
      </c>
      <c r="F537" s="956" t="s">
        <v>282</v>
      </c>
      <c r="G537" s="956" t="s">
        <v>32</v>
      </c>
      <c r="H537" s="139">
        <v>5535140</v>
      </c>
      <c r="I537" s="956" t="s">
        <v>889</v>
      </c>
      <c r="J537" s="956">
        <v>32</v>
      </c>
      <c r="K537" s="1165"/>
      <c r="L537" s="1165"/>
      <c r="M537" s="1165"/>
      <c r="N537" s="1165"/>
      <c r="O537" s="1165"/>
      <c r="P537" s="1165"/>
      <c r="Q537" s="1165"/>
      <c r="R537" s="1165"/>
      <c r="S537" s="1165"/>
      <c r="T537" s="1165"/>
      <c r="U537" s="1165"/>
      <c r="V537" s="1165"/>
      <c r="W537" s="1167"/>
    </row>
    <row r="538" spans="1:23" customFormat="1" ht="16.5" customHeight="1">
      <c r="A538" s="134" t="s">
        <v>166</v>
      </c>
      <c r="B538" s="135">
        <v>29</v>
      </c>
      <c r="C538" s="136">
        <v>46216</v>
      </c>
      <c r="D538" s="137" t="s">
        <v>142</v>
      </c>
      <c r="E538" s="956" t="s">
        <v>232</v>
      </c>
      <c r="F538" s="956" t="s">
        <v>272</v>
      </c>
      <c r="G538" s="956" t="s">
        <v>37</v>
      </c>
      <c r="H538" s="139">
        <v>5823327</v>
      </c>
      <c r="I538" s="956">
        <v>4524271306</v>
      </c>
      <c r="J538" s="956">
        <v>54</v>
      </c>
      <c r="K538" s="1171">
        <v>1</v>
      </c>
      <c r="L538" s="1171"/>
      <c r="M538" s="1171">
        <v>0</v>
      </c>
      <c r="N538" s="1171" t="s">
        <v>149</v>
      </c>
      <c r="O538" s="1171"/>
      <c r="P538" s="1171"/>
      <c r="Q538" s="1171"/>
      <c r="R538" s="1171"/>
      <c r="S538" s="1171"/>
      <c r="T538" s="1150"/>
      <c r="U538" s="1171"/>
      <c r="V538" s="1171"/>
      <c r="W538" s="1318"/>
    </row>
    <row r="539" spans="1:23" customFormat="1" ht="16.5" customHeight="1" thickBot="1">
      <c r="A539" s="116" t="s">
        <v>166</v>
      </c>
      <c r="B539" s="141">
        <v>29</v>
      </c>
      <c r="C539" s="142">
        <v>46216</v>
      </c>
      <c r="D539" s="143" t="s">
        <v>142</v>
      </c>
      <c r="E539" s="957" t="s">
        <v>232</v>
      </c>
      <c r="F539" s="957" t="s">
        <v>266</v>
      </c>
      <c r="G539" s="957" t="s">
        <v>37</v>
      </c>
      <c r="H539" s="145">
        <v>5766065</v>
      </c>
      <c r="I539" s="957" t="s">
        <v>908</v>
      </c>
      <c r="J539" s="957">
        <v>130</v>
      </c>
      <c r="K539" s="1147"/>
      <c r="L539" s="1147"/>
      <c r="M539" s="1147"/>
      <c r="N539" s="1147"/>
      <c r="O539" s="1147"/>
      <c r="P539" s="1147"/>
      <c r="Q539" s="1147"/>
      <c r="R539" s="1147"/>
      <c r="S539" s="1147"/>
      <c r="T539" s="1147"/>
      <c r="U539" s="1147"/>
      <c r="V539" s="1147"/>
      <c r="W539" s="1149"/>
    </row>
    <row r="540" spans="1:23" customFormat="1" ht="16.5" customHeight="1">
      <c r="A540" s="63" t="s">
        <v>166</v>
      </c>
      <c r="B540" s="149">
        <v>29</v>
      </c>
      <c r="C540" s="150">
        <v>46217</v>
      </c>
      <c r="D540" s="151" t="s">
        <v>142</v>
      </c>
      <c r="E540" s="958" t="s">
        <v>232</v>
      </c>
      <c r="F540" s="958" t="s">
        <v>266</v>
      </c>
      <c r="G540" s="958" t="s">
        <v>37</v>
      </c>
      <c r="H540" s="153">
        <v>5766065</v>
      </c>
      <c r="I540" s="958" t="s">
        <v>908</v>
      </c>
      <c r="J540" s="958">
        <v>256</v>
      </c>
      <c r="K540" s="1169">
        <v>1</v>
      </c>
      <c r="L540" s="1169"/>
      <c r="M540" s="1169">
        <v>0</v>
      </c>
      <c r="N540" s="1169" t="s">
        <v>149</v>
      </c>
      <c r="O540" s="1169"/>
      <c r="P540" s="1169"/>
      <c r="Q540" s="1169"/>
      <c r="R540" s="1169"/>
      <c r="S540" s="1169"/>
      <c r="T540" s="1169"/>
      <c r="U540" s="1169"/>
      <c r="V540" s="1169"/>
      <c r="W540" s="1173"/>
    </row>
    <row r="541" spans="1:23" customFormat="1" ht="16.5" customHeight="1" thickBot="1">
      <c r="A541" s="965" t="s">
        <v>166</v>
      </c>
      <c r="B541" s="966">
        <v>29</v>
      </c>
      <c r="C541" s="967">
        <v>46217</v>
      </c>
      <c r="D541" s="968" t="s">
        <v>142</v>
      </c>
      <c r="E541" s="969" t="s">
        <v>232</v>
      </c>
      <c r="F541" s="969" t="s">
        <v>266</v>
      </c>
      <c r="G541" s="969" t="s">
        <v>37</v>
      </c>
      <c r="H541" s="970">
        <v>5766065</v>
      </c>
      <c r="I541" s="969" t="s">
        <v>890</v>
      </c>
      <c r="J541" s="969">
        <v>50</v>
      </c>
      <c r="K541" s="1150"/>
      <c r="L541" s="1150"/>
      <c r="M541" s="1150"/>
      <c r="N541" s="1150"/>
      <c r="O541" s="1150"/>
      <c r="P541" s="1150"/>
      <c r="Q541" s="1150"/>
      <c r="R541" s="1150"/>
      <c r="S541" s="1150"/>
      <c r="T541" s="1150"/>
      <c r="U541" s="1150"/>
      <c r="V541" s="1150"/>
      <c r="W541" s="1151"/>
    </row>
    <row r="542" spans="1:23" customFormat="1" ht="16.5" customHeight="1" thickBot="1">
      <c r="A542" s="67" t="s">
        <v>166</v>
      </c>
      <c r="B542" s="68">
        <v>29</v>
      </c>
      <c r="C542" s="69">
        <v>46218</v>
      </c>
      <c r="D542" s="70" t="s">
        <v>142</v>
      </c>
      <c r="E542" s="71" t="s">
        <v>232</v>
      </c>
      <c r="F542" s="71" t="s">
        <v>266</v>
      </c>
      <c r="G542" s="71" t="s">
        <v>37</v>
      </c>
      <c r="H542" s="88">
        <v>5766065</v>
      </c>
      <c r="I542" s="71" t="s">
        <v>890</v>
      </c>
      <c r="J542" s="71">
        <v>310</v>
      </c>
      <c r="K542" s="71">
        <v>1</v>
      </c>
      <c r="L542" s="71"/>
      <c r="M542" s="71">
        <v>0</v>
      </c>
      <c r="N542" s="71" t="s">
        <v>149</v>
      </c>
      <c r="O542" s="71"/>
      <c r="P542" s="71"/>
      <c r="Q542" s="71"/>
      <c r="R542" s="71"/>
      <c r="S542" s="71"/>
      <c r="T542" s="71"/>
      <c r="U542" s="71"/>
      <c r="V542" s="71"/>
      <c r="W542" s="72"/>
    </row>
    <row r="543" spans="1:23" customFormat="1" ht="16.5" customHeight="1" thickBot="1">
      <c r="A543" s="158" t="s">
        <v>166</v>
      </c>
      <c r="B543" s="981">
        <v>29</v>
      </c>
      <c r="C543" s="982">
        <v>46219</v>
      </c>
      <c r="D543" s="983" t="s">
        <v>142</v>
      </c>
      <c r="E543" s="971" t="s">
        <v>232</v>
      </c>
      <c r="F543" s="971" t="s">
        <v>268</v>
      </c>
      <c r="G543" s="971" t="s">
        <v>176</v>
      </c>
      <c r="H543" s="984">
        <v>5771802</v>
      </c>
      <c r="I543" s="971" t="s">
        <v>909</v>
      </c>
      <c r="J543" s="971">
        <v>300</v>
      </c>
      <c r="K543" s="971">
        <v>1</v>
      </c>
      <c r="L543" s="971"/>
      <c r="M543" s="971">
        <v>0</v>
      </c>
      <c r="N543" s="971" t="s">
        <v>149</v>
      </c>
      <c r="O543" s="971"/>
      <c r="P543" s="971"/>
      <c r="Q543" s="971"/>
      <c r="R543" s="971"/>
      <c r="S543" s="971"/>
      <c r="T543" s="971"/>
      <c r="U543" s="971"/>
      <c r="V543" s="971"/>
      <c r="W543" s="972"/>
    </row>
    <row r="544" spans="1:23" customFormat="1" ht="16.5" customHeight="1">
      <c r="A544" s="63" t="s">
        <v>166</v>
      </c>
      <c r="B544" s="64">
        <v>29</v>
      </c>
      <c r="C544" s="65">
        <v>46220</v>
      </c>
      <c r="D544" s="66" t="s">
        <v>142</v>
      </c>
      <c r="E544" s="973" t="s">
        <v>232</v>
      </c>
      <c r="F544" s="973" t="s">
        <v>269</v>
      </c>
      <c r="G544" s="973" t="s">
        <v>176</v>
      </c>
      <c r="H544" s="163">
        <v>5773217</v>
      </c>
      <c r="I544" s="973" t="s">
        <v>910</v>
      </c>
      <c r="J544" s="973">
        <v>100</v>
      </c>
      <c r="K544" s="973">
        <v>1</v>
      </c>
      <c r="L544" s="973"/>
      <c r="M544" s="973">
        <v>0</v>
      </c>
      <c r="N544" s="973" t="s">
        <v>149</v>
      </c>
      <c r="O544" s="973"/>
      <c r="P544" s="973"/>
      <c r="Q544" s="973"/>
      <c r="R544" s="973"/>
      <c r="S544" s="973"/>
      <c r="T544" s="973"/>
      <c r="U544" s="973"/>
      <c r="V544" s="973"/>
      <c r="W544" s="974"/>
    </row>
    <row r="545" spans="1:23" customFormat="1" ht="16.5" customHeight="1" thickBot="1">
      <c r="A545" s="985" t="s">
        <v>166</v>
      </c>
      <c r="B545" s="986">
        <v>29</v>
      </c>
      <c r="C545" s="987">
        <v>46220</v>
      </c>
      <c r="D545" s="988" t="s">
        <v>142</v>
      </c>
      <c r="E545" s="989" t="s">
        <v>386</v>
      </c>
      <c r="F545" s="989" t="s">
        <v>273</v>
      </c>
      <c r="G545" s="989" t="s">
        <v>28</v>
      </c>
      <c r="H545" s="990">
        <v>5535134</v>
      </c>
      <c r="I545" s="989" t="s">
        <v>911</v>
      </c>
      <c r="J545" s="989">
        <v>200</v>
      </c>
      <c r="K545" s="989">
        <v>1</v>
      </c>
      <c r="L545" s="989">
        <v>5</v>
      </c>
      <c r="M545" s="989">
        <v>1</v>
      </c>
      <c r="N545" s="989" t="s">
        <v>149</v>
      </c>
      <c r="O545" s="989" t="s">
        <v>61</v>
      </c>
      <c r="P545" s="989" t="s">
        <v>62</v>
      </c>
      <c r="Q545" s="989" t="s">
        <v>916</v>
      </c>
      <c r="R545" s="989" t="s">
        <v>31</v>
      </c>
      <c r="S545" s="989" t="s">
        <v>184</v>
      </c>
      <c r="T545" s="989" t="s">
        <v>185</v>
      </c>
      <c r="U545" s="989"/>
      <c r="V545" s="989" t="s">
        <v>149</v>
      </c>
      <c r="W545" s="991">
        <v>1</v>
      </c>
    </row>
    <row r="546" spans="1:23" customFormat="1" ht="16.5" customHeight="1">
      <c r="A546" s="63" t="s">
        <v>166</v>
      </c>
      <c r="B546" s="64">
        <v>29</v>
      </c>
      <c r="C546" s="65">
        <v>46221</v>
      </c>
      <c r="D546" s="66" t="s">
        <v>142</v>
      </c>
      <c r="E546" s="978" t="s">
        <v>386</v>
      </c>
      <c r="F546" s="978" t="s">
        <v>274</v>
      </c>
      <c r="G546" s="978" t="s">
        <v>28</v>
      </c>
      <c r="H546" s="163">
        <v>5535130</v>
      </c>
      <c r="I546" s="978" t="s">
        <v>912</v>
      </c>
      <c r="J546" s="978">
        <v>36</v>
      </c>
      <c r="K546" s="1142">
        <v>1</v>
      </c>
      <c r="L546" s="1142"/>
      <c r="M546" s="1142">
        <v>0</v>
      </c>
      <c r="N546" s="1142" t="s">
        <v>149</v>
      </c>
      <c r="O546" s="1142"/>
      <c r="P546" s="1142"/>
      <c r="Q546" s="1142"/>
      <c r="R546" s="1142"/>
      <c r="S546" s="1142"/>
      <c r="T546" s="1142"/>
      <c r="U546" s="1142"/>
      <c r="V546" s="1142"/>
      <c r="W546" s="1153"/>
    </row>
    <row r="547" spans="1:23" customFormat="1" ht="16.5" customHeight="1">
      <c r="A547" s="134" t="s">
        <v>166</v>
      </c>
      <c r="B547" s="135">
        <v>29</v>
      </c>
      <c r="C547" s="136">
        <v>46221</v>
      </c>
      <c r="D547" s="137" t="s">
        <v>142</v>
      </c>
      <c r="E547" s="977" t="s">
        <v>386</v>
      </c>
      <c r="F547" s="977" t="s">
        <v>274</v>
      </c>
      <c r="G547" s="977" t="s">
        <v>28</v>
      </c>
      <c r="H547" s="139">
        <v>5535130</v>
      </c>
      <c r="I547" s="977" t="s">
        <v>913</v>
      </c>
      <c r="J547" s="977">
        <v>80</v>
      </c>
      <c r="K547" s="1143"/>
      <c r="L547" s="1143"/>
      <c r="M547" s="1143"/>
      <c r="N547" s="1143"/>
      <c r="O547" s="1143"/>
      <c r="P547" s="1143"/>
      <c r="Q547" s="1143"/>
      <c r="R547" s="1143"/>
      <c r="S547" s="1143"/>
      <c r="T547" s="1143"/>
      <c r="U547" s="1143"/>
      <c r="V547" s="1143"/>
      <c r="W547" s="1145"/>
    </row>
    <row r="548" spans="1:23" customFormat="1" ht="16.5" customHeight="1">
      <c r="A548" s="134" t="s">
        <v>166</v>
      </c>
      <c r="B548" s="135">
        <v>29</v>
      </c>
      <c r="C548" s="136">
        <v>46221</v>
      </c>
      <c r="D548" s="137" t="s">
        <v>142</v>
      </c>
      <c r="E548" s="977" t="s">
        <v>386</v>
      </c>
      <c r="F548" s="977" t="s">
        <v>274</v>
      </c>
      <c r="G548" s="977" t="s">
        <v>28</v>
      </c>
      <c r="H548" s="139">
        <v>5535130</v>
      </c>
      <c r="I548" s="977" t="s">
        <v>914</v>
      </c>
      <c r="J548" s="977">
        <v>64</v>
      </c>
      <c r="K548" s="1143"/>
      <c r="L548" s="1143"/>
      <c r="M548" s="1143"/>
      <c r="N548" s="1143"/>
      <c r="O548" s="1143"/>
      <c r="P548" s="1143"/>
      <c r="Q548" s="1143"/>
      <c r="R548" s="1143"/>
      <c r="S548" s="1143"/>
      <c r="T548" s="1143"/>
      <c r="U548" s="1143"/>
      <c r="V548" s="1143"/>
      <c r="W548" s="1145"/>
    </row>
    <row r="549" spans="1:23" customFormat="1" ht="16.5" customHeight="1">
      <c r="A549" s="134" t="s">
        <v>166</v>
      </c>
      <c r="B549" s="135">
        <v>29</v>
      </c>
      <c r="C549" s="136">
        <v>46221</v>
      </c>
      <c r="D549" s="137" t="s">
        <v>145</v>
      </c>
      <c r="E549" s="977" t="s">
        <v>50</v>
      </c>
      <c r="F549" s="977" t="s">
        <v>258</v>
      </c>
      <c r="G549" s="977" t="s">
        <v>36</v>
      </c>
      <c r="H549" s="139">
        <v>5797097</v>
      </c>
      <c r="I549" s="977">
        <v>4523847613</v>
      </c>
      <c r="J549" s="977">
        <v>4</v>
      </c>
      <c r="K549" s="1143">
        <v>1</v>
      </c>
      <c r="L549" s="1143"/>
      <c r="M549" s="1143">
        <v>0</v>
      </c>
      <c r="N549" s="1143" t="s">
        <v>149</v>
      </c>
      <c r="O549" s="1143"/>
      <c r="P549" s="1143"/>
      <c r="Q549" s="1143"/>
      <c r="R549" s="1143"/>
      <c r="S549" s="1143"/>
      <c r="T549" s="1143"/>
      <c r="U549" s="1143"/>
      <c r="V549" s="1143"/>
      <c r="W549" s="1145"/>
    </row>
    <row r="550" spans="1:23" customFormat="1" ht="16.5" customHeight="1">
      <c r="A550" s="134" t="s">
        <v>166</v>
      </c>
      <c r="B550" s="135">
        <v>29</v>
      </c>
      <c r="C550" s="136">
        <v>46221</v>
      </c>
      <c r="D550" s="137" t="s">
        <v>145</v>
      </c>
      <c r="E550" s="977" t="s">
        <v>50</v>
      </c>
      <c r="F550" s="977" t="s">
        <v>258</v>
      </c>
      <c r="G550" s="977" t="s">
        <v>36</v>
      </c>
      <c r="H550" s="139">
        <v>5797097</v>
      </c>
      <c r="I550" s="977">
        <v>4523848453</v>
      </c>
      <c r="J550" s="977">
        <v>4</v>
      </c>
      <c r="K550" s="1143"/>
      <c r="L550" s="1143"/>
      <c r="M550" s="1143"/>
      <c r="N550" s="1143"/>
      <c r="O550" s="1143"/>
      <c r="P550" s="1143"/>
      <c r="Q550" s="1143"/>
      <c r="R550" s="1143"/>
      <c r="S550" s="1143"/>
      <c r="T550" s="1143"/>
      <c r="U550" s="1143"/>
      <c r="V550" s="1143"/>
      <c r="W550" s="1145"/>
    </row>
    <row r="551" spans="1:23" customFormat="1" ht="16.5" customHeight="1">
      <c r="A551" s="134" t="s">
        <v>166</v>
      </c>
      <c r="B551" s="135">
        <v>29</v>
      </c>
      <c r="C551" s="136">
        <v>46221</v>
      </c>
      <c r="D551" s="137" t="s">
        <v>145</v>
      </c>
      <c r="E551" s="977" t="s">
        <v>50</v>
      </c>
      <c r="F551" s="977" t="s">
        <v>258</v>
      </c>
      <c r="G551" s="977" t="s">
        <v>28</v>
      </c>
      <c r="H551" s="139">
        <v>5797096</v>
      </c>
      <c r="I551" s="977">
        <v>4523847613</v>
      </c>
      <c r="J551" s="977">
        <v>4</v>
      </c>
      <c r="K551" s="1143"/>
      <c r="L551" s="1143"/>
      <c r="M551" s="1143"/>
      <c r="N551" s="1143"/>
      <c r="O551" s="1143"/>
      <c r="P551" s="1143"/>
      <c r="Q551" s="1143"/>
      <c r="R551" s="1143"/>
      <c r="S551" s="1143"/>
      <c r="T551" s="1143"/>
      <c r="U551" s="1143"/>
      <c r="V551" s="1143"/>
      <c r="W551" s="1145"/>
    </row>
    <row r="552" spans="1:23" customFormat="1" ht="16.5" customHeight="1">
      <c r="A552" s="134" t="s">
        <v>166</v>
      </c>
      <c r="B552" s="135">
        <v>29</v>
      </c>
      <c r="C552" s="136">
        <v>46221</v>
      </c>
      <c r="D552" s="137" t="s">
        <v>145</v>
      </c>
      <c r="E552" s="977" t="s">
        <v>50</v>
      </c>
      <c r="F552" s="977" t="s">
        <v>258</v>
      </c>
      <c r="G552" s="977" t="s">
        <v>28</v>
      </c>
      <c r="H552" s="139">
        <v>5797096</v>
      </c>
      <c r="I552" s="977">
        <v>4523848453</v>
      </c>
      <c r="J552" s="977">
        <v>4</v>
      </c>
      <c r="K552" s="1143"/>
      <c r="L552" s="1143"/>
      <c r="M552" s="1143"/>
      <c r="N552" s="1143"/>
      <c r="O552" s="1143"/>
      <c r="P552" s="1143"/>
      <c r="Q552" s="1143"/>
      <c r="R552" s="1143"/>
      <c r="S552" s="1143"/>
      <c r="T552" s="1143"/>
      <c r="U552" s="1143"/>
      <c r="V552" s="1143"/>
      <c r="W552" s="1145"/>
    </row>
    <row r="553" spans="1:23" customFormat="1" ht="16.5" customHeight="1">
      <c r="A553" s="134" t="s">
        <v>166</v>
      </c>
      <c r="B553" s="135">
        <v>29</v>
      </c>
      <c r="C553" s="136">
        <v>46221</v>
      </c>
      <c r="D553" s="137" t="s">
        <v>145</v>
      </c>
      <c r="E553" s="977" t="s">
        <v>50</v>
      </c>
      <c r="F553" s="977" t="s">
        <v>258</v>
      </c>
      <c r="G553" s="977" t="s">
        <v>32</v>
      </c>
      <c r="H553" s="139">
        <v>5797095</v>
      </c>
      <c r="I553" s="977">
        <v>4523847613</v>
      </c>
      <c r="J553" s="977">
        <v>8</v>
      </c>
      <c r="K553" s="1143"/>
      <c r="L553" s="1143"/>
      <c r="M553" s="1143"/>
      <c r="N553" s="1143"/>
      <c r="O553" s="1143"/>
      <c r="P553" s="1143"/>
      <c r="Q553" s="1143"/>
      <c r="R553" s="1143"/>
      <c r="S553" s="1143"/>
      <c r="T553" s="1143"/>
      <c r="U553" s="1143"/>
      <c r="V553" s="1143"/>
      <c r="W553" s="1145"/>
    </row>
    <row r="554" spans="1:23" customFormat="1" ht="16.5" customHeight="1">
      <c r="A554" s="134" t="s">
        <v>166</v>
      </c>
      <c r="B554" s="135">
        <v>29</v>
      </c>
      <c r="C554" s="136">
        <v>46221</v>
      </c>
      <c r="D554" s="137" t="s">
        <v>145</v>
      </c>
      <c r="E554" s="977" t="s">
        <v>50</v>
      </c>
      <c r="F554" s="977" t="s">
        <v>258</v>
      </c>
      <c r="G554" s="977" t="s">
        <v>32</v>
      </c>
      <c r="H554" s="139">
        <v>5797095</v>
      </c>
      <c r="I554" s="977">
        <v>4523848453</v>
      </c>
      <c r="J554" s="977">
        <v>4</v>
      </c>
      <c r="K554" s="1143"/>
      <c r="L554" s="1143"/>
      <c r="M554" s="1143"/>
      <c r="N554" s="1143"/>
      <c r="O554" s="1143"/>
      <c r="P554" s="1143"/>
      <c r="Q554" s="1143"/>
      <c r="R554" s="1143"/>
      <c r="S554" s="1143"/>
      <c r="T554" s="1143"/>
      <c r="U554" s="1143"/>
      <c r="V554" s="1143"/>
      <c r="W554" s="1145"/>
    </row>
    <row r="555" spans="1:23" customFormat="1" ht="16.5" customHeight="1">
      <c r="A555" s="134" t="s">
        <v>166</v>
      </c>
      <c r="B555" s="135">
        <v>29</v>
      </c>
      <c r="C555" s="136">
        <v>46221</v>
      </c>
      <c r="D555" s="137" t="s">
        <v>145</v>
      </c>
      <c r="E555" s="977" t="s">
        <v>50</v>
      </c>
      <c r="F555" s="977" t="s">
        <v>258</v>
      </c>
      <c r="G555" s="977" t="s">
        <v>63</v>
      </c>
      <c r="H555" s="139">
        <v>5797094</v>
      </c>
      <c r="I555" s="977">
        <v>4523848453</v>
      </c>
      <c r="J555" s="977">
        <v>4</v>
      </c>
      <c r="K555" s="1143"/>
      <c r="L555" s="1143"/>
      <c r="M555" s="1143"/>
      <c r="N555" s="1143"/>
      <c r="O555" s="1143"/>
      <c r="P555" s="1143"/>
      <c r="Q555" s="1143"/>
      <c r="R555" s="1143"/>
      <c r="S555" s="1143"/>
      <c r="T555" s="1143"/>
      <c r="U555" s="1143"/>
      <c r="V555" s="1143"/>
      <c r="W555" s="1145"/>
    </row>
    <row r="556" spans="1:23" customFormat="1" ht="16.5" customHeight="1" thickBot="1">
      <c r="A556" s="116" t="s">
        <v>166</v>
      </c>
      <c r="B556" s="141">
        <v>29</v>
      </c>
      <c r="C556" s="142">
        <v>46221</v>
      </c>
      <c r="D556" s="143" t="s">
        <v>143</v>
      </c>
      <c r="E556" s="979" t="s">
        <v>157</v>
      </c>
      <c r="F556" s="979" t="s">
        <v>158</v>
      </c>
      <c r="G556" s="979" t="s">
        <v>28</v>
      </c>
      <c r="H556" s="145">
        <v>4248138</v>
      </c>
      <c r="I556" s="979">
        <v>4524022370</v>
      </c>
      <c r="J556" s="979">
        <v>8</v>
      </c>
      <c r="K556" s="979">
        <v>1</v>
      </c>
      <c r="L556" s="979">
        <v>5</v>
      </c>
      <c r="M556" s="979">
        <v>1</v>
      </c>
      <c r="N556" s="979" t="s">
        <v>149</v>
      </c>
      <c r="O556" s="979" t="s">
        <v>29</v>
      </c>
      <c r="P556" s="979" t="s">
        <v>30</v>
      </c>
      <c r="Q556" s="979" t="s">
        <v>395</v>
      </c>
      <c r="R556" s="979" t="s">
        <v>31</v>
      </c>
      <c r="S556" s="979" t="s">
        <v>184</v>
      </c>
      <c r="T556" s="979" t="s">
        <v>185</v>
      </c>
      <c r="U556" s="979"/>
      <c r="V556" s="979" t="s">
        <v>149</v>
      </c>
      <c r="W556" s="980">
        <v>1</v>
      </c>
    </row>
    <row r="557" spans="1:23" customFormat="1" ht="16.5" customHeight="1" thickBot="1">
      <c r="A557" s="91" t="s">
        <v>166</v>
      </c>
      <c r="B557" s="92">
        <v>30</v>
      </c>
      <c r="C557" s="93">
        <v>46223</v>
      </c>
      <c r="D557" s="94" t="s">
        <v>142</v>
      </c>
      <c r="E557" s="975" t="s">
        <v>232</v>
      </c>
      <c r="F557" s="975" t="s">
        <v>266</v>
      </c>
      <c r="G557" s="975" t="s">
        <v>37</v>
      </c>
      <c r="H557" s="128">
        <v>5766065</v>
      </c>
      <c r="I557" s="975" t="s">
        <v>915</v>
      </c>
      <c r="J557" s="975">
        <v>344</v>
      </c>
      <c r="K557" s="975">
        <v>1</v>
      </c>
      <c r="L557" s="975">
        <v>5</v>
      </c>
      <c r="M557" s="975">
        <v>1</v>
      </c>
      <c r="N557" s="975" t="s">
        <v>149</v>
      </c>
      <c r="O557" s="975" t="s">
        <v>81</v>
      </c>
      <c r="P557" s="975" t="s">
        <v>82</v>
      </c>
      <c r="Q557" s="975" t="s">
        <v>918</v>
      </c>
      <c r="R557" s="975" t="s">
        <v>31</v>
      </c>
      <c r="S557" s="975" t="s">
        <v>184</v>
      </c>
      <c r="T557" s="975" t="s">
        <v>185</v>
      </c>
      <c r="U557" s="975"/>
      <c r="V557" s="975" t="s">
        <v>149</v>
      </c>
      <c r="W557" s="976">
        <v>1</v>
      </c>
    </row>
    <row r="558" spans="1:23" customFormat="1" ht="16.5" customHeight="1" thickBot="1">
      <c r="A558" s="67" t="s">
        <v>166</v>
      </c>
      <c r="B558" s="68">
        <v>30</v>
      </c>
      <c r="C558" s="69">
        <v>46224</v>
      </c>
      <c r="D558" s="70" t="s">
        <v>142</v>
      </c>
      <c r="E558" s="71" t="s">
        <v>232</v>
      </c>
      <c r="F558" s="71" t="s">
        <v>266</v>
      </c>
      <c r="G558" s="71" t="s">
        <v>37</v>
      </c>
      <c r="H558" s="88">
        <v>5766065</v>
      </c>
      <c r="I558" s="71" t="s">
        <v>919</v>
      </c>
      <c r="J558" s="71">
        <v>338</v>
      </c>
      <c r="K558" s="71">
        <v>1</v>
      </c>
      <c r="L558" s="71">
        <v>5</v>
      </c>
      <c r="M558" s="71">
        <v>1</v>
      </c>
      <c r="N558" s="71" t="s">
        <v>149</v>
      </c>
      <c r="O558" s="71" t="s">
        <v>61</v>
      </c>
      <c r="P558" s="71" t="s">
        <v>62</v>
      </c>
      <c r="Q558" s="71" t="s">
        <v>295</v>
      </c>
      <c r="R558" s="71" t="s">
        <v>31</v>
      </c>
      <c r="S558" s="71" t="s">
        <v>184</v>
      </c>
      <c r="T558" s="71" t="s">
        <v>185</v>
      </c>
      <c r="U558" s="71"/>
      <c r="V558" s="71" t="s">
        <v>149</v>
      </c>
      <c r="W558" s="72">
        <v>1</v>
      </c>
    </row>
    <row r="559" spans="1:23" customFormat="1" ht="16.5" customHeight="1">
      <c r="A559" s="63" t="s">
        <v>166</v>
      </c>
      <c r="B559" s="64">
        <v>30</v>
      </c>
      <c r="C559" s="65">
        <v>46225</v>
      </c>
      <c r="D559" s="66" t="s">
        <v>142</v>
      </c>
      <c r="E559" s="992" t="s">
        <v>265</v>
      </c>
      <c r="F559" s="992" t="s">
        <v>270</v>
      </c>
      <c r="G559" s="992" t="s">
        <v>37</v>
      </c>
      <c r="H559" s="163">
        <v>5447763</v>
      </c>
      <c r="I559" s="992" t="s">
        <v>920</v>
      </c>
      <c r="J559" s="992">
        <v>120</v>
      </c>
      <c r="K559" s="1142">
        <v>1</v>
      </c>
      <c r="L559" s="1142">
        <v>5</v>
      </c>
      <c r="M559" s="1142">
        <v>1</v>
      </c>
      <c r="N559" s="1142" t="s">
        <v>149</v>
      </c>
      <c r="O559" s="1142" t="s">
        <v>103</v>
      </c>
      <c r="P559" s="1142" t="s">
        <v>30</v>
      </c>
      <c r="Q559" s="1142" t="s">
        <v>281</v>
      </c>
      <c r="R559" s="1142" t="s">
        <v>31</v>
      </c>
      <c r="S559" s="1142" t="s">
        <v>184</v>
      </c>
      <c r="T559" s="1142" t="s">
        <v>185</v>
      </c>
      <c r="U559" s="1142"/>
      <c r="V559" s="1142" t="s">
        <v>149</v>
      </c>
      <c r="W559" s="1153">
        <v>1</v>
      </c>
    </row>
    <row r="560" spans="1:23" customFormat="1" ht="16.5" customHeight="1">
      <c r="A560" s="134" t="s">
        <v>166</v>
      </c>
      <c r="B560" s="135">
        <v>30</v>
      </c>
      <c r="C560" s="136">
        <v>46225</v>
      </c>
      <c r="D560" s="137" t="s">
        <v>142</v>
      </c>
      <c r="E560" s="993" t="s">
        <v>265</v>
      </c>
      <c r="F560" s="993" t="s">
        <v>270</v>
      </c>
      <c r="G560" s="993" t="s">
        <v>37</v>
      </c>
      <c r="H560" s="139">
        <v>5447763</v>
      </c>
      <c r="I560" s="993" t="s">
        <v>921</v>
      </c>
      <c r="J560" s="993">
        <v>128</v>
      </c>
      <c r="K560" s="1143"/>
      <c r="L560" s="1143"/>
      <c r="M560" s="1143"/>
      <c r="N560" s="1143"/>
      <c r="O560" s="1143"/>
      <c r="P560" s="1143"/>
      <c r="Q560" s="1143"/>
      <c r="R560" s="1143"/>
      <c r="S560" s="1143"/>
      <c r="T560" s="1143"/>
      <c r="U560" s="1143"/>
      <c r="V560" s="1143"/>
      <c r="W560" s="1145"/>
    </row>
    <row r="561" spans="1:23" customFormat="1" ht="16.5" customHeight="1" thickBot="1">
      <c r="A561" s="998" t="s">
        <v>166</v>
      </c>
      <c r="B561" s="999">
        <v>30</v>
      </c>
      <c r="C561" s="1000">
        <v>46225</v>
      </c>
      <c r="D561" s="1001" t="s">
        <v>142</v>
      </c>
      <c r="E561" s="1002" t="s">
        <v>265</v>
      </c>
      <c r="F561" s="1002" t="s">
        <v>270</v>
      </c>
      <c r="G561" s="1002" t="s">
        <v>37</v>
      </c>
      <c r="H561" s="1003">
        <v>5447763</v>
      </c>
      <c r="I561" s="1002" t="s">
        <v>922</v>
      </c>
      <c r="J561" s="1002">
        <v>50</v>
      </c>
      <c r="K561" s="1319"/>
      <c r="L561" s="1319"/>
      <c r="M561" s="1319"/>
      <c r="N561" s="1319"/>
      <c r="O561" s="1319"/>
      <c r="P561" s="1319"/>
      <c r="Q561" s="1319"/>
      <c r="R561" s="1319"/>
      <c r="S561" s="1319"/>
      <c r="T561" s="1319"/>
      <c r="U561" s="1319"/>
      <c r="V561" s="1319"/>
      <c r="W561" s="1320"/>
    </row>
    <row r="562" spans="1:23" customFormat="1" ht="16.5" customHeight="1">
      <c r="A562" s="63" t="s">
        <v>166</v>
      </c>
      <c r="B562" s="64">
        <v>30</v>
      </c>
      <c r="C562" s="65">
        <v>46226</v>
      </c>
      <c r="D562" s="66" t="s">
        <v>142</v>
      </c>
      <c r="E562" s="992" t="s">
        <v>265</v>
      </c>
      <c r="F562" s="992" t="s">
        <v>270</v>
      </c>
      <c r="G562" s="992" t="s">
        <v>37</v>
      </c>
      <c r="H562" s="163">
        <v>5447763</v>
      </c>
      <c r="I562" s="992" t="s">
        <v>922</v>
      </c>
      <c r="J562" s="992">
        <v>86</v>
      </c>
      <c r="K562" s="1142">
        <v>1</v>
      </c>
      <c r="L562" s="1142"/>
      <c r="M562" s="1142">
        <v>0</v>
      </c>
      <c r="N562" s="1142" t="s">
        <v>149</v>
      </c>
      <c r="O562" s="1142"/>
      <c r="P562" s="1142"/>
      <c r="Q562" s="1142"/>
      <c r="R562" s="1142"/>
      <c r="S562" s="1142"/>
      <c r="T562" s="1142"/>
      <c r="U562" s="1142"/>
      <c r="V562" s="1142"/>
      <c r="W562" s="1153"/>
    </row>
    <row r="563" spans="1:23" customFormat="1" ht="16.5" customHeight="1" thickBot="1">
      <c r="A563" s="134" t="s">
        <v>166</v>
      </c>
      <c r="B563" s="135">
        <v>30</v>
      </c>
      <c r="C563" s="136">
        <v>46226</v>
      </c>
      <c r="D563" s="137" t="s">
        <v>142</v>
      </c>
      <c r="E563" s="993" t="s">
        <v>265</v>
      </c>
      <c r="F563" s="993" t="s">
        <v>271</v>
      </c>
      <c r="G563" s="993" t="s">
        <v>37</v>
      </c>
      <c r="H563" s="139">
        <v>5447762</v>
      </c>
      <c r="I563" s="993" t="s">
        <v>923</v>
      </c>
      <c r="J563" s="993">
        <v>200</v>
      </c>
      <c r="K563" s="1143"/>
      <c r="L563" s="1143"/>
      <c r="M563" s="1143"/>
      <c r="N563" s="1143"/>
      <c r="O563" s="1143"/>
      <c r="P563" s="1143"/>
      <c r="Q563" s="1143"/>
      <c r="R563" s="1143"/>
      <c r="S563" s="1143"/>
      <c r="T563" s="1143"/>
      <c r="U563" s="1143"/>
      <c r="V563" s="1143"/>
      <c r="W563" s="1145"/>
    </row>
    <row r="564" spans="1:23" customFormat="1" ht="16.5" customHeight="1">
      <c r="A564" s="63" t="s">
        <v>166</v>
      </c>
      <c r="B564" s="64">
        <v>30</v>
      </c>
      <c r="C564" s="65">
        <v>46227</v>
      </c>
      <c r="D564" s="66" t="s">
        <v>142</v>
      </c>
      <c r="E564" s="996" t="s">
        <v>386</v>
      </c>
      <c r="F564" s="996" t="s">
        <v>274</v>
      </c>
      <c r="G564" s="996" t="s">
        <v>36</v>
      </c>
      <c r="H564" s="163">
        <v>5535131</v>
      </c>
      <c r="I564" s="996" t="s">
        <v>924</v>
      </c>
      <c r="J564" s="996">
        <v>150</v>
      </c>
      <c r="K564" s="1142">
        <v>1</v>
      </c>
      <c r="L564" s="1142">
        <v>5</v>
      </c>
      <c r="M564" s="1142">
        <v>1</v>
      </c>
      <c r="N564" s="1142" t="s">
        <v>149</v>
      </c>
      <c r="O564" s="1142" t="s">
        <v>39</v>
      </c>
      <c r="P564" s="1142" t="s">
        <v>40</v>
      </c>
      <c r="Q564" s="1142" t="s">
        <v>316</v>
      </c>
      <c r="R564" s="1142" t="s">
        <v>31</v>
      </c>
      <c r="S564" s="1142" t="s">
        <v>184</v>
      </c>
      <c r="T564" s="1142" t="s">
        <v>185</v>
      </c>
      <c r="U564" s="1142"/>
      <c r="V564" s="1142" t="s">
        <v>149</v>
      </c>
      <c r="W564" s="1153">
        <v>1</v>
      </c>
    </row>
    <row r="565" spans="1:23" customFormat="1" ht="16.5" customHeight="1">
      <c r="A565" s="134" t="s">
        <v>166</v>
      </c>
      <c r="B565" s="135">
        <v>30</v>
      </c>
      <c r="C565" s="136">
        <v>46227</v>
      </c>
      <c r="D565" s="137" t="s">
        <v>142</v>
      </c>
      <c r="E565" s="995" t="s">
        <v>386</v>
      </c>
      <c r="F565" s="995" t="s">
        <v>274</v>
      </c>
      <c r="G565" s="995" t="s">
        <v>28</v>
      </c>
      <c r="H565" s="139">
        <v>5535130</v>
      </c>
      <c r="I565" s="995" t="s">
        <v>925</v>
      </c>
      <c r="J565" s="995">
        <v>32</v>
      </c>
      <c r="K565" s="1143"/>
      <c r="L565" s="1143"/>
      <c r="M565" s="1143"/>
      <c r="N565" s="1143"/>
      <c r="O565" s="1143"/>
      <c r="P565" s="1143"/>
      <c r="Q565" s="1143"/>
      <c r="R565" s="1143"/>
      <c r="S565" s="1143"/>
      <c r="T565" s="1143"/>
      <c r="U565" s="1143"/>
      <c r="V565" s="1143"/>
      <c r="W565" s="1145"/>
    </row>
    <row r="566" spans="1:23" customFormat="1" ht="16.5" customHeight="1">
      <c r="A566" s="134" t="s">
        <v>166</v>
      </c>
      <c r="B566" s="135">
        <v>30</v>
      </c>
      <c r="C566" s="136">
        <v>46227</v>
      </c>
      <c r="D566" s="137" t="s">
        <v>142</v>
      </c>
      <c r="E566" s="995" t="s">
        <v>387</v>
      </c>
      <c r="F566" s="995" t="s">
        <v>282</v>
      </c>
      <c r="G566" s="995" t="s">
        <v>36</v>
      </c>
      <c r="H566" s="139">
        <v>5535142</v>
      </c>
      <c r="I566" s="995" t="s">
        <v>926</v>
      </c>
      <c r="J566" s="995">
        <v>99</v>
      </c>
      <c r="K566" s="1143">
        <v>1</v>
      </c>
      <c r="L566" s="1143"/>
      <c r="M566" s="1143">
        <v>0</v>
      </c>
      <c r="N566" s="1143" t="s">
        <v>149</v>
      </c>
      <c r="O566" s="1143"/>
      <c r="P566" s="1143"/>
      <c r="Q566" s="1143"/>
      <c r="R566" s="1143"/>
      <c r="S566" s="1143"/>
      <c r="T566" s="1143"/>
      <c r="U566" s="1143"/>
      <c r="V566" s="1143"/>
      <c r="W566" s="1145"/>
    </row>
    <row r="567" spans="1:23" customFormat="1" ht="16.5" customHeight="1" thickBot="1">
      <c r="A567" s="116" t="s">
        <v>166</v>
      </c>
      <c r="B567" s="141">
        <v>30</v>
      </c>
      <c r="C567" s="142">
        <v>46227</v>
      </c>
      <c r="D567" s="143" t="s">
        <v>142</v>
      </c>
      <c r="E567" s="997" t="s">
        <v>387</v>
      </c>
      <c r="F567" s="997" t="s">
        <v>282</v>
      </c>
      <c r="G567" s="997" t="s">
        <v>28</v>
      </c>
      <c r="H567" s="145">
        <v>5535141</v>
      </c>
      <c r="I567" s="997" t="s">
        <v>927</v>
      </c>
      <c r="J567" s="997">
        <v>64</v>
      </c>
      <c r="K567" s="1156"/>
      <c r="L567" s="1156"/>
      <c r="M567" s="1156"/>
      <c r="N567" s="1156"/>
      <c r="O567" s="1156"/>
      <c r="P567" s="1156"/>
      <c r="Q567" s="1156"/>
      <c r="R567" s="1156"/>
      <c r="S567" s="1156"/>
      <c r="T567" s="1156"/>
      <c r="U567" s="1156"/>
      <c r="V567" s="1156"/>
      <c r="W567" s="1158"/>
    </row>
    <row r="568" spans="1:23" customFormat="1" ht="16.5" customHeight="1">
      <c r="A568" s="219" t="s">
        <v>166</v>
      </c>
      <c r="B568" s="214">
        <v>30</v>
      </c>
      <c r="C568" s="215">
        <v>46228</v>
      </c>
      <c r="D568" s="216" t="s">
        <v>142</v>
      </c>
      <c r="E568" s="994" t="s">
        <v>232</v>
      </c>
      <c r="F568" s="994" t="s">
        <v>268</v>
      </c>
      <c r="G568" s="994" t="s">
        <v>176</v>
      </c>
      <c r="H568" s="217">
        <v>5771802</v>
      </c>
      <c r="I568" s="994" t="s">
        <v>928</v>
      </c>
      <c r="J568" s="994">
        <v>250</v>
      </c>
      <c r="K568" s="1150">
        <v>1</v>
      </c>
      <c r="L568" s="1150"/>
      <c r="M568" s="1150">
        <v>0</v>
      </c>
      <c r="N568" s="1150" t="s">
        <v>149</v>
      </c>
      <c r="O568" s="1150"/>
      <c r="P568" s="1150"/>
      <c r="Q568" s="1150"/>
      <c r="R568" s="1150"/>
      <c r="S568" s="1150"/>
      <c r="T568" s="1150"/>
      <c r="U568" s="1150"/>
      <c r="V568" s="1150"/>
      <c r="W568" s="1151"/>
    </row>
    <row r="569" spans="1:23" customFormat="1" ht="16.5" customHeight="1" thickBot="1">
      <c r="A569" s="116" t="s">
        <v>166</v>
      </c>
      <c r="B569" s="141">
        <v>30</v>
      </c>
      <c r="C569" s="142">
        <v>46228</v>
      </c>
      <c r="D569" s="143" t="s">
        <v>142</v>
      </c>
      <c r="E569" s="997" t="s">
        <v>232</v>
      </c>
      <c r="F569" s="997" t="s">
        <v>269</v>
      </c>
      <c r="G569" s="997" t="s">
        <v>176</v>
      </c>
      <c r="H569" s="145">
        <v>5773217</v>
      </c>
      <c r="I569" s="997" t="s">
        <v>929</v>
      </c>
      <c r="J569" s="997">
        <v>50</v>
      </c>
      <c r="K569" s="1147"/>
      <c r="L569" s="1147"/>
      <c r="M569" s="1147"/>
      <c r="N569" s="1147"/>
      <c r="O569" s="1147"/>
      <c r="P569" s="1147"/>
      <c r="Q569" s="1147"/>
      <c r="R569" s="1147"/>
      <c r="S569" s="1147"/>
      <c r="T569" s="1147"/>
      <c r="U569" s="1147"/>
      <c r="V569" s="1147"/>
      <c r="W569" s="1149"/>
    </row>
    <row r="570" spans="1:23" customFormat="1" ht="16.5" customHeight="1">
      <c r="A570" s="63" t="s">
        <v>166</v>
      </c>
      <c r="B570" s="149">
        <v>31</v>
      </c>
      <c r="C570" s="150">
        <v>46230</v>
      </c>
      <c r="D570" s="151" t="s">
        <v>142</v>
      </c>
      <c r="E570" s="1008" t="s">
        <v>232</v>
      </c>
      <c r="F570" s="1008" t="s">
        <v>269</v>
      </c>
      <c r="G570" s="1008" t="s">
        <v>176</v>
      </c>
      <c r="H570" s="153">
        <v>5773217</v>
      </c>
      <c r="I570" s="1008" t="s">
        <v>929</v>
      </c>
      <c r="J570" s="1008">
        <v>100</v>
      </c>
      <c r="K570" s="1008">
        <v>1</v>
      </c>
      <c r="L570" s="1008"/>
      <c r="M570" s="1008">
        <v>0</v>
      </c>
      <c r="N570" s="1008" t="s">
        <v>149</v>
      </c>
      <c r="O570" s="1008"/>
      <c r="P570" s="1008"/>
      <c r="Q570" s="1008"/>
      <c r="R570" s="1008"/>
      <c r="S570" s="1008"/>
      <c r="T570" s="1008"/>
      <c r="U570" s="1008"/>
      <c r="V570" s="1008"/>
      <c r="W570" s="1005"/>
    </row>
    <row r="571" spans="1:23" customFormat="1" ht="16.5" customHeight="1">
      <c r="A571" s="134" t="s">
        <v>166</v>
      </c>
      <c r="B571" s="135">
        <v>31</v>
      </c>
      <c r="C571" s="136">
        <v>46230</v>
      </c>
      <c r="D571" s="137" t="s">
        <v>142</v>
      </c>
      <c r="E571" s="1004" t="s">
        <v>232</v>
      </c>
      <c r="F571" s="1004" t="s">
        <v>267</v>
      </c>
      <c r="G571" s="1004" t="s">
        <v>37</v>
      </c>
      <c r="H571" s="139">
        <v>5771962</v>
      </c>
      <c r="I571" s="1004" t="s">
        <v>930</v>
      </c>
      <c r="J571" s="1004">
        <v>156</v>
      </c>
      <c r="K571" s="1161">
        <v>1</v>
      </c>
      <c r="L571" s="1161"/>
      <c r="M571" s="1161">
        <v>0</v>
      </c>
      <c r="N571" s="1161" t="s">
        <v>149</v>
      </c>
      <c r="O571" s="1161"/>
      <c r="P571" s="1161"/>
      <c r="Q571" s="1161"/>
      <c r="R571" s="1161"/>
      <c r="S571" s="1161"/>
      <c r="T571" s="1161"/>
      <c r="U571" s="1161"/>
      <c r="V571" s="1161"/>
      <c r="W571" s="1322"/>
    </row>
    <row r="572" spans="1:23" customFormat="1" ht="16.5" customHeight="1" thickBot="1">
      <c r="A572" s="116" t="s">
        <v>166</v>
      </c>
      <c r="B572" s="141">
        <v>31</v>
      </c>
      <c r="C572" s="142">
        <v>46230</v>
      </c>
      <c r="D572" s="143" t="s">
        <v>142</v>
      </c>
      <c r="E572" s="1006" t="s">
        <v>232</v>
      </c>
      <c r="F572" s="1006" t="s">
        <v>266</v>
      </c>
      <c r="G572" s="1006" t="s">
        <v>37</v>
      </c>
      <c r="H572" s="145">
        <v>5766065</v>
      </c>
      <c r="I572" s="1006" t="s">
        <v>932</v>
      </c>
      <c r="J572" s="1006">
        <v>100</v>
      </c>
      <c r="K572" s="1147"/>
      <c r="L572" s="1147"/>
      <c r="M572" s="1147"/>
      <c r="N572" s="1147"/>
      <c r="O572" s="1147"/>
      <c r="P572" s="1147"/>
      <c r="Q572" s="1147"/>
      <c r="R572" s="1147"/>
      <c r="S572" s="1147"/>
      <c r="T572" s="1147"/>
      <c r="U572" s="1147"/>
      <c r="V572" s="1147"/>
      <c r="W572" s="1149"/>
    </row>
    <row r="573" spans="1:23" customFormat="1" ht="16.5" customHeight="1">
      <c r="A573" s="219" t="s">
        <v>166</v>
      </c>
      <c r="B573" s="214">
        <v>31</v>
      </c>
      <c r="C573" s="215">
        <v>46231</v>
      </c>
      <c r="D573" s="216" t="s">
        <v>142</v>
      </c>
      <c r="E573" s="1007" t="s">
        <v>232</v>
      </c>
      <c r="F573" s="1007" t="s">
        <v>266</v>
      </c>
      <c r="G573" s="1007" t="s">
        <v>37</v>
      </c>
      <c r="H573" s="217">
        <v>5766065</v>
      </c>
      <c r="I573" s="1007" t="s">
        <v>932</v>
      </c>
      <c r="J573" s="1007">
        <v>100</v>
      </c>
      <c r="K573" s="1150">
        <v>1</v>
      </c>
      <c r="L573" s="1150"/>
      <c r="M573" s="1150">
        <v>0</v>
      </c>
      <c r="N573" s="1150" t="s">
        <v>149</v>
      </c>
      <c r="O573" s="1150"/>
      <c r="P573" s="1150"/>
      <c r="Q573" s="1150"/>
      <c r="R573" s="1150"/>
      <c r="S573" s="1150"/>
      <c r="T573" s="1150"/>
      <c r="U573" s="1150"/>
      <c r="V573" s="1150"/>
      <c r="W573" s="1151"/>
    </row>
    <row r="574" spans="1:23" customFormat="1" ht="16.5" customHeight="1" thickBot="1">
      <c r="A574" s="1013" t="s">
        <v>166</v>
      </c>
      <c r="B574" s="1014">
        <v>31</v>
      </c>
      <c r="C574" s="1015">
        <v>46231</v>
      </c>
      <c r="D574" s="1016" t="s">
        <v>142</v>
      </c>
      <c r="E574" s="1017" t="s">
        <v>232</v>
      </c>
      <c r="F574" s="1017" t="s">
        <v>266</v>
      </c>
      <c r="G574" s="1017" t="s">
        <v>37</v>
      </c>
      <c r="H574" s="1018">
        <v>5766065</v>
      </c>
      <c r="I574" s="1017" t="s">
        <v>931</v>
      </c>
      <c r="J574" s="1017">
        <v>200</v>
      </c>
      <c r="K574" s="1150"/>
      <c r="L574" s="1150"/>
      <c r="M574" s="1150"/>
      <c r="N574" s="1150"/>
      <c r="O574" s="1150"/>
      <c r="P574" s="1150"/>
      <c r="Q574" s="1150"/>
      <c r="R574" s="1150"/>
      <c r="S574" s="1150"/>
      <c r="T574" s="1150"/>
      <c r="U574" s="1150"/>
      <c r="V574" s="1150"/>
      <c r="W574" s="1151"/>
    </row>
    <row r="575" spans="1:23" customFormat="1" ht="16.5" customHeight="1">
      <c r="A575" s="63" t="s">
        <v>166</v>
      </c>
      <c r="B575" s="64">
        <v>31</v>
      </c>
      <c r="C575" s="65">
        <v>46232</v>
      </c>
      <c r="D575" s="66" t="s">
        <v>142</v>
      </c>
      <c r="E575" s="1011" t="s">
        <v>232</v>
      </c>
      <c r="F575" s="1011" t="s">
        <v>266</v>
      </c>
      <c r="G575" s="1011" t="s">
        <v>37</v>
      </c>
      <c r="H575" s="163">
        <v>5766065</v>
      </c>
      <c r="I575" s="1011" t="s">
        <v>931</v>
      </c>
      <c r="J575" s="1011">
        <v>152</v>
      </c>
      <c r="K575" s="1162">
        <v>1</v>
      </c>
      <c r="L575" s="1162"/>
      <c r="M575" s="1162">
        <v>0</v>
      </c>
      <c r="N575" s="1162" t="s">
        <v>149</v>
      </c>
      <c r="O575" s="1162"/>
      <c r="P575" s="1162"/>
      <c r="Q575" s="1162"/>
      <c r="R575" s="1162"/>
      <c r="S575" s="1162"/>
      <c r="T575" s="1162"/>
      <c r="U575" s="1162"/>
      <c r="V575" s="1162"/>
      <c r="W575" s="1163"/>
    </row>
    <row r="576" spans="1:23" customFormat="1" ht="16.5" customHeight="1" thickBot="1">
      <c r="A576" s="116" t="s">
        <v>166</v>
      </c>
      <c r="B576" s="141">
        <v>31</v>
      </c>
      <c r="C576" s="142">
        <v>46232</v>
      </c>
      <c r="D576" s="143" t="s">
        <v>142</v>
      </c>
      <c r="E576" s="1010" t="s">
        <v>232</v>
      </c>
      <c r="F576" s="1010" t="s">
        <v>266</v>
      </c>
      <c r="G576" s="1010" t="s">
        <v>37</v>
      </c>
      <c r="H576" s="145">
        <v>5766065</v>
      </c>
      <c r="I576" s="1010" t="s">
        <v>933</v>
      </c>
      <c r="J576" s="1010">
        <v>192</v>
      </c>
      <c r="K576" s="1147"/>
      <c r="L576" s="1147"/>
      <c r="M576" s="1147"/>
      <c r="N576" s="1147"/>
      <c r="O576" s="1147"/>
      <c r="P576" s="1147"/>
      <c r="Q576" s="1147"/>
      <c r="R576" s="1147"/>
      <c r="S576" s="1147"/>
      <c r="T576" s="1147"/>
      <c r="U576" s="1147"/>
      <c r="V576" s="1147"/>
      <c r="W576" s="1149"/>
    </row>
    <row r="577" spans="1:23" customFormat="1" ht="16.5" customHeight="1">
      <c r="A577" s="63" t="s">
        <v>166</v>
      </c>
      <c r="B577" s="64">
        <v>31</v>
      </c>
      <c r="C577" s="65">
        <v>46233</v>
      </c>
      <c r="D577" s="66" t="s">
        <v>142</v>
      </c>
      <c r="E577" s="1011" t="s">
        <v>232</v>
      </c>
      <c r="F577" s="1011" t="s">
        <v>266</v>
      </c>
      <c r="G577" s="1011" t="s">
        <v>37</v>
      </c>
      <c r="H577" s="163">
        <v>5766065</v>
      </c>
      <c r="I577" s="1011" t="s">
        <v>933</v>
      </c>
      <c r="J577" s="1011">
        <v>200</v>
      </c>
      <c r="K577" s="1011">
        <v>1</v>
      </c>
      <c r="L577" s="1011"/>
      <c r="M577" s="1011">
        <v>0</v>
      </c>
      <c r="N577" s="1011" t="s">
        <v>149</v>
      </c>
      <c r="O577" s="1011"/>
      <c r="P577" s="1011"/>
      <c r="Q577" s="1011"/>
      <c r="R577" s="1011"/>
      <c r="S577" s="1011"/>
      <c r="T577" s="1011"/>
      <c r="U577" s="1011"/>
      <c r="V577" s="1011"/>
      <c r="W577" s="1012"/>
    </row>
    <row r="578" spans="1:23" customFormat="1" ht="16.5" customHeight="1">
      <c r="A578" s="134" t="s">
        <v>166</v>
      </c>
      <c r="B578" s="135">
        <v>31</v>
      </c>
      <c r="C578" s="136">
        <v>46233</v>
      </c>
      <c r="D578" s="137" t="s">
        <v>142</v>
      </c>
      <c r="E578" s="1009" t="s">
        <v>387</v>
      </c>
      <c r="F578" s="1009" t="s">
        <v>283</v>
      </c>
      <c r="G578" s="1009" t="s">
        <v>36</v>
      </c>
      <c r="H578" s="139">
        <v>5535146</v>
      </c>
      <c r="I578" s="1009" t="s">
        <v>934</v>
      </c>
      <c r="J578" s="1009">
        <v>18</v>
      </c>
      <c r="K578" s="1160">
        <v>1</v>
      </c>
      <c r="L578" s="1160"/>
      <c r="M578" s="1160">
        <v>0</v>
      </c>
      <c r="N578" s="1160" t="s">
        <v>149</v>
      </c>
      <c r="O578" s="1160"/>
      <c r="P578" s="1160"/>
      <c r="Q578" s="1160"/>
      <c r="R578" s="1160"/>
      <c r="S578" s="1160"/>
      <c r="T578" s="1160"/>
      <c r="U578" s="1160"/>
      <c r="V578" s="1160"/>
      <c r="W578" s="1168"/>
    </row>
    <row r="579" spans="1:23" customFormat="1" ht="16.5" customHeight="1">
      <c r="A579" s="134" t="s">
        <v>166</v>
      </c>
      <c r="B579" s="135">
        <v>31</v>
      </c>
      <c r="C579" s="136">
        <v>46233</v>
      </c>
      <c r="D579" s="137" t="s">
        <v>142</v>
      </c>
      <c r="E579" s="1009" t="s">
        <v>387</v>
      </c>
      <c r="F579" s="1009" t="s">
        <v>282</v>
      </c>
      <c r="G579" s="1009" t="s">
        <v>52</v>
      </c>
      <c r="H579" s="139">
        <v>5535143</v>
      </c>
      <c r="I579" s="1009" t="s">
        <v>935</v>
      </c>
      <c r="J579" s="1009">
        <v>16</v>
      </c>
      <c r="K579" s="1150"/>
      <c r="L579" s="1150"/>
      <c r="M579" s="1150"/>
      <c r="N579" s="1150"/>
      <c r="O579" s="1150"/>
      <c r="P579" s="1150"/>
      <c r="Q579" s="1150"/>
      <c r="R579" s="1150"/>
      <c r="S579" s="1150"/>
      <c r="T579" s="1150"/>
      <c r="U579" s="1150"/>
      <c r="V579" s="1150"/>
      <c r="W579" s="1151"/>
    </row>
    <row r="580" spans="1:23" customFormat="1" ht="16.5" customHeight="1" thickBot="1">
      <c r="A580" s="116" t="s">
        <v>166</v>
      </c>
      <c r="B580" s="141">
        <v>31</v>
      </c>
      <c r="C580" s="142">
        <v>46233</v>
      </c>
      <c r="D580" s="143" t="s">
        <v>142</v>
      </c>
      <c r="E580" s="1010" t="s">
        <v>387</v>
      </c>
      <c r="F580" s="1010" t="s">
        <v>282</v>
      </c>
      <c r="G580" s="1010" t="s">
        <v>28</v>
      </c>
      <c r="H580" s="145">
        <v>5535141</v>
      </c>
      <c r="I580" s="1010" t="s">
        <v>936</v>
      </c>
      <c r="J580" s="1010">
        <v>66</v>
      </c>
      <c r="K580" s="1147"/>
      <c r="L580" s="1147"/>
      <c r="M580" s="1147"/>
      <c r="N580" s="1147"/>
      <c r="O580" s="1147"/>
      <c r="P580" s="1147"/>
      <c r="Q580" s="1147"/>
      <c r="R580" s="1147"/>
      <c r="S580" s="1147"/>
      <c r="T580" s="1147"/>
      <c r="U580" s="1147"/>
      <c r="V580" s="1147"/>
      <c r="W580" s="1149"/>
    </row>
    <row r="581" spans="1:23" customFormat="1" ht="16.5" customHeight="1">
      <c r="A581" s="63" t="s">
        <v>166</v>
      </c>
      <c r="B581" s="64">
        <v>31</v>
      </c>
      <c r="C581" s="65">
        <v>46234</v>
      </c>
      <c r="D581" s="66" t="s">
        <v>142</v>
      </c>
      <c r="E581" s="1022" t="s">
        <v>386</v>
      </c>
      <c r="F581" s="1022" t="s">
        <v>274</v>
      </c>
      <c r="G581" s="1022" t="s">
        <v>36</v>
      </c>
      <c r="H581" s="163">
        <v>5535131</v>
      </c>
      <c r="I581" s="1022" t="s">
        <v>937</v>
      </c>
      <c r="J581" s="1022">
        <v>77</v>
      </c>
      <c r="K581" s="1164">
        <v>1</v>
      </c>
      <c r="L581" s="1164"/>
      <c r="M581" s="1164">
        <v>0</v>
      </c>
      <c r="N581" s="1164" t="s">
        <v>149</v>
      </c>
      <c r="O581" s="1164"/>
      <c r="P581" s="1164"/>
      <c r="Q581" s="1164"/>
      <c r="R581" s="1164"/>
      <c r="S581" s="1164"/>
      <c r="T581" s="1164"/>
      <c r="U581" s="1164"/>
      <c r="V581" s="1164"/>
      <c r="W581" s="1166"/>
    </row>
    <row r="582" spans="1:23" customFormat="1" ht="16.5" customHeight="1">
      <c r="A582" s="134" t="s">
        <v>166</v>
      </c>
      <c r="B582" s="135">
        <v>31</v>
      </c>
      <c r="C582" s="136">
        <v>46234</v>
      </c>
      <c r="D582" s="137" t="s">
        <v>142</v>
      </c>
      <c r="E582" s="1019" t="s">
        <v>386</v>
      </c>
      <c r="F582" s="1019" t="s">
        <v>274</v>
      </c>
      <c r="G582" s="1019" t="s">
        <v>28</v>
      </c>
      <c r="H582" s="139">
        <v>5535130</v>
      </c>
      <c r="I582" s="1019" t="s">
        <v>938</v>
      </c>
      <c r="J582" s="1019">
        <v>73</v>
      </c>
      <c r="K582" s="1165"/>
      <c r="L582" s="1165"/>
      <c r="M582" s="1165"/>
      <c r="N582" s="1165"/>
      <c r="O582" s="1165"/>
      <c r="P582" s="1165"/>
      <c r="Q582" s="1165"/>
      <c r="R582" s="1165"/>
      <c r="S582" s="1165"/>
      <c r="T582" s="1165"/>
      <c r="U582" s="1165"/>
      <c r="V582" s="1165"/>
      <c r="W582" s="1167"/>
    </row>
    <row r="583" spans="1:23" customFormat="1" ht="16.5" customHeight="1" thickBot="1">
      <c r="A583" s="116" t="s">
        <v>166</v>
      </c>
      <c r="B583" s="141">
        <v>31</v>
      </c>
      <c r="C583" s="142">
        <v>46234</v>
      </c>
      <c r="D583" s="143" t="s">
        <v>142</v>
      </c>
      <c r="E583" s="1020" t="s">
        <v>232</v>
      </c>
      <c r="F583" s="1020" t="s">
        <v>267</v>
      </c>
      <c r="G583" s="1020" t="s">
        <v>37</v>
      </c>
      <c r="H583" s="145">
        <v>5771962</v>
      </c>
      <c r="I583" s="1020" t="s">
        <v>939</v>
      </c>
      <c r="J583" s="1020">
        <v>150</v>
      </c>
      <c r="K583" s="1020">
        <v>1</v>
      </c>
      <c r="L583" s="1020"/>
      <c r="M583" s="1020">
        <v>0</v>
      </c>
      <c r="N583" s="1020" t="s">
        <v>149</v>
      </c>
      <c r="O583" s="1020"/>
      <c r="P583" s="1020"/>
      <c r="Q583" s="1020"/>
      <c r="R583" s="1020"/>
      <c r="S583" s="1020"/>
      <c r="T583" s="1020"/>
      <c r="U583" s="1020"/>
      <c r="V583" s="1020"/>
      <c r="W583" s="1021"/>
    </row>
    <row r="584" spans="1:23" customFormat="1" ht="16.5" customHeight="1">
      <c r="A584" s="219" t="s">
        <v>167</v>
      </c>
      <c r="B584" s="214">
        <v>31</v>
      </c>
      <c r="C584" s="215">
        <v>46235</v>
      </c>
      <c r="D584" s="216" t="s">
        <v>142</v>
      </c>
      <c r="E584" s="1023" t="s">
        <v>232</v>
      </c>
      <c r="F584" s="1023" t="s">
        <v>267</v>
      </c>
      <c r="G584" s="1023" t="s">
        <v>37</v>
      </c>
      <c r="H584" s="217">
        <v>5771962</v>
      </c>
      <c r="I584" s="1023" t="s">
        <v>939</v>
      </c>
      <c r="J584" s="1023">
        <v>50</v>
      </c>
      <c r="K584" s="1150">
        <v>1</v>
      </c>
      <c r="L584" s="1150"/>
      <c r="M584" s="1150">
        <v>0</v>
      </c>
      <c r="N584" s="1150" t="s">
        <v>149</v>
      </c>
      <c r="O584" s="1150"/>
      <c r="P584" s="1150"/>
      <c r="Q584" s="1150"/>
      <c r="R584" s="1150"/>
      <c r="S584" s="1150"/>
      <c r="T584" s="1150"/>
      <c r="U584" s="1150"/>
      <c r="V584" s="1150"/>
      <c r="W584" s="1151"/>
    </row>
    <row r="585" spans="1:23" customFormat="1" ht="16.5" customHeight="1">
      <c r="A585" s="134" t="s">
        <v>167</v>
      </c>
      <c r="B585" s="135">
        <v>31</v>
      </c>
      <c r="C585" s="136">
        <v>46235</v>
      </c>
      <c r="D585" s="137" t="s">
        <v>142</v>
      </c>
      <c r="E585" s="1019" t="s">
        <v>232</v>
      </c>
      <c r="F585" s="1019" t="s">
        <v>275</v>
      </c>
      <c r="G585" s="1019" t="s">
        <v>37</v>
      </c>
      <c r="H585" s="139">
        <v>5823326</v>
      </c>
      <c r="I585" s="1019">
        <v>4524782465</v>
      </c>
      <c r="J585" s="1019">
        <v>170</v>
      </c>
      <c r="K585" s="1150"/>
      <c r="L585" s="1150"/>
      <c r="M585" s="1150"/>
      <c r="N585" s="1150"/>
      <c r="O585" s="1150"/>
      <c r="P585" s="1150"/>
      <c r="Q585" s="1150"/>
      <c r="R585" s="1150"/>
      <c r="S585" s="1150"/>
      <c r="T585" s="1150"/>
      <c r="U585" s="1150"/>
      <c r="V585" s="1150"/>
      <c r="W585" s="1151"/>
    </row>
    <row r="586" spans="1:23" customFormat="1" ht="16.5" customHeight="1" thickBot="1">
      <c r="A586" s="1025" t="s">
        <v>167</v>
      </c>
      <c r="B586" s="1026">
        <v>31</v>
      </c>
      <c r="C586" s="1027">
        <v>46235</v>
      </c>
      <c r="D586" s="1028" t="s">
        <v>142</v>
      </c>
      <c r="E586" s="1029" t="s">
        <v>232</v>
      </c>
      <c r="F586" s="1029" t="s">
        <v>275</v>
      </c>
      <c r="G586" s="1029" t="s">
        <v>37</v>
      </c>
      <c r="H586" s="1030">
        <v>5823326</v>
      </c>
      <c r="I586" s="1029">
        <v>4524787786</v>
      </c>
      <c r="J586" s="1029">
        <v>30</v>
      </c>
      <c r="K586" s="1150"/>
      <c r="L586" s="1150"/>
      <c r="M586" s="1150"/>
      <c r="N586" s="1150"/>
      <c r="O586" s="1150"/>
      <c r="P586" s="1150"/>
      <c r="Q586" s="1150"/>
      <c r="R586" s="1150"/>
      <c r="S586" s="1150"/>
      <c r="T586" s="1150"/>
      <c r="U586" s="1150"/>
      <c r="V586" s="1150"/>
      <c r="W586" s="1151"/>
    </row>
    <row r="587" spans="1:23" customFormat="1" ht="16.5" customHeight="1" thickBot="1">
      <c r="A587" s="67" t="s">
        <v>167</v>
      </c>
      <c r="B587" s="68">
        <v>32</v>
      </c>
      <c r="C587" s="69">
        <v>46237</v>
      </c>
      <c r="D587" s="70" t="s">
        <v>142</v>
      </c>
      <c r="E587" s="71" t="s">
        <v>232</v>
      </c>
      <c r="F587" s="71" t="s">
        <v>266</v>
      </c>
      <c r="G587" s="71" t="s">
        <v>37</v>
      </c>
      <c r="H587" s="88">
        <v>5766065</v>
      </c>
      <c r="I587" s="71" t="s">
        <v>940</v>
      </c>
      <c r="J587" s="71">
        <v>320</v>
      </c>
      <c r="K587" s="71">
        <v>1</v>
      </c>
      <c r="L587" s="71"/>
      <c r="M587" s="71">
        <v>0</v>
      </c>
      <c r="N587" s="71" t="s">
        <v>149</v>
      </c>
      <c r="O587" s="71"/>
      <c r="P587" s="71"/>
      <c r="Q587" s="71"/>
      <c r="R587" s="71"/>
      <c r="S587" s="71"/>
      <c r="T587" s="71"/>
      <c r="U587" s="71"/>
      <c r="V587" s="71"/>
      <c r="W587" s="72"/>
    </row>
    <row r="588" spans="1:23" customFormat="1" ht="16.5" customHeight="1">
      <c r="A588" s="63" t="s">
        <v>167</v>
      </c>
      <c r="B588" s="64">
        <v>32</v>
      </c>
      <c r="C588" s="65">
        <v>46238</v>
      </c>
      <c r="D588" s="66" t="s">
        <v>142</v>
      </c>
      <c r="E588" s="1031" t="s">
        <v>232</v>
      </c>
      <c r="F588" s="1031" t="s">
        <v>266</v>
      </c>
      <c r="G588" s="1031" t="s">
        <v>37</v>
      </c>
      <c r="H588" s="163">
        <v>5766065</v>
      </c>
      <c r="I588" s="1031" t="s">
        <v>940</v>
      </c>
      <c r="J588" s="1031">
        <v>187</v>
      </c>
      <c r="K588" s="1031">
        <v>1</v>
      </c>
      <c r="L588" s="1031">
        <v>5</v>
      </c>
      <c r="M588" s="1031">
        <v>1</v>
      </c>
      <c r="N588" s="1031" t="s">
        <v>149</v>
      </c>
      <c r="O588" s="1031" t="s">
        <v>65</v>
      </c>
      <c r="P588" s="1031" t="s">
        <v>64</v>
      </c>
      <c r="Q588" s="1031" t="s">
        <v>562</v>
      </c>
      <c r="R588" s="1031" t="s">
        <v>31</v>
      </c>
      <c r="S588" s="1031" t="s">
        <v>301</v>
      </c>
      <c r="T588" s="1031" t="s">
        <v>185</v>
      </c>
      <c r="U588" s="1031"/>
      <c r="V588" s="1031" t="s">
        <v>149</v>
      </c>
      <c r="W588" s="1033">
        <v>1</v>
      </c>
    </row>
    <row r="589" spans="1:23" customFormat="1" ht="16.5" customHeight="1" thickBot="1">
      <c r="A589" s="1036" t="s">
        <v>167</v>
      </c>
      <c r="B589" s="1037">
        <v>32</v>
      </c>
      <c r="C589" s="1038">
        <v>46238</v>
      </c>
      <c r="D589" s="1039" t="s">
        <v>142</v>
      </c>
      <c r="E589" s="1040" t="s">
        <v>386</v>
      </c>
      <c r="F589" s="1040" t="s">
        <v>273</v>
      </c>
      <c r="G589" s="1040" t="s">
        <v>28</v>
      </c>
      <c r="H589" s="1041">
        <v>5535134</v>
      </c>
      <c r="I589" s="1040" t="s">
        <v>945</v>
      </c>
      <c r="J589" s="1040">
        <v>120</v>
      </c>
      <c r="K589" s="1040">
        <v>1</v>
      </c>
      <c r="L589" s="1040">
        <v>5</v>
      </c>
      <c r="M589" s="1040">
        <v>1</v>
      </c>
      <c r="N589" s="1040" t="s">
        <v>149</v>
      </c>
      <c r="O589" s="1040" t="s">
        <v>39</v>
      </c>
      <c r="P589" s="1040" t="s">
        <v>40</v>
      </c>
      <c r="Q589" s="1040" t="s">
        <v>316</v>
      </c>
      <c r="R589" s="1040" t="s">
        <v>31</v>
      </c>
      <c r="S589" s="1040" t="s">
        <v>184</v>
      </c>
      <c r="T589" s="1040" t="s">
        <v>185</v>
      </c>
      <c r="U589" s="1040"/>
      <c r="V589" s="1040" t="s">
        <v>149</v>
      </c>
      <c r="W589" s="1042">
        <v>1</v>
      </c>
    </row>
    <row r="590" spans="1:23" customFormat="1" ht="16.5" customHeight="1">
      <c r="A590" s="63" t="s">
        <v>167</v>
      </c>
      <c r="B590" s="64">
        <v>32</v>
      </c>
      <c r="C590" s="65">
        <v>46239</v>
      </c>
      <c r="D590" s="66" t="s">
        <v>142</v>
      </c>
      <c r="E590" s="1043" t="s">
        <v>386</v>
      </c>
      <c r="F590" s="1043" t="s">
        <v>273</v>
      </c>
      <c r="G590" s="1043" t="s">
        <v>28</v>
      </c>
      <c r="H590" s="163">
        <v>5535134</v>
      </c>
      <c r="I590" s="1043" t="s">
        <v>945</v>
      </c>
      <c r="J590" s="1043">
        <v>40</v>
      </c>
      <c r="K590" s="1142">
        <v>1</v>
      </c>
      <c r="L590" s="1142"/>
      <c r="M590" s="1142">
        <v>0</v>
      </c>
      <c r="N590" s="1142" t="s">
        <v>149</v>
      </c>
      <c r="O590" s="1142"/>
      <c r="P590" s="1142"/>
      <c r="Q590" s="1142"/>
      <c r="R590" s="1142"/>
      <c r="S590" s="1142"/>
      <c r="T590" s="1142"/>
      <c r="U590" s="1142"/>
      <c r="V590" s="1142"/>
      <c r="W590" s="1153"/>
    </row>
    <row r="591" spans="1:23" customFormat="1" ht="16.5" customHeight="1">
      <c r="A591" s="134" t="s">
        <v>167</v>
      </c>
      <c r="B591" s="135">
        <v>32</v>
      </c>
      <c r="C591" s="136">
        <v>46239</v>
      </c>
      <c r="D591" s="137" t="s">
        <v>142</v>
      </c>
      <c r="E591" s="1044" t="s">
        <v>386</v>
      </c>
      <c r="F591" s="1044" t="s">
        <v>274</v>
      </c>
      <c r="G591" s="1044" t="s">
        <v>36</v>
      </c>
      <c r="H591" s="139">
        <v>5535131</v>
      </c>
      <c r="I591" s="1044" t="s">
        <v>946</v>
      </c>
      <c r="J591" s="1044">
        <v>100</v>
      </c>
      <c r="K591" s="1143"/>
      <c r="L591" s="1143"/>
      <c r="M591" s="1143"/>
      <c r="N591" s="1143"/>
      <c r="O591" s="1143"/>
      <c r="P591" s="1143"/>
      <c r="Q591" s="1143"/>
      <c r="R591" s="1143"/>
      <c r="S591" s="1143"/>
      <c r="T591" s="1143"/>
      <c r="U591" s="1143"/>
      <c r="V591" s="1143"/>
      <c r="W591" s="1145"/>
    </row>
    <row r="592" spans="1:23" customFormat="1" ht="16.5" customHeight="1" thickBot="1">
      <c r="A592" s="116" t="s">
        <v>167</v>
      </c>
      <c r="B592" s="141">
        <v>32</v>
      </c>
      <c r="C592" s="142">
        <v>46239</v>
      </c>
      <c r="D592" s="143" t="s">
        <v>142</v>
      </c>
      <c r="E592" s="1046" t="s">
        <v>386</v>
      </c>
      <c r="F592" s="1046" t="s">
        <v>274</v>
      </c>
      <c r="G592" s="1046" t="s">
        <v>28</v>
      </c>
      <c r="H592" s="145">
        <v>5535130</v>
      </c>
      <c r="I592" s="1046" t="s">
        <v>947</v>
      </c>
      <c r="J592" s="1046">
        <v>111</v>
      </c>
      <c r="K592" s="1156"/>
      <c r="L592" s="1156"/>
      <c r="M592" s="1156"/>
      <c r="N592" s="1156"/>
      <c r="O592" s="1156"/>
      <c r="P592" s="1156"/>
      <c r="Q592" s="1156"/>
      <c r="R592" s="1156"/>
      <c r="S592" s="1156"/>
      <c r="T592" s="1156"/>
      <c r="U592" s="1156"/>
      <c r="V592" s="1156"/>
      <c r="W592" s="1158"/>
    </row>
    <row r="593" spans="1:23" customFormat="1" ht="16.5" customHeight="1">
      <c r="A593" s="63" t="s">
        <v>167</v>
      </c>
      <c r="B593" s="64">
        <v>32</v>
      </c>
      <c r="C593" s="65">
        <v>46240</v>
      </c>
      <c r="D593" s="66" t="s">
        <v>142</v>
      </c>
      <c r="E593" s="1043" t="s">
        <v>265</v>
      </c>
      <c r="F593" s="1043" t="s">
        <v>270</v>
      </c>
      <c r="G593" s="1043" t="s">
        <v>37</v>
      </c>
      <c r="H593" s="163">
        <v>5447763</v>
      </c>
      <c r="I593" s="1043" t="s">
        <v>949</v>
      </c>
      <c r="J593" s="1043">
        <v>120</v>
      </c>
      <c r="K593" s="1159">
        <v>1</v>
      </c>
      <c r="L593" s="1159"/>
      <c r="M593" s="1159">
        <v>0</v>
      </c>
      <c r="N593" s="1159" t="s">
        <v>149</v>
      </c>
      <c r="O593" s="1159"/>
      <c r="P593" s="1159"/>
      <c r="Q593" s="1159"/>
      <c r="R593" s="1159"/>
      <c r="S593" s="1159"/>
      <c r="T593" s="1159"/>
      <c r="U593" s="1159"/>
      <c r="V593" s="1159"/>
      <c r="W593" s="1321"/>
    </row>
    <row r="594" spans="1:23" customFormat="1" ht="16.5" customHeight="1">
      <c r="A594" s="134" t="s">
        <v>167</v>
      </c>
      <c r="B594" s="135">
        <v>32</v>
      </c>
      <c r="C594" s="136">
        <v>46240</v>
      </c>
      <c r="D594" s="137" t="s">
        <v>142</v>
      </c>
      <c r="E594" s="1044" t="s">
        <v>265</v>
      </c>
      <c r="F594" s="1044" t="s">
        <v>270</v>
      </c>
      <c r="G594" s="1044" t="s">
        <v>37</v>
      </c>
      <c r="H594" s="139">
        <v>5447763</v>
      </c>
      <c r="I594" s="1044" t="s">
        <v>948</v>
      </c>
      <c r="J594" s="1044">
        <v>120</v>
      </c>
      <c r="K594" s="1150"/>
      <c r="L594" s="1150"/>
      <c r="M594" s="1150"/>
      <c r="N594" s="1150"/>
      <c r="O594" s="1150"/>
      <c r="P594" s="1150"/>
      <c r="Q594" s="1150"/>
      <c r="R594" s="1150"/>
      <c r="S594" s="1150"/>
      <c r="T594" s="1150"/>
      <c r="U594" s="1150"/>
      <c r="V594" s="1150"/>
      <c r="W594" s="1151"/>
    </row>
    <row r="595" spans="1:23" customFormat="1" ht="16.5" customHeight="1" thickBot="1">
      <c r="A595" s="116" t="s">
        <v>167</v>
      </c>
      <c r="B595" s="141">
        <v>32</v>
      </c>
      <c r="C595" s="142">
        <v>46240</v>
      </c>
      <c r="D595" s="143" t="s">
        <v>142</v>
      </c>
      <c r="E595" s="1046" t="s">
        <v>265</v>
      </c>
      <c r="F595" s="1046" t="s">
        <v>271</v>
      </c>
      <c r="G595" s="1046" t="s">
        <v>37</v>
      </c>
      <c r="H595" s="145">
        <v>5447762</v>
      </c>
      <c r="I595" s="1046" t="s">
        <v>950</v>
      </c>
      <c r="J595" s="1046">
        <v>100</v>
      </c>
      <c r="K595" s="1147"/>
      <c r="L595" s="1147"/>
      <c r="M595" s="1147"/>
      <c r="N595" s="1147"/>
      <c r="O595" s="1147"/>
      <c r="P595" s="1147"/>
      <c r="Q595" s="1147"/>
      <c r="R595" s="1147"/>
      <c r="S595" s="1147"/>
      <c r="T595" s="1147"/>
      <c r="U595" s="1147"/>
      <c r="V595" s="1147"/>
      <c r="W595" s="1149"/>
    </row>
    <row r="596" spans="1:23" customFormat="1" ht="16.5" customHeight="1">
      <c r="A596" s="63" t="s">
        <v>167</v>
      </c>
      <c r="B596" s="64">
        <v>32</v>
      </c>
      <c r="C596" s="65">
        <v>46241</v>
      </c>
      <c r="D596" s="66" t="s">
        <v>142</v>
      </c>
      <c r="E596" s="1043" t="s">
        <v>265</v>
      </c>
      <c r="F596" s="1043" t="s">
        <v>271</v>
      </c>
      <c r="G596" s="1043" t="s">
        <v>37</v>
      </c>
      <c r="H596" s="163">
        <v>5447762</v>
      </c>
      <c r="I596" s="1043" t="s">
        <v>951</v>
      </c>
      <c r="J596" s="1043">
        <v>100</v>
      </c>
      <c r="K596" s="1043">
        <v>1</v>
      </c>
      <c r="L596" s="1043"/>
      <c r="M596" s="1043">
        <v>0</v>
      </c>
      <c r="N596" s="1043" t="s">
        <v>149</v>
      </c>
      <c r="O596" s="1043"/>
      <c r="P596" s="1043"/>
      <c r="Q596" s="1043"/>
      <c r="R596" s="1043"/>
      <c r="S596" s="1043"/>
      <c r="T596" s="1043"/>
      <c r="U596" s="1043"/>
      <c r="V596" s="1043"/>
      <c r="W596" s="1045"/>
    </row>
    <row r="597" spans="1:23" customFormat="1" ht="16.5" customHeight="1">
      <c r="A597" s="134" t="s">
        <v>167</v>
      </c>
      <c r="B597" s="135">
        <v>32</v>
      </c>
      <c r="C597" s="136">
        <v>46241</v>
      </c>
      <c r="D597" s="137" t="s">
        <v>142</v>
      </c>
      <c r="E597" s="1044" t="s">
        <v>232</v>
      </c>
      <c r="F597" s="1044" t="s">
        <v>269</v>
      </c>
      <c r="G597" s="1044" t="s">
        <v>176</v>
      </c>
      <c r="H597" s="139">
        <v>5773217</v>
      </c>
      <c r="I597" s="1044" t="s">
        <v>952</v>
      </c>
      <c r="J597" s="1044">
        <v>176</v>
      </c>
      <c r="K597" s="1143">
        <v>1</v>
      </c>
      <c r="L597" s="1143">
        <v>5</v>
      </c>
      <c r="M597" s="1143">
        <v>1</v>
      </c>
      <c r="N597" s="1143" t="s">
        <v>149</v>
      </c>
      <c r="O597" s="1143" t="s">
        <v>29</v>
      </c>
      <c r="P597" s="1143" t="s">
        <v>30</v>
      </c>
      <c r="Q597" s="1143" t="s">
        <v>617</v>
      </c>
      <c r="R597" s="1143" t="s">
        <v>31</v>
      </c>
      <c r="S597" s="1143" t="s">
        <v>184</v>
      </c>
      <c r="T597" s="1143" t="s">
        <v>185</v>
      </c>
      <c r="U597" s="1143"/>
      <c r="V597" s="1143" t="s">
        <v>149</v>
      </c>
      <c r="W597" s="1145">
        <v>1</v>
      </c>
    </row>
    <row r="598" spans="1:23" customFormat="1" ht="16.5" customHeight="1" thickBot="1">
      <c r="A598" s="116" t="s">
        <v>167</v>
      </c>
      <c r="B598" s="141">
        <v>32</v>
      </c>
      <c r="C598" s="142">
        <v>46241</v>
      </c>
      <c r="D598" s="143" t="s">
        <v>142</v>
      </c>
      <c r="E598" s="1046" t="s">
        <v>232</v>
      </c>
      <c r="F598" s="1046" t="s">
        <v>268</v>
      </c>
      <c r="G598" s="1046" t="s">
        <v>176</v>
      </c>
      <c r="H598" s="145">
        <v>5771802</v>
      </c>
      <c r="I598" s="1046" t="s">
        <v>953</v>
      </c>
      <c r="J598" s="1046">
        <v>30</v>
      </c>
      <c r="K598" s="1156"/>
      <c r="L598" s="1156"/>
      <c r="M598" s="1156"/>
      <c r="N598" s="1156"/>
      <c r="O598" s="1156"/>
      <c r="P598" s="1156"/>
      <c r="Q598" s="1156"/>
      <c r="R598" s="1156"/>
      <c r="S598" s="1156"/>
      <c r="T598" s="1156"/>
      <c r="U598" s="1156"/>
      <c r="V598" s="1156"/>
      <c r="W598" s="1158"/>
    </row>
    <row r="599" spans="1:23" customFormat="1" ht="16.5" customHeight="1">
      <c r="A599" s="63" t="s">
        <v>167</v>
      </c>
      <c r="B599" s="64">
        <v>32</v>
      </c>
      <c r="C599" s="65">
        <v>46242</v>
      </c>
      <c r="D599" s="66" t="s">
        <v>142</v>
      </c>
      <c r="E599" s="1053" t="s">
        <v>232</v>
      </c>
      <c r="F599" s="1053" t="s">
        <v>268</v>
      </c>
      <c r="G599" s="1053" t="s">
        <v>176</v>
      </c>
      <c r="H599" s="163">
        <v>5771802</v>
      </c>
      <c r="I599" s="1053" t="s">
        <v>953</v>
      </c>
      <c r="J599" s="1053">
        <v>144</v>
      </c>
      <c r="K599" s="1142">
        <v>1</v>
      </c>
      <c r="L599" s="1142">
        <v>5</v>
      </c>
      <c r="M599" s="1142">
        <v>1</v>
      </c>
      <c r="N599" s="1142" t="s">
        <v>149</v>
      </c>
      <c r="O599" s="1142" t="s">
        <v>41</v>
      </c>
      <c r="P599" s="1142" t="s">
        <v>40</v>
      </c>
      <c r="Q599" s="1142" t="s">
        <v>955</v>
      </c>
      <c r="R599" s="1142" t="s">
        <v>31</v>
      </c>
      <c r="S599" s="1142" t="s">
        <v>184</v>
      </c>
      <c r="T599" s="1142" t="s">
        <v>185</v>
      </c>
      <c r="U599" s="1142"/>
      <c r="V599" s="1142" t="s">
        <v>149</v>
      </c>
      <c r="W599" s="1153">
        <v>1</v>
      </c>
    </row>
    <row r="600" spans="1:23" customFormat="1" ht="16.5" customHeight="1" thickBot="1">
      <c r="A600" s="116" t="s">
        <v>167</v>
      </c>
      <c r="B600" s="141">
        <v>32</v>
      </c>
      <c r="C600" s="142">
        <v>46242</v>
      </c>
      <c r="D600" s="143" t="s">
        <v>142</v>
      </c>
      <c r="E600" s="1054" t="s">
        <v>232</v>
      </c>
      <c r="F600" s="1054" t="s">
        <v>268</v>
      </c>
      <c r="G600" s="1054" t="s">
        <v>176</v>
      </c>
      <c r="H600" s="145">
        <v>5771802</v>
      </c>
      <c r="I600" s="1054" t="s">
        <v>954</v>
      </c>
      <c r="J600" s="1054">
        <v>160</v>
      </c>
      <c r="K600" s="1156"/>
      <c r="L600" s="1156"/>
      <c r="M600" s="1156"/>
      <c r="N600" s="1156"/>
      <c r="O600" s="1156"/>
      <c r="P600" s="1156"/>
      <c r="Q600" s="1156"/>
      <c r="R600" s="1156"/>
      <c r="S600" s="1156"/>
      <c r="T600" s="1156"/>
      <c r="U600" s="1156"/>
      <c r="V600" s="1156"/>
      <c r="W600" s="1158"/>
    </row>
    <row r="601" spans="1:23" customFormat="1" ht="16.5" customHeight="1" thickBot="1">
      <c r="A601" s="63" t="s">
        <v>167</v>
      </c>
      <c r="B601" s="64">
        <v>33</v>
      </c>
      <c r="C601" s="65">
        <v>46244</v>
      </c>
      <c r="D601" s="66" t="s">
        <v>142</v>
      </c>
      <c r="E601" s="1055" t="s">
        <v>232</v>
      </c>
      <c r="F601" s="1055" t="s">
        <v>268</v>
      </c>
      <c r="G601" s="1055" t="s">
        <v>176</v>
      </c>
      <c r="H601" s="163">
        <v>5771802</v>
      </c>
      <c r="I601" s="1055" t="s">
        <v>961</v>
      </c>
      <c r="J601" s="1055">
        <v>240</v>
      </c>
      <c r="K601" s="1060">
        <v>1</v>
      </c>
      <c r="L601" s="1060"/>
      <c r="M601" s="1060">
        <v>0</v>
      </c>
      <c r="N601" s="1060" t="s">
        <v>149</v>
      </c>
      <c r="O601" s="1060"/>
      <c r="P601" s="1060"/>
      <c r="Q601" s="1060"/>
      <c r="R601" s="1060"/>
      <c r="S601" s="1060"/>
      <c r="T601" s="1060"/>
      <c r="U601" s="1060"/>
      <c r="V601" s="1060"/>
      <c r="W601" s="1061"/>
    </row>
    <row r="602" spans="1:23" customFormat="1" ht="16.5" customHeight="1">
      <c r="A602" s="63" t="s">
        <v>167</v>
      </c>
      <c r="B602" s="64">
        <v>33</v>
      </c>
      <c r="C602" s="65">
        <v>46245</v>
      </c>
      <c r="D602" s="66" t="s">
        <v>142</v>
      </c>
      <c r="E602" s="1056" t="s">
        <v>232</v>
      </c>
      <c r="F602" s="1056" t="s">
        <v>269</v>
      </c>
      <c r="G602" s="1056" t="s">
        <v>176</v>
      </c>
      <c r="H602" s="163">
        <v>5773217</v>
      </c>
      <c r="I602" s="1056" t="s">
        <v>956</v>
      </c>
      <c r="J602" s="1056">
        <v>160</v>
      </c>
      <c r="K602" s="1146">
        <v>1</v>
      </c>
      <c r="L602" s="1146">
        <v>5</v>
      </c>
      <c r="M602" s="1146">
        <v>1</v>
      </c>
      <c r="N602" s="1146" t="s">
        <v>149</v>
      </c>
      <c r="O602" s="1146" t="s">
        <v>61</v>
      </c>
      <c r="P602" s="1146" t="s">
        <v>62</v>
      </c>
      <c r="Q602" s="1146" t="s">
        <v>452</v>
      </c>
      <c r="R602" s="1146" t="s">
        <v>31</v>
      </c>
      <c r="S602" s="1146" t="s">
        <v>184</v>
      </c>
      <c r="T602" s="1146" t="s">
        <v>185</v>
      </c>
      <c r="U602" s="1146"/>
      <c r="V602" s="1146" t="s">
        <v>149</v>
      </c>
      <c r="W602" s="1148">
        <v>1</v>
      </c>
    </row>
    <row r="603" spans="1:23" customFormat="1" ht="16.5" customHeight="1" thickBot="1">
      <c r="A603" s="116" t="s">
        <v>167</v>
      </c>
      <c r="B603" s="141">
        <v>33</v>
      </c>
      <c r="C603" s="142">
        <v>46245</v>
      </c>
      <c r="D603" s="143" t="s">
        <v>142</v>
      </c>
      <c r="E603" s="1058" t="s">
        <v>232</v>
      </c>
      <c r="F603" s="1058" t="s">
        <v>269</v>
      </c>
      <c r="G603" s="1058" t="s">
        <v>176</v>
      </c>
      <c r="H603" s="145">
        <v>5773217</v>
      </c>
      <c r="I603" s="1058" t="s">
        <v>957</v>
      </c>
      <c r="J603" s="1058">
        <v>190</v>
      </c>
      <c r="K603" s="1147"/>
      <c r="L603" s="1147"/>
      <c r="M603" s="1147"/>
      <c r="N603" s="1147"/>
      <c r="O603" s="1147"/>
      <c r="P603" s="1147"/>
      <c r="Q603" s="1147"/>
      <c r="R603" s="1147"/>
      <c r="S603" s="1147"/>
      <c r="T603" s="1147"/>
      <c r="U603" s="1147"/>
      <c r="V603" s="1147"/>
      <c r="W603" s="1149"/>
    </row>
    <row r="604" spans="1:23" customFormat="1" ht="16.5" customHeight="1">
      <c r="A604" s="219" t="s">
        <v>167</v>
      </c>
      <c r="B604" s="214">
        <v>33</v>
      </c>
      <c r="C604" s="215">
        <v>46246</v>
      </c>
      <c r="D604" s="216" t="s">
        <v>145</v>
      </c>
      <c r="E604" s="1059" t="s">
        <v>50</v>
      </c>
      <c r="F604" s="1059" t="s">
        <v>258</v>
      </c>
      <c r="G604" s="1059" t="s">
        <v>36</v>
      </c>
      <c r="H604" s="217">
        <v>5797097</v>
      </c>
      <c r="I604" s="1059">
        <v>4523835326</v>
      </c>
      <c r="J604" s="1059">
        <v>4</v>
      </c>
      <c r="K604" s="1150">
        <v>1</v>
      </c>
      <c r="L604" s="1150"/>
      <c r="M604" s="1150">
        <v>0</v>
      </c>
      <c r="N604" s="1150" t="s">
        <v>149</v>
      </c>
      <c r="O604" s="1150"/>
      <c r="P604" s="1150"/>
      <c r="Q604" s="1150"/>
      <c r="R604" s="1150"/>
      <c r="S604" s="1150"/>
      <c r="T604" s="1150"/>
      <c r="U604" s="1150"/>
      <c r="V604" s="1150"/>
      <c r="W604" s="1151"/>
    </row>
    <row r="605" spans="1:23" customFormat="1" ht="16.5" customHeight="1">
      <c r="A605" s="134" t="s">
        <v>167</v>
      </c>
      <c r="B605" s="135">
        <v>33</v>
      </c>
      <c r="C605" s="136">
        <v>46246</v>
      </c>
      <c r="D605" s="137" t="s">
        <v>145</v>
      </c>
      <c r="E605" s="1057" t="s">
        <v>50</v>
      </c>
      <c r="F605" s="1057" t="s">
        <v>258</v>
      </c>
      <c r="G605" s="1057" t="s">
        <v>28</v>
      </c>
      <c r="H605" s="139">
        <v>5797096</v>
      </c>
      <c r="I605" s="1057">
        <v>4523835326</v>
      </c>
      <c r="J605" s="1057">
        <v>8</v>
      </c>
      <c r="K605" s="1150"/>
      <c r="L605" s="1150"/>
      <c r="M605" s="1150"/>
      <c r="N605" s="1150"/>
      <c r="O605" s="1150"/>
      <c r="P605" s="1150"/>
      <c r="Q605" s="1150"/>
      <c r="R605" s="1150"/>
      <c r="S605" s="1150"/>
      <c r="T605" s="1150"/>
      <c r="U605" s="1150"/>
      <c r="V605" s="1150"/>
      <c r="W605" s="1151"/>
    </row>
    <row r="606" spans="1:23" customFormat="1" ht="16.5" customHeight="1">
      <c r="A606" s="134" t="s">
        <v>167</v>
      </c>
      <c r="B606" s="135">
        <v>33</v>
      </c>
      <c r="C606" s="136">
        <v>46246</v>
      </c>
      <c r="D606" s="137" t="s">
        <v>145</v>
      </c>
      <c r="E606" s="1057" t="s">
        <v>50</v>
      </c>
      <c r="F606" s="1057" t="s">
        <v>258</v>
      </c>
      <c r="G606" s="1057" t="s">
        <v>32</v>
      </c>
      <c r="H606" s="139">
        <v>5797095</v>
      </c>
      <c r="I606" s="1057">
        <v>4523835326</v>
      </c>
      <c r="J606" s="1057">
        <v>4</v>
      </c>
      <c r="K606" s="1150"/>
      <c r="L606" s="1150"/>
      <c r="M606" s="1150"/>
      <c r="N606" s="1150"/>
      <c r="O606" s="1150"/>
      <c r="P606" s="1150"/>
      <c r="Q606" s="1150"/>
      <c r="R606" s="1150"/>
      <c r="S606" s="1150"/>
      <c r="T606" s="1150"/>
      <c r="U606" s="1150"/>
      <c r="V606" s="1150"/>
      <c r="W606" s="1151"/>
    </row>
    <row r="607" spans="1:23" customFormat="1" ht="16.5" customHeight="1" thickBot="1">
      <c r="A607" s="1066" t="s">
        <v>167</v>
      </c>
      <c r="B607" s="1067">
        <v>33</v>
      </c>
      <c r="C607" s="1068">
        <v>46246</v>
      </c>
      <c r="D607" s="1069" t="s">
        <v>145</v>
      </c>
      <c r="E607" s="1070" t="s">
        <v>50</v>
      </c>
      <c r="F607" s="1070" t="s">
        <v>258</v>
      </c>
      <c r="G607" s="1070" t="s">
        <v>63</v>
      </c>
      <c r="H607" s="1071">
        <v>5797094</v>
      </c>
      <c r="I607" s="1070">
        <v>4523821916</v>
      </c>
      <c r="J607" s="1070">
        <v>4</v>
      </c>
      <c r="K607" s="1150"/>
      <c r="L607" s="1150"/>
      <c r="M607" s="1150"/>
      <c r="N607" s="1150"/>
      <c r="O607" s="1150"/>
      <c r="P607" s="1150"/>
      <c r="Q607" s="1150"/>
      <c r="R607" s="1150"/>
      <c r="S607" s="1150"/>
      <c r="T607" s="1150"/>
      <c r="U607" s="1150"/>
      <c r="V607" s="1150"/>
      <c r="W607" s="1151"/>
    </row>
    <row r="608" spans="1:23" customFormat="1" ht="16.5" customHeight="1" thickBot="1">
      <c r="A608" s="158" t="s">
        <v>167</v>
      </c>
      <c r="B608" s="1073">
        <v>33</v>
      </c>
      <c r="C608" s="1074">
        <v>46246</v>
      </c>
      <c r="D608" s="1075" t="s">
        <v>142</v>
      </c>
      <c r="E608" s="1072" t="s">
        <v>386</v>
      </c>
      <c r="F608" s="1072" t="s">
        <v>273</v>
      </c>
      <c r="G608" s="1072" t="s">
        <v>28</v>
      </c>
      <c r="H608" s="1076">
        <v>5535134</v>
      </c>
      <c r="I608" s="1072" t="s">
        <v>958</v>
      </c>
      <c r="J608" s="1072">
        <v>80</v>
      </c>
      <c r="K608" s="1072">
        <v>1</v>
      </c>
      <c r="L608" s="1072">
        <v>5</v>
      </c>
      <c r="M608" s="1072">
        <v>1</v>
      </c>
      <c r="N608" s="1072" t="s">
        <v>149</v>
      </c>
      <c r="O608" s="1072" t="s">
        <v>56</v>
      </c>
      <c r="P608" s="1072" t="s">
        <v>64</v>
      </c>
      <c r="Q608" s="1072" t="s">
        <v>967</v>
      </c>
      <c r="R608" s="1072" t="s">
        <v>31</v>
      </c>
      <c r="S608" s="1072" t="s">
        <v>301</v>
      </c>
      <c r="T608" s="1072" t="s">
        <v>185</v>
      </c>
      <c r="U608" s="1072"/>
      <c r="V608" s="1072" t="s">
        <v>149</v>
      </c>
      <c r="W608" s="1077">
        <v>1</v>
      </c>
    </row>
    <row r="609" spans="1:23" customFormat="1" ht="16.5" customHeight="1">
      <c r="A609" s="63" t="s">
        <v>167</v>
      </c>
      <c r="B609" s="149">
        <v>33</v>
      </c>
      <c r="C609" s="150">
        <v>46247</v>
      </c>
      <c r="D609" s="151" t="s">
        <v>142</v>
      </c>
      <c r="E609" s="1065" t="s">
        <v>386</v>
      </c>
      <c r="F609" s="1065" t="s">
        <v>273</v>
      </c>
      <c r="G609" s="1065" t="s">
        <v>28</v>
      </c>
      <c r="H609" s="153">
        <v>5535134</v>
      </c>
      <c r="I609" s="1065" t="s">
        <v>959</v>
      </c>
      <c r="J609" s="1065">
        <v>80</v>
      </c>
      <c r="K609" s="1157">
        <v>1</v>
      </c>
      <c r="L609" s="1157"/>
      <c r="M609" s="1157">
        <v>0</v>
      </c>
      <c r="N609" s="1157" t="s">
        <v>149</v>
      </c>
      <c r="O609" s="1157"/>
      <c r="P609" s="1157"/>
      <c r="Q609" s="1157"/>
      <c r="R609" s="1157"/>
      <c r="S609" s="1157"/>
      <c r="T609" s="1157"/>
      <c r="U609" s="1157"/>
      <c r="V609" s="1157"/>
      <c r="W609" s="1327"/>
    </row>
    <row r="610" spans="1:23" customFormat="1" ht="16.5" customHeight="1">
      <c r="A610" s="134" t="s">
        <v>167</v>
      </c>
      <c r="B610" s="135">
        <v>33</v>
      </c>
      <c r="C610" s="136">
        <v>46247</v>
      </c>
      <c r="D610" s="137" t="s">
        <v>142</v>
      </c>
      <c r="E610" s="1064" t="s">
        <v>386</v>
      </c>
      <c r="F610" s="1064" t="s">
        <v>273</v>
      </c>
      <c r="G610" s="1064" t="s">
        <v>28</v>
      </c>
      <c r="H610" s="139">
        <v>5535134</v>
      </c>
      <c r="I610" s="1064" t="s">
        <v>960</v>
      </c>
      <c r="J610" s="1064">
        <v>120</v>
      </c>
      <c r="K610" s="1150"/>
      <c r="L610" s="1150"/>
      <c r="M610" s="1150"/>
      <c r="N610" s="1150"/>
      <c r="O610" s="1150"/>
      <c r="P610" s="1150"/>
      <c r="Q610" s="1150"/>
      <c r="R610" s="1150"/>
      <c r="S610" s="1150"/>
      <c r="T610" s="1150"/>
      <c r="U610" s="1150"/>
      <c r="V610" s="1150"/>
      <c r="W610" s="1151"/>
    </row>
    <row r="611" spans="1:23" customFormat="1" ht="16.5" customHeight="1">
      <c r="A611" s="134" t="s">
        <v>167</v>
      </c>
      <c r="B611" s="135">
        <v>33</v>
      </c>
      <c r="C611" s="136">
        <v>46247</v>
      </c>
      <c r="D611" s="137" t="s">
        <v>142</v>
      </c>
      <c r="E611" s="1064" t="s">
        <v>386</v>
      </c>
      <c r="F611" s="1064" t="s">
        <v>274</v>
      </c>
      <c r="G611" s="1064" t="s">
        <v>52</v>
      </c>
      <c r="H611" s="139">
        <v>5535132</v>
      </c>
      <c r="I611" s="1064" t="s">
        <v>963</v>
      </c>
      <c r="J611" s="1064">
        <v>8</v>
      </c>
      <c r="K611" s="1150"/>
      <c r="L611" s="1150"/>
      <c r="M611" s="1150"/>
      <c r="N611" s="1150"/>
      <c r="O611" s="1150"/>
      <c r="P611" s="1150"/>
      <c r="Q611" s="1150"/>
      <c r="R611" s="1150"/>
      <c r="S611" s="1150"/>
      <c r="T611" s="1150"/>
      <c r="U611" s="1150"/>
      <c r="V611" s="1150"/>
      <c r="W611" s="1151"/>
    </row>
    <row r="612" spans="1:23" customFormat="1" ht="16.5" customHeight="1" thickBot="1">
      <c r="A612" s="1081" t="s">
        <v>167</v>
      </c>
      <c r="B612" s="1082">
        <v>33</v>
      </c>
      <c r="C612" s="1083">
        <v>46247</v>
      </c>
      <c r="D612" s="1084" t="s">
        <v>142</v>
      </c>
      <c r="E612" s="1085" t="s">
        <v>386</v>
      </c>
      <c r="F612" s="1085" t="s">
        <v>274</v>
      </c>
      <c r="G612" s="1085" t="s">
        <v>36</v>
      </c>
      <c r="H612" s="1086">
        <v>5535131</v>
      </c>
      <c r="I612" s="1085" t="s">
        <v>964</v>
      </c>
      <c r="J612" s="1085">
        <v>50</v>
      </c>
      <c r="K612" s="1150"/>
      <c r="L612" s="1150"/>
      <c r="M612" s="1150"/>
      <c r="N612" s="1150"/>
      <c r="O612" s="1150"/>
      <c r="P612" s="1150"/>
      <c r="Q612" s="1150"/>
      <c r="R612" s="1150"/>
      <c r="S612" s="1150"/>
      <c r="T612" s="1150"/>
      <c r="U612" s="1150"/>
      <c r="V612" s="1150"/>
      <c r="W612" s="1151"/>
    </row>
    <row r="613" spans="1:23" customFormat="1" ht="16.5" customHeight="1">
      <c r="A613" s="63" t="s">
        <v>167</v>
      </c>
      <c r="B613" s="149">
        <v>33</v>
      </c>
      <c r="C613" s="150">
        <v>46248</v>
      </c>
      <c r="D613" s="151" t="s">
        <v>142</v>
      </c>
      <c r="E613" s="1065" t="s">
        <v>386</v>
      </c>
      <c r="F613" s="1065" t="s">
        <v>274</v>
      </c>
      <c r="G613" s="1065" t="s">
        <v>36</v>
      </c>
      <c r="H613" s="153">
        <v>5535131</v>
      </c>
      <c r="I613" s="1065" t="s">
        <v>965</v>
      </c>
      <c r="J613" s="1065">
        <v>73</v>
      </c>
      <c r="K613" s="1152">
        <v>1</v>
      </c>
      <c r="L613" s="1152"/>
      <c r="M613" s="1152">
        <v>0</v>
      </c>
      <c r="N613" s="1152" t="s">
        <v>149</v>
      </c>
      <c r="O613" s="1152"/>
      <c r="P613" s="1152"/>
      <c r="Q613" s="1152"/>
      <c r="R613" s="1152"/>
      <c r="S613" s="1152"/>
      <c r="T613" s="1152"/>
      <c r="U613" s="1152"/>
      <c r="V613" s="1152"/>
      <c r="W613" s="1153"/>
    </row>
    <row r="614" spans="1:23" customFormat="1" ht="16.5" customHeight="1" thickBot="1">
      <c r="A614" s="1089" t="s">
        <v>167</v>
      </c>
      <c r="B614" s="1090">
        <v>33</v>
      </c>
      <c r="C614" s="1091">
        <v>46248</v>
      </c>
      <c r="D614" s="1092" t="s">
        <v>142</v>
      </c>
      <c r="E614" s="1093" t="s">
        <v>386</v>
      </c>
      <c r="F614" s="1093" t="s">
        <v>274</v>
      </c>
      <c r="G614" s="1093" t="s">
        <v>28</v>
      </c>
      <c r="H614" s="1094">
        <v>5535130</v>
      </c>
      <c r="I614" s="1093" t="s">
        <v>966</v>
      </c>
      <c r="J614" s="1093">
        <v>152</v>
      </c>
      <c r="K614" s="1323"/>
      <c r="L614" s="1323"/>
      <c r="M614" s="1323"/>
      <c r="N614" s="1323"/>
      <c r="O614" s="1323"/>
      <c r="P614" s="1323"/>
      <c r="Q614" s="1323"/>
      <c r="R614" s="1323"/>
      <c r="S614" s="1323"/>
      <c r="T614" s="1323"/>
      <c r="U614" s="1323"/>
      <c r="V614" s="1323"/>
      <c r="W614" s="1324"/>
    </row>
    <row r="615" spans="1:23" customFormat="1" ht="16.5" customHeight="1">
      <c r="A615" s="63" t="s">
        <v>167</v>
      </c>
      <c r="B615" s="64">
        <v>33</v>
      </c>
      <c r="C615" s="65">
        <v>46249</v>
      </c>
      <c r="D615" s="66" t="s">
        <v>142</v>
      </c>
      <c r="E615" s="1078" t="s">
        <v>387</v>
      </c>
      <c r="F615" s="1078" t="s">
        <v>282</v>
      </c>
      <c r="G615" s="1078" t="s">
        <v>36</v>
      </c>
      <c r="H615" s="163">
        <v>5535142</v>
      </c>
      <c r="I615" s="1078" t="s">
        <v>968</v>
      </c>
      <c r="J615" s="1078">
        <v>24</v>
      </c>
      <c r="K615" s="1142">
        <v>1</v>
      </c>
      <c r="L615" s="1142">
        <v>5</v>
      </c>
      <c r="M615" s="1142">
        <v>1</v>
      </c>
      <c r="N615" s="1142" t="s">
        <v>149</v>
      </c>
      <c r="O615" s="1142" t="s">
        <v>61</v>
      </c>
      <c r="P615" s="1157" t="s">
        <v>62</v>
      </c>
      <c r="Q615" s="1142" t="s">
        <v>295</v>
      </c>
      <c r="R615" s="1142" t="s">
        <v>31</v>
      </c>
      <c r="S615" s="1142" t="s">
        <v>184</v>
      </c>
      <c r="T615" s="1142" t="s">
        <v>185</v>
      </c>
      <c r="U615" s="1142"/>
      <c r="V615" s="1142" t="s">
        <v>149</v>
      </c>
      <c r="W615" s="1153">
        <v>1</v>
      </c>
    </row>
    <row r="616" spans="1:23" customFormat="1" ht="16.5" customHeight="1">
      <c r="A616" s="134" t="s">
        <v>167</v>
      </c>
      <c r="B616" s="135">
        <v>33</v>
      </c>
      <c r="C616" s="136">
        <v>46249</v>
      </c>
      <c r="D616" s="137" t="s">
        <v>142</v>
      </c>
      <c r="E616" s="1079" t="s">
        <v>387</v>
      </c>
      <c r="F616" s="1079" t="s">
        <v>282</v>
      </c>
      <c r="G616" s="1079" t="s">
        <v>36</v>
      </c>
      <c r="H616" s="139">
        <v>5535142</v>
      </c>
      <c r="I616" s="1079" t="s">
        <v>969</v>
      </c>
      <c r="J616" s="1079">
        <v>16</v>
      </c>
      <c r="K616" s="1143"/>
      <c r="L616" s="1143"/>
      <c r="M616" s="1143"/>
      <c r="N616" s="1143"/>
      <c r="O616" s="1143"/>
      <c r="P616" s="1150"/>
      <c r="Q616" s="1143"/>
      <c r="R616" s="1143"/>
      <c r="S616" s="1143"/>
      <c r="T616" s="1143"/>
      <c r="U616" s="1143"/>
      <c r="V616" s="1143"/>
      <c r="W616" s="1145"/>
    </row>
    <row r="617" spans="1:23" customFormat="1" ht="16.5" customHeight="1">
      <c r="A617" s="134" t="s">
        <v>167</v>
      </c>
      <c r="B617" s="135">
        <v>33</v>
      </c>
      <c r="C617" s="136">
        <v>46249</v>
      </c>
      <c r="D617" s="137" t="s">
        <v>142</v>
      </c>
      <c r="E617" s="1079" t="s">
        <v>387</v>
      </c>
      <c r="F617" s="1079" t="s">
        <v>282</v>
      </c>
      <c r="G617" s="1079" t="s">
        <v>36</v>
      </c>
      <c r="H617" s="139">
        <v>5535142</v>
      </c>
      <c r="I617" s="1079" t="s">
        <v>970</v>
      </c>
      <c r="J617" s="1079">
        <v>16</v>
      </c>
      <c r="K617" s="1143"/>
      <c r="L617" s="1143"/>
      <c r="M617" s="1143"/>
      <c r="N617" s="1143"/>
      <c r="O617" s="1143"/>
      <c r="P617" s="1150"/>
      <c r="Q617" s="1143"/>
      <c r="R617" s="1143"/>
      <c r="S617" s="1143"/>
      <c r="T617" s="1143"/>
      <c r="U617" s="1143"/>
      <c r="V617" s="1143"/>
      <c r="W617" s="1145"/>
    </row>
    <row r="618" spans="1:23" customFormat="1" ht="16.5" customHeight="1">
      <c r="A618" s="134" t="s">
        <v>167</v>
      </c>
      <c r="B618" s="135">
        <v>33</v>
      </c>
      <c r="C618" s="136">
        <v>46249</v>
      </c>
      <c r="D618" s="137" t="s">
        <v>142</v>
      </c>
      <c r="E618" s="1079" t="s">
        <v>387</v>
      </c>
      <c r="F618" s="1079" t="s">
        <v>282</v>
      </c>
      <c r="G618" s="1079" t="s">
        <v>36</v>
      </c>
      <c r="H618" s="139">
        <v>5535142</v>
      </c>
      <c r="I618" s="1079" t="s">
        <v>971</v>
      </c>
      <c r="J618" s="1079">
        <v>24</v>
      </c>
      <c r="K618" s="1143"/>
      <c r="L618" s="1143"/>
      <c r="M618" s="1143"/>
      <c r="N618" s="1143"/>
      <c r="O618" s="1143"/>
      <c r="P618" s="1150"/>
      <c r="Q618" s="1143"/>
      <c r="R618" s="1143"/>
      <c r="S618" s="1143"/>
      <c r="T618" s="1143"/>
      <c r="U618" s="1143"/>
      <c r="V618" s="1143"/>
      <c r="W618" s="1145"/>
    </row>
    <row r="619" spans="1:23" customFormat="1" ht="16.5" customHeight="1">
      <c r="A619" s="134" t="s">
        <v>167</v>
      </c>
      <c r="B619" s="135">
        <v>33</v>
      </c>
      <c r="C619" s="136">
        <v>46249</v>
      </c>
      <c r="D619" s="137" t="s">
        <v>142</v>
      </c>
      <c r="E619" s="1079" t="s">
        <v>387</v>
      </c>
      <c r="F619" s="1079" t="s">
        <v>282</v>
      </c>
      <c r="G619" s="1079" t="s">
        <v>36</v>
      </c>
      <c r="H619" s="139">
        <v>5535142</v>
      </c>
      <c r="I619" s="1079" t="s">
        <v>972</v>
      </c>
      <c r="J619" s="1079">
        <v>9</v>
      </c>
      <c r="K619" s="1143"/>
      <c r="L619" s="1143"/>
      <c r="M619" s="1143"/>
      <c r="N619" s="1143"/>
      <c r="O619" s="1143"/>
      <c r="P619" s="1150"/>
      <c r="Q619" s="1143"/>
      <c r="R619" s="1143"/>
      <c r="S619" s="1143"/>
      <c r="T619" s="1143"/>
      <c r="U619" s="1143"/>
      <c r="V619" s="1143"/>
      <c r="W619" s="1145"/>
    </row>
    <row r="620" spans="1:23" customFormat="1" ht="16.5" customHeight="1">
      <c r="A620" s="134" t="s">
        <v>167</v>
      </c>
      <c r="B620" s="135">
        <v>33</v>
      </c>
      <c r="C620" s="136">
        <v>46249</v>
      </c>
      <c r="D620" s="137" t="s">
        <v>142</v>
      </c>
      <c r="E620" s="1079" t="s">
        <v>387</v>
      </c>
      <c r="F620" s="1079" t="s">
        <v>282</v>
      </c>
      <c r="G620" s="1079" t="s">
        <v>28</v>
      </c>
      <c r="H620" s="139">
        <v>5535141</v>
      </c>
      <c r="I620" s="1079" t="s">
        <v>973</v>
      </c>
      <c r="J620" s="1079">
        <v>88</v>
      </c>
      <c r="K620" s="1143"/>
      <c r="L620" s="1143"/>
      <c r="M620" s="1143"/>
      <c r="N620" s="1143"/>
      <c r="O620" s="1143"/>
      <c r="P620" s="1150"/>
      <c r="Q620" s="1143"/>
      <c r="R620" s="1143"/>
      <c r="S620" s="1143"/>
      <c r="T620" s="1143"/>
      <c r="U620" s="1143"/>
      <c r="V620" s="1143"/>
      <c r="W620" s="1145"/>
    </row>
    <row r="621" spans="1:23" customFormat="1" ht="16.5" customHeight="1">
      <c r="A621" s="134" t="s">
        <v>167</v>
      </c>
      <c r="B621" s="135">
        <v>33</v>
      </c>
      <c r="C621" s="136">
        <v>46249</v>
      </c>
      <c r="D621" s="137" t="s">
        <v>142</v>
      </c>
      <c r="E621" s="1079" t="s">
        <v>387</v>
      </c>
      <c r="F621" s="1079" t="s">
        <v>282</v>
      </c>
      <c r="G621" s="1079" t="s">
        <v>28</v>
      </c>
      <c r="H621" s="139">
        <v>5535141</v>
      </c>
      <c r="I621" s="1079" t="s">
        <v>974</v>
      </c>
      <c r="J621" s="1079">
        <v>62</v>
      </c>
      <c r="K621" s="1143"/>
      <c r="L621" s="1143"/>
      <c r="M621" s="1143"/>
      <c r="N621" s="1143"/>
      <c r="O621" s="1143"/>
      <c r="P621" s="1150"/>
      <c r="Q621" s="1143"/>
      <c r="R621" s="1143"/>
      <c r="S621" s="1143"/>
      <c r="T621" s="1143"/>
      <c r="U621" s="1143"/>
      <c r="V621" s="1143"/>
      <c r="W621" s="1145"/>
    </row>
    <row r="622" spans="1:23" customFormat="1" ht="16.5" customHeight="1" thickBot="1">
      <c r="A622" s="116" t="s">
        <v>167</v>
      </c>
      <c r="B622" s="141">
        <v>33</v>
      </c>
      <c r="C622" s="142">
        <v>46249</v>
      </c>
      <c r="D622" s="143" t="s">
        <v>142</v>
      </c>
      <c r="E622" s="1080" t="s">
        <v>387</v>
      </c>
      <c r="F622" s="1080" t="s">
        <v>282</v>
      </c>
      <c r="G622" s="1080" t="s">
        <v>32</v>
      </c>
      <c r="H622" s="145">
        <v>5535140</v>
      </c>
      <c r="I622" s="1080" t="s">
        <v>975</v>
      </c>
      <c r="J622" s="1080">
        <v>72</v>
      </c>
      <c r="K622" s="1156"/>
      <c r="L622" s="1156"/>
      <c r="M622" s="1156"/>
      <c r="N622" s="1156"/>
      <c r="O622" s="1156"/>
      <c r="P622" s="1147"/>
      <c r="Q622" s="1156"/>
      <c r="R622" s="1156"/>
      <c r="S622" s="1156"/>
      <c r="T622" s="1156"/>
      <c r="U622" s="1156"/>
      <c r="V622" s="1156"/>
      <c r="W622" s="1158"/>
    </row>
    <row r="623" spans="1:23" customFormat="1" ht="16.5" customHeight="1">
      <c r="A623" s="63" t="s">
        <v>167</v>
      </c>
      <c r="B623" s="64">
        <v>34</v>
      </c>
      <c r="C623" s="65">
        <v>46251</v>
      </c>
      <c r="D623" s="66" t="s">
        <v>142</v>
      </c>
      <c r="E623" s="1088" t="s">
        <v>265</v>
      </c>
      <c r="F623" s="1088" t="s">
        <v>271</v>
      </c>
      <c r="G623" s="1088" t="s">
        <v>37</v>
      </c>
      <c r="H623" s="163">
        <v>5447762</v>
      </c>
      <c r="I623" s="1088" t="s">
        <v>976</v>
      </c>
      <c r="J623" s="1088">
        <v>180</v>
      </c>
      <c r="K623" s="1146">
        <v>1</v>
      </c>
      <c r="L623" s="1146">
        <v>5</v>
      </c>
      <c r="M623" s="1146">
        <v>1</v>
      </c>
      <c r="N623" s="1146" t="s">
        <v>149</v>
      </c>
      <c r="O623" s="1146" t="s">
        <v>103</v>
      </c>
      <c r="P623" s="1146" t="s">
        <v>30</v>
      </c>
      <c r="Q623" s="1146" t="s">
        <v>340</v>
      </c>
      <c r="R623" s="1146" t="s">
        <v>31</v>
      </c>
      <c r="S623" s="1146" t="s">
        <v>184</v>
      </c>
      <c r="T623" s="1146" t="s">
        <v>185</v>
      </c>
      <c r="U623" s="1146"/>
      <c r="V623" s="1146" t="s">
        <v>149</v>
      </c>
      <c r="W623" s="1148">
        <v>1</v>
      </c>
    </row>
    <row r="624" spans="1:23" customFormat="1" ht="16.5" customHeight="1" thickBot="1">
      <c r="A624" s="116" t="s">
        <v>167</v>
      </c>
      <c r="B624" s="141">
        <v>34</v>
      </c>
      <c r="C624" s="142">
        <v>46251</v>
      </c>
      <c r="D624" s="143" t="s">
        <v>142</v>
      </c>
      <c r="E624" s="1087" t="s">
        <v>265</v>
      </c>
      <c r="F624" s="1087" t="s">
        <v>270</v>
      </c>
      <c r="G624" s="1087" t="s">
        <v>37</v>
      </c>
      <c r="H624" s="145">
        <v>5447763</v>
      </c>
      <c r="I624" s="1087" t="s">
        <v>977</v>
      </c>
      <c r="J624" s="1087">
        <v>120</v>
      </c>
      <c r="K624" s="1147"/>
      <c r="L624" s="1147"/>
      <c r="M624" s="1147"/>
      <c r="N624" s="1147"/>
      <c r="O624" s="1147"/>
      <c r="P624" s="1147"/>
      <c r="Q624" s="1147"/>
      <c r="R624" s="1147"/>
      <c r="S624" s="1147"/>
      <c r="T624" s="1147"/>
      <c r="U624" s="1147"/>
      <c r="V624" s="1147"/>
      <c r="W624" s="1149"/>
    </row>
    <row r="625" spans="1:23" customFormat="1" ht="16.5" customHeight="1">
      <c r="A625" s="63" t="s">
        <v>167</v>
      </c>
      <c r="B625" s="64">
        <v>34</v>
      </c>
      <c r="C625" s="65">
        <v>46252</v>
      </c>
      <c r="D625" s="66" t="s">
        <v>142</v>
      </c>
      <c r="E625" s="1095" t="s">
        <v>265</v>
      </c>
      <c r="F625" s="1095" t="s">
        <v>270</v>
      </c>
      <c r="G625" s="1095" t="s">
        <v>37</v>
      </c>
      <c r="H625" s="163">
        <v>5447763</v>
      </c>
      <c r="I625" s="1095" t="s">
        <v>977</v>
      </c>
      <c r="J625" s="1095">
        <v>100</v>
      </c>
      <c r="K625" s="1154">
        <v>1</v>
      </c>
      <c r="L625" s="1154"/>
      <c r="M625" s="1154">
        <v>0</v>
      </c>
      <c r="N625" s="1154" t="s">
        <v>149</v>
      </c>
      <c r="O625" s="1154"/>
      <c r="P625" s="1154"/>
      <c r="Q625" s="1154"/>
      <c r="R625" s="1154"/>
      <c r="S625" s="1154"/>
      <c r="T625" s="1154"/>
      <c r="U625" s="1154"/>
      <c r="V625" s="1154"/>
      <c r="W625" s="1155"/>
    </row>
    <row r="626" spans="1:23" customFormat="1" ht="16.5" customHeight="1">
      <c r="A626" s="134" t="s">
        <v>167</v>
      </c>
      <c r="B626" s="135">
        <v>34</v>
      </c>
      <c r="C626" s="136">
        <v>46252</v>
      </c>
      <c r="D626" s="137" t="s">
        <v>142</v>
      </c>
      <c r="E626" s="1096" t="s">
        <v>265</v>
      </c>
      <c r="F626" s="1096" t="s">
        <v>270</v>
      </c>
      <c r="G626" s="1096" t="s">
        <v>37</v>
      </c>
      <c r="H626" s="139">
        <v>5447763</v>
      </c>
      <c r="I626" s="1096" t="s">
        <v>978</v>
      </c>
      <c r="J626" s="1096">
        <v>120</v>
      </c>
      <c r="K626" s="1150"/>
      <c r="L626" s="1150"/>
      <c r="M626" s="1150"/>
      <c r="N626" s="1150"/>
      <c r="O626" s="1150"/>
      <c r="P626" s="1150"/>
      <c r="Q626" s="1150"/>
      <c r="R626" s="1150"/>
      <c r="S626" s="1150"/>
      <c r="T626" s="1150"/>
      <c r="U626" s="1150"/>
      <c r="V626" s="1150"/>
      <c r="W626" s="1151"/>
    </row>
    <row r="627" spans="1:23" customFormat="1" ht="16.5" customHeight="1" thickBot="1">
      <c r="A627" s="116" t="s">
        <v>167</v>
      </c>
      <c r="B627" s="141">
        <v>34</v>
      </c>
      <c r="C627" s="142">
        <v>46252</v>
      </c>
      <c r="D627" s="143" t="s">
        <v>142</v>
      </c>
      <c r="E627" s="1097" t="s">
        <v>265</v>
      </c>
      <c r="F627" s="1097" t="s">
        <v>270</v>
      </c>
      <c r="G627" s="1097" t="s">
        <v>37</v>
      </c>
      <c r="H627" s="145">
        <v>5447763</v>
      </c>
      <c r="I627" s="1097" t="s">
        <v>979</v>
      </c>
      <c r="J627" s="1097">
        <v>120</v>
      </c>
      <c r="K627" s="1147"/>
      <c r="L627" s="1147"/>
      <c r="M627" s="1147"/>
      <c r="N627" s="1147"/>
      <c r="O627" s="1147"/>
      <c r="P627" s="1147"/>
      <c r="Q627" s="1147"/>
      <c r="R627" s="1147"/>
      <c r="S627" s="1147"/>
      <c r="T627" s="1147"/>
      <c r="U627" s="1147"/>
      <c r="V627" s="1147"/>
      <c r="W627" s="1149"/>
    </row>
    <row r="628" spans="1:23" customFormat="1" ht="16.5" customHeight="1">
      <c r="A628" s="219" t="s">
        <v>167</v>
      </c>
      <c r="B628" s="214">
        <v>34</v>
      </c>
      <c r="C628" s="215">
        <v>46253</v>
      </c>
      <c r="D628" s="216" t="s">
        <v>142</v>
      </c>
      <c r="E628" s="1098" t="s">
        <v>386</v>
      </c>
      <c r="F628" s="1098" t="s">
        <v>274</v>
      </c>
      <c r="G628" s="1098" t="s">
        <v>28</v>
      </c>
      <c r="H628" s="217">
        <v>5535130</v>
      </c>
      <c r="I628" s="1098" t="s">
        <v>980</v>
      </c>
      <c r="J628" s="1098">
        <v>88</v>
      </c>
      <c r="K628" s="1150">
        <v>1</v>
      </c>
      <c r="L628" s="1150">
        <v>5</v>
      </c>
      <c r="M628" s="1150">
        <v>1</v>
      </c>
      <c r="N628" s="1150" t="s">
        <v>149</v>
      </c>
      <c r="O628" s="1150" t="s">
        <v>39</v>
      </c>
      <c r="P628" s="1150" t="s">
        <v>40</v>
      </c>
      <c r="Q628" s="1150" t="s">
        <v>316</v>
      </c>
      <c r="R628" s="1150" t="s">
        <v>31</v>
      </c>
      <c r="S628" s="1150" t="s">
        <v>184</v>
      </c>
      <c r="T628" s="1150" t="s">
        <v>185</v>
      </c>
      <c r="U628" s="1150"/>
      <c r="V628" s="1150" t="s">
        <v>149</v>
      </c>
      <c r="W628" s="1151">
        <v>1</v>
      </c>
    </row>
    <row r="629" spans="1:23" customFormat="1" ht="16.5" customHeight="1">
      <c r="A629" s="134" t="s">
        <v>167</v>
      </c>
      <c r="B629" s="135">
        <v>34</v>
      </c>
      <c r="C629" s="136">
        <v>46253</v>
      </c>
      <c r="D629" s="137" t="s">
        <v>142</v>
      </c>
      <c r="E629" s="1096" t="s">
        <v>386</v>
      </c>
      <c r="F629" s="1096" t="s">
        <v>274</v>
      </c>
      <c r="G629" s="1096" t="s">
        <v>28</v>
      </c>
      <c r="H629" s="139">
        <v>5535130</v>
      </c>
      <c r="I629" s="1096" t="s">
        <v>981</v>
      </c>
      <c r="J629" s="1096">
        <v>88</v>
      </c>
      <c r="K629" s="1150"/>
      <c r="L629" s="1150"/>
      <c r="M629" s="1150"/>
      <c r="N629" s="1150"/>
      <c r="O629" s="1150"/>
      <c r="P629" s="1150"/>
      <c r="Q629" s="1150"/>
      <c r="R629" s="1150"/>
      <c r="S629" s="1150"/>
      <c r="T629" s="1150"/>
      <c r="U629" s="1150"/>
      <c r="V629" s="1150"/>
      <c r="W629" s="1151"/>
    </row>
    <row r="630" spans="1:23" customFormat="1" ht="16.5" customHeight="1" thickBot="1">
      <c r="A630" s="1106" t="s">
        <v>167</v>
      </c>
      <c r="B630" s="1107">
        <v>34</v>
      </c>
      <c r="C630" s="1108">
        <v>46253</v>
      </c>
      <c r="D630" s="1109" t="s">
        <v>142</v>
      </c>
      <c r="E630" s="1110" t="s">
        <v>386</v>
      </c>
      <c r="F630" s="1110" t="s">
        <v>274</v>
      </c>
      <c r="G630" s="1110" t="s">
        <v>32</v>
      </c>
      <c r="H630" s="1111">
        <v>5535129</v>
      </c>
      <c r="I630" s="1110" t="s">
        <v>982</v>
      </c>
      <c r="J630" s="1110">
        <v>100</v>
      </c>
      <c r="K630" s="1150"/>
      <c r="L630" s="1150"/>
      <c r="M630" s="1150"/>
      <c r="N630" s="1150"/>
      <c r="O630" s="1150"/>
      <c r="P630" s="1150"/>
      <c r="Q630" s="1150"/>
      <c r="R630" s="1150"/>
      <c r="S630" s="1150"/>
      <c r="T630" s="1150"/>
      <c r="U630" s="1150"/>
      <c r="V630" s="1150"/>
      <c r="W630" s="1151"/>
    </row>
    <row r="631" spans="1:23" customFormat="1" ht="16.5" customHeight="1">
      <c r="A631" s="63" t="s">
        <v>167</v>
      </c>
      <c r="B631" s="149">
        <v>34</v>
      </c>
      <c r="C631" s="150">
        <v>46254</v>
      </c>
      <c r="D631" s="151" t="s">
        <v>142</v>
      </c>
      <c r="E631" s="1103" t="s">
        <v>387</v>
      </c>
      <c r="F631" s="1103" t="s">
        <v>282</v>
      </c>
      <c r="G631" s="1103" t="s">
        <v>36</v>
      </c>
      <c r="H631" s="153">
        <v>5535142</v>
      </c>
      <c r="I631" s="1103" t="s">
        <v>984</v>
      </c>
      <c r="J631" s="1103">
        <v>18</v>
      </c>
      <c r="K631" s="1152">
        <v>1</v>
      </c>
      <c r="L631" s="1152"/>
      <c r="M631" s="1152">
        <v>0</v>
      </c>
      <c r="N631" s="1152" t="s">
        <v>149</v>
      </c>
      <c r="O631" s="1152"/>
      <c r="P631" s="1152"/>
      <c r="Q631" s="1152"/>
      <c r="R631" s="1152"/>
      <c r="S631" s="1152"/>
      <c r="T631" s="1152"/>
      <c r="U631" s="1152"/>
      <c r="V631" s="1152"/>
      <c r="W631" s="1153"/>
    </row>
    <row r="632" spans="1:23" customFormat="1" ht="16.5" customHeight="1">
      <c r="A632" s="134" t="s">
        <v>167</v>
      </c>
      <c r="B632" s="135">
        <v>34</v>
      </c>
      <c r="C632" s="136">
        <v>46254</v>
      </c>
      <c r="D632" s="137" t="s">
        <v>142</v>
      </c>
      <c r="E632" s="1104" t="s">
        <v>387</v>
      </c>
      <c r="F632" s="1104" t="s">
        <v>282</v>
      </c>
      <c r="G632" s="1104" t="s">
        <v>28</v>
      </c>
      <c r="H632" s="139">
        <v>5535141</v>
      </c>
      <c r="I632" s="1104" t="s">
        <v>985</v>
      </c>
      <c r="J632" s="1104">
        <v>50</v>
      </c>
      <c r="K632" s="1143"/>
      <c r="L632" s="1143"/>
      <c r="M632" s="1143"/>
      <c r="N632" s="1143"/>
      <c r="O632" s="1143"/>
      <c r="P632" s="1143"/>
      <c r="Q632" s="1143"/>
      <c r="R632" s="1143"/>
      <c r="S632" s="1143"/>
      <c r="T632" s="1143"/>
      <c r="U632" s="1143"/>
      <c r="V632" s="1143"/>
      <c r="W632" s="1145"/>
    </row>
    <row r="633" spans="1:23" customFormat="1" ht="16.5" customHeight="1">
      <c r="A633" s="134" t="s">
        <v>167</v>
      </c>
      <c r="B633" s="135">
        <v>34</v>
      </c>
      <c r="C633" s="136">
        <v>46254</v>
      </c>
      <c r="D633" s="137" t="s">
        <v>142</v>
      </c>
      <c r="E633" s="1104" t="s">
        <v>387</v>
      </c>
      <c r="F633" s="1104" t="s">
        <v>282</v>
      </c>
      <c r="G633" s="1104" t="s">
        <v>32</v>
      </c>
      <c r="H633" s="139">
        <v>5535140</v>
      </c>
      <c r="I633" s="1104" t="s">
        <v>986</v>
      </c>
      <c r="J633" s="1104">
        <v>56</v>
      </c>
      <c r="K633" s="1143"/>
      <c r="L633" s="1143"/>
      <c r="M633" s="1143"/>
      <c r="N633" s="1143"/>
      <c r="O633" s="1143"/>
      <c r="P633" s="1143"/>
      <c r="Q633" s="1143"/>
      <c r="R633" s="1143"/>
      <c r="S633" s="1143"/>
      <c r="T633" s="1143"/>
      <c r="U633" s="1143"/>
      <c r="V633" s="1143"/>
      <c r="W633" s="1145"/>
    </row>
    <row r="634" spans="1:23" customFormat="1" ht="16.5" customHeight="1">
      <c r="A634" s="134" t="s">
        <v>167</v>
      </c>
      <c r="B634" s="135">
        <v>34</v>
      </c>
      <c r="C634" s="136">
        <v>46254</v>
      </c>
      <c r="D634" s="137" t="s">
        <v>142</v>
      </c>
      <c r="E634" s="1104" t="s">
        <v>387</v>
      </c>
      <c r="F634" s="1104" t="s">
        <v>282</v>
      </c>
      <c r="G634" s="1104" t="s">
        <v>32</v>
      </c>
      <c r="H634" s="139">
        <v>5535140</v>
      </c>
      <c r="I634" s="1104" t="s">
        <v>987</v>
      </c>
      <c r="J634" s="1104">
        <v>12</v>
      </c>
      <c r="K634" s="1143"/>
      <c r="L634" s="1143"/>
      <c r="M634" s="1143"/>
      <c r="N634" s="1143"/>
      <c r="O634" s="1143"/>
      <c r="P634" s="1143"/>
      <c r="Q634" s="1143"/>
      <c r="R634" s="1143"/>
      <c r="S634" s="1143"/>
      <c r="T634" s="1143"/>
      <c r="U634" s="1143"/>
      <c r="V634" s="1143"/>
      <c r="W634" s="1145"/>
    </row>
    <row r="635" spans="1:23" customFormat="1" ht="16.5" customHeight="1">
      <c r="A635" s="134" t="s">
        <v>167</v>
      </c>
      <c r="B635" s="135">
        <v>34</v>
      </c>
      <c r="C635" s="136">
        <v>46254</v>
      </c>
      <c r="D635" s="137" t="s">
        <v>143</v>
      </c>
      <c r="E635" s="1104" t="s">
        <v>157</v>
      </c>
      <c r="F635" s="1104" t="s">
        <v>158</v>
      </c>
      <c r="G635" s="1104" t="s">
        <v>28</v>
      </c>
      <c r="H635" s="139">
        <v>4248138</v>
      </c>
      <c r="I635" s="1104">
        <v>4524013717</v>
      </c>
      <c r="J635" s="1104">
        <v>8</v>
      </c>
      <c r="K635" s="1104">
        <v>1</v>
      </c>
      <c r="L635" s="1104"/>
      <c r="M635" s="1104">
        <v>0</v>
      </c>
      <c r="N635" s="1104" t="s">
        <v>149</v>
      </c>
      <c r="O635" s="1104"/>
      <c r="P635" s="1104"/>
      <c r="Q635" s="1104"/>
      <c r="R635" s="1104"/>
      <c r="S635" s="1104"/>
      <c r="T635" s="1104"/>
      <c r="U635" s="1104"/>
      <c r="V635" s="1104"/>
      <c r="W635" s="1105"/>
    </row>
    <row r="636" spans="1:23" customFormat="1" ht="16.5" customHeight="1" thickBot="1">
      <c r="A636" s="1106" t="s">
        <v>167</v>
      </c>
      <c r="B636" s="1107">
        <v>34</v>
      </c>
      <c r="C636" s="1108">
        <v>46254</v>
      </c>
      <c r="D636" s="1109" t="s">
        <v>142</v>
      </c>
      <c r="E636" s="1110" t="s">
        <v>232</v>
      </c>
      <c r="F636" s="1110" t="s">
        <v>266</v>
      </c>
      <c r="G636" s="1110" t="s">
        <v>37</v>
      </c>
      <c r="H636" s="1111">
        <v>5766065</v>
      </c>
      <c r="I636" s="1110" t="s">
        <v>988</v>
      </c>
      <c r="J636" s="1110">
        <v>70</v>
      </c>
      <c r="K636" s="1110">
        <v>1</v>
      </c>
      <c r="L636" s="1110"/>
      <c r="M636" s="1110">
        <v>0</v>
      </c>
      <c r="N636" s="1110" t="s">
        <v>149</v>
      </c>
      <c r="O636" s="1110"/>
      <c r="P636" s="1110"/>
      <c r="Q636" s="1110"/>
      <c r="R636" s="1110"/>
      <c r="S636" s="1110"/>
      <c r="T636" s="1110"/>
      <c r="U636" s="1110"/>
      <c r="V636" s="1110"/>
      <c r="W636" s="1112"/>
    </row>
    <row r="637" spans="1:23" customFormat="1" ht="16.5" customHeight="1" thickBot="1">
      <c r="A637" s="67" t="s">
        <v>167</v>
      </c>
      <c r="B637" s="68">
        <v>34</v>
      </c>
      <c r="C637" s="69">
        <v>46255</v>
      </c>
      <c r="D637" s="70" t="s">
        <v>142</v>
      </c>
      <c r="E637" s="71" t="s">
        <v>232</v>
      </c>
      <c r="F637" s="71" t="s">
        <v>266</v>
      </c>
      <c r="G637" s="71" t="s">
        <v>37</v>
      </c>
      <c r="H637" s="88">
        <v>5766065</v>
      </c>
      <c r="I637" s="71" t="s">
        <v>988</v>
      </c>
      <c r="J637" s="71">
        <v>300</v>
      </c>
      <c r="K637" s="71">
        <v>1</v>
      </c>
      <c r="L637" s="71"/>
      <c r="M637" s="71">
        <v>0</v>
      </c>
      <c r="N637" s="71" t="s">
        <v>149</v>
      </c>
      <c r="O637" s="71"/>
      <c r="P637" s="71"/>
      <c r="Q637" s="71"/>
      <c r="R637" s="71"/>
      <c r="S637" s="71"/>
      <c r="T637" s="71"/>
      <c r="U637" s="71"/>
      <c r="V637" s="71"/>
      <c r="W637" s="72"/>
    </row>
    <row r="638" spans="1:23" customFormat="1" ht="16.5" customHeight="1" thickBot="1">
      <c r="A638" s="91" t="s">
        <v>167</v>
      </c>
      <c r="B638" s="92">
        <v>34</v>
      </c>
      <c r="C638" s="93">
        <v>46256</v>
      </c>
      <c r="D638" s="94" t="s">
        <v>142</v>
      </c>
      <c r="E638" s="1101" t="s">
        <v>232</v>
      </c>
      <c r="F638" s="1101" t="s">
        <v>266</v>
      </c>
      <c r="G638" s="1101" t="s">
        <v>37</v>
      </c>
      <c r="H638" s="128">
        <v>5766065</v>
      </c>
      <c r="I638" s="1101" t="s">
        <v>988</v>
      </c>
      <c r="J638" s="1101">
        <v>300</v>
      </c>
      <c r="K638" s="1101">
        <v>1</v>
      </c>
      <c r="L638" s="1101">
        <v>5</v>
      </c>
      <c r="M638" s="1101">
        <v>1</v>
      </c>
      <c r="N638" s="1101" t="s">
        <v>149</v>
      </c>
      <c r="O638" s="1101" t="s">
        <v>39</v>
      </c>
      <c r="P638" s="1101" t="s">
        <v>40</v>
      </c>
      <c r="Q638" s="1101" t="s">
        <v>316</v>
      </c>
      <c r="R638" s="1101" t="s">
        <v>31</v>
      </c>
      <c r="S638" s="1101" t="s">
        <v>184</v>
      </c>
      <c r="T638" s="1101" t="s">
        <v>185</v>
      </c>
      <c r="U638" s="1101"/>
      <c r="V638" s="1101" t="s">
        <v>149</v>
      </c>
      <c r="W638" s="1102">
        <v>1</v>
      </c>
    </row>
    <row r="639" spans="1:23" customFormat="1" ht="16.5" customHeight="1">
      <c r="A639" s="63" t="s">
        <v>167</v>
      </c>
      <c r="B639" s="64">
        <v>35</v>
      </c>
      <c r="C639" s="65">
        <v>46258</v>
      </c>
      <c r="D639" s="66" t="s">
        <v>142</v>
      </c>
      <c r="E639" s="1113" t="s">
        <v>232</v>
      </c>
      <c r="F639" s="1113" t="s">
        <v>266</v>
      </c>
      <c r="G639" s="1113" t="s">
        <v>37</v>
      </c>
      <c r="H639" s="163">
        <v>5766065</v>
      </c>
      <c r="I639" s="1113" t="s">
        <v>988</v>
      </c>
      <c r="J639" s="1113">
        <v>106</v>
      </c>
      <c r="K639" s="1325">
        <v>1</v>
      </c>
      <c r="L639" s="1325">
        <v>5</v>
      </c>
      <c r="M639" s="1325">
        <v>1</v>
      </c>
      <c r="N639" s="1325" t="s">
        <v>149</v>
      </c>
      <c r="O639" s="1325" t="s">
        <v>39</v>
      </c>
      <c r="P639" s="1325" t="s">
        <v>40</v>
      </c>
      <c r="Q639" s="1325" t="s">
        <v>316</v>
      </c>
      <c r="R639" s="1325" t="s">
        <v>31</v>
      </c>
      <c r="S639" s="1325" t="s">
        <v>184</v>
      </c>
      <c r="T639" s="1325" t="s">
        <v>185</v>
      </c>
      <c r="U639" s="1325"/>
      <c r="V639" s="1325" t="s">
        <v>149</v>
      </c>
      <c r="W639" s="1326">
        <v>1</v>
      </c>
    </row>
    <row r="640" spans="1:23" customFormat="1" ht="16.5" customHeight="1">
      <c r="A640" s="134" t="s">
        <v>167</v>
      </c>
      <c r="B640" s="135">
        <v>35</v>
      </c>
      <c r="C640" s="136">
        <v>46258</v>
      </c>
      <c r="D640" s="137" t="s">
        <v>142</v>
      </c>
      <c r="E640" s="1114" t="s">
        <v>232</v>
      </c>
      <c r="F640" s="1114" t="s">
        <v>275</v>
      </c>
      <c r="G640" s="1114" t="s">
        <v>37</v>
      </c>
      <c r="H640" s="139">
        <v>5823326</v>
      </c>
      <c r="I640" s="1114">
        <v>4524395045</v>
      </c>
      <c r="J640" s="1114">
        <v>6</v>
      </c>
      <c r="K640" s="1150"/>
      <c r="L640" s="1150"/>
      <c r="M640" s="1150"/>
      <c r="N640" s="1150"/>
      <c r="O640" s="1150"/>
      <c r="P640" s="1150"/>
      <c r="Q640" s="1150"/>
      <c r="R640" s="1150"/>
      <c r="S640" s="1150"/>
      <c r="T640" s="1150"/>
      <c r="U640" s="1150"/>
      <c r="V640" s="1150"/>
      <c r="W640" s="1151"/>
    </row>
    <row r="641" spans="1:23" customFormat="1" ht="16.5" customHeight="1">
      <c r="A641" s="134" t="s">
        <v>167</v>
      </c>
      <c r="B641" s="135">
        <v>35</v>
      </c>
      <c r="C641" s="136">
        <v>46258</v>
      </c>
      <c r="D641" s="137" t="s">
        <v>142</v>
      </c>
      <c r="E641" s="1114" t="s">
        <v>232</v>
      </c>
      <c r="F641" s="1114" t="s">
        <v>275</v>
      </c>
      <c r="G641" s="1114" t="s">
        <v>37</v>
      </c>
      <c r="H641" s="139">
        <v>5823326</v>
      </c>
      <c r="I641" s="1114">
        <v>4524424229</v>
      </c>
      <c r="J641" s="1114">
        <v>1</v>
      </c>
      <c r="K641" s="1150"/>
      <c r="L641" s="1150"/>
      <c r="M641" s="1150"/>
      <c r="N641" s="1150"/>
      <c r="O641" s="1150"/>
      <c r="P641" s="1150"/>
      <c r="Q641" s="1150"/>
      <c r="R641" s="1150"/>
      <c r="S641" s="1150"/>
      <c r="T641" s="1150"/>
      <c r="U641" s="1150"/>
      <c r="V641" s="1150"/>
      <c r="W641" s="1151"/>
    </row>
    <row r="642" spans="1:23" customFormat="1" ht="16.5" customHeight="1">
      <c r="A642" s="134" t="s">
        <v>167</v>
      </c>
      <c r="B642" s="135">
        <v>35</v>
      </c>
      <c r="C642" s="136">
        <v>46258</v>
      </c>
      <c r="D642" s="137" t="s">
        <v>142</v>
      </c>
      <c r="E642" s="1115" t="s">
        <v>232</v>
      </c>
      <c r="F642" s="1115" t="s">
        <v>275</v>
      </c>
      <c r="G642" s="1115" t="s">
        <v>37</v>
      </c>
      <c r="H642" s="139">
        <v>5823326</v>
      </c>
      <c r="I642" s="1115">
        <v>4524413093</v>
      </c>
      <c r="J642" s="1115">
        <v>145</v>
      </c>
      <c r="K642" s="1150"/>
      <c r="L642" s="1150"/>
      <c r="M642" s="1150"/>
      <c r="N642" s="1150"/>
      <c r="O642" s="1150"/>
      <c r="P642" s="1150"/>
      <c r="Q642" s="1150"/>
      <c r="R642" s="1150"/>
      <c r="S642" s="1150"/>
      <c r="T642" s="1150"/>
      <c r="U642" s="1150"/>
      <c r="V642" s="1150"/>
      <c r="W642" s="1151"/>
    </row>
    <row r="643" spans="1:23" customFormat="1" ht="16.5" customHeight="1" thickBot="1">
      <c r="A643" s="134" t="s">
        <v>167</v>
      </c>
      <c r="B643" s="135">
        <v>35</v>
      </c>
      <c r="C643" s="136">
        <v>46258</v>
      </c>
      <c r="D643" s="137" t="s">
        <v>142</v>
      </c>
      <c r="E643" s="1114" t="s">
        <v>232</v>
      </c>
      <c r="F643" s="1114" t="s">
        <v>275</v>
      </c>
      <c r="G643" s="1114" t="s">
        <v>37</v>
      </c>
      <c r="H643" s="139">
        <v>5823326</v>
      </c>
      <c r="I643" s="1119" t="s">
        <v>989</v>
      </c>
      <c r="J643" s="1119">
        <v>50</v>
      </c>
      <c r="K643" s="1150"/>
      <c r="L643" s="1150"/>
      <c r="M643" s="1150"/>
      <c r="N643" s="1150"/>
      <c r="O643" s="1150"/>
      <c r="P643" s="1150"/>
      <c r="Q643" s="1150"/>
      <c r="R643" s="1150"/>
      <c r="S643" s="1150"/>
      <c r="T643" s="1150"/>
      <c r="U643" s="1150"/>
      <c r="V643" s="1150"/>
      <c r="W643" s="1151"/>
    </row>
    <row r="644" spans="1:23" customFormat="1" ht="16.5" customHeight="1">
      <c r="A644" s="63" t="s">
        <v>167</v>
      </c>
      <c r="B644" s="64">
        <v>35</v>
      </c>
      <c r="C644" s="65">
        <v>46259</v>
      </c>
      <c r="D644" s="66" t="s">
        <v>142</v>
      </c>
      <c r="E644" s="1118" t="s">
        <v>232</v>
      </c>
      <c r="F644" s="1118" t="s">
        <v>275</v>
      </c>
      <c r="G644" s="1118" t="s">
        <v>37</v>
      </c>
      <c r="H644" s="163">
        <v>5823326</v>
      </c>
      <c r="I644" s="1118" t="s">
        <v>989</v>
      </c>
      <c r="J644" s="1118">
        <v>222</v>
      </c>
      <c r="K644" s="1146">
        <v>1</v>
      </c>
      <c r="L644" s="1146"/>
      <c r="M644" s="1146">
        <v>0</v>
      </c>
      <c r="N644" s="1146" t="s">
        <v>149</v>
      </c>
      <c r="O644" s="1146"/>
      <c r="P644" s="1146"/>
      <c r="Q644" s="1146"/>
      <c r="R644" s="1146"/>
      <c r="S644" s="1146"/>
      <c r="T644" s="1146"/>
      <c r="U644" s="1146"/>
      <c r="V644" s="1146"/>
      <c r="W644" s="1148"/>
    </row>
    <row r="645" spans="1:23" customFormat="1" ht="16.5" customHeight="1" thickBot="1">
      <c r="A645" s="116" t="s">
        <v>167</v>
      </c>
      <c r="B645" s="141">
        <v>35</v>
      </c>
      <c r="C645" s="142">
        <v>46259</v>
      </c>
      <c r="D645" s="143" t="s">
        <v>142</v>
      </c>
      <c r="E645" s="1119" t="s">
        <v>232</v>
      </c>
      <c r="F645" s="1119" t="s">
        <v>266</v>
      </c>
      <c r="G645" s="1119" t="s">
        <v>37</v>
      </c>
      <c r="H645" s="145">
        <v>5766065</v>
      </c>
      <c r="I645" s="1119" t="s">
        <v>991</v>
      </c>
      <c r="J645" s="1119">
        <v>80</v>
      </c>
      <c r="K645" s="1147"/>
      <c r="L645" s="1147"/>
      <c r="M645" s="1147"/>
      <c r="N645" s="1147"/>
      <c r="O645" s="1147"/>
      <c r="P645" s="1147"/>
      <c r="Q645" s="1147"/>
      <c r="R645" s="1147"/>
      <c r="S645" s="1147"/>
      <c r="T645" s="1147"/>
      <c r="U645" s="1147"/>
      <c r="V645" s="1147"/>
      <c r="W645" s="1149"/>
    </row>
    <row r="646" spans="1:23" customFormat="1" ht="16.5" customHeight="1">
      <c r="A646" s="63" t="s">
        <v>167</v>
      </c>
      <c r="B646" s="64">
        <v>35</v>
      </c>
      <c r="C646" s="65">
        <v>46260</v>
      </c>
      <c r="D646" s="66" t="s">
        <v>142</v>
      </c>
      <c r="E646" s="1118" t="s">
        <v>232</v>
      </c>
      <c r="F646" s="1118" t="s">
        <v>266</v>
      </c>
      <c r="G646" s="1118" t="s">
        <v>37</v>
      </c>
      <c r="H646" s="163">
        <v>5766065</v>
      </c>
      <c r="I646" s="1118" t="s">
        <v>991</v>
      </c>
      <c r="J646" s="1118">
        <v>250</v>
      </c>
      <c r="K646" s="1146">
        <v>1</v>
      </c>
      <c r="L646" s="1146"/>
      <c r="M646" s="1146">
        <v>0</v>
      </c>
      <c r="N646" s="1146" t="s">
        <v>149</v>
      </c>
      <c r="O646" s="1146"/>
      <c r="P646" s="1146"/>
      <c r="Q646" s="1146"/>
      <c r="R646" s="1146"/>
      <c r="S646" s="1146"/>
      <c r="T646" s="1146"/>
      <c r="U646" s="1146"/>
      <c r="V646" s="1146"/>
      <c r="W646" s="1148"/>
    </row>
    <row r="647" spans="1:23" customFormat="1" ht="16.5" customHeight="1" thickBot="1">
      <c r="A647" s="1132" t="s">
        <v>167</v>
      </c>
      <c r="B647" s="1133">
        <v>35</v>
      </c>
      <c r="C647" s="1134">
        <v>46260</v>
      </c>
      <c r="D647" s="1135" t="s">
        <v>142</v>
      </c>
      <c r="E647" s="1131" t="s">
        <v>232</v>
      </c>
      <c r="F647" s="1131" t="s">
        <v>275</v>
      </c>
      <c r="G647" s="1131" t="s">
        <v>37</v>
      </c>
      <c r="H647" s="1136">
        <v>5823326</v>
      </c>
      <c r="I647" s="1131">
        <v>4524422890</v>
      </c>
      <c r="J647" s="1131">
        <v>20</v>
      </c>
      <c r="K647" s="1150"/>
      <c r="L647" s="1150"/>
      <c r="M647" s="1150"/>
      <c r="N647" s="1150"/>
      <c r="O647" s="1150"/>
      <c r="P647" s="1150"/>
      <c r="Q647" s="1150"/>
      <c r="R647" s="1150"/>
      <c r="S647" s="1150"/>
      <c r="T647" s="1150"/>
      <c r="U647" s="1150"/>
      <c r="V647" s="1150"/>
      <c r="W647" s="1151"/>
    </row>
    <row r="648" spans="1:23" customFormat="1" ht="16.5" customHeight="1">
      <c r="A648" s="1137" t="s">
        <v>167</v>
      </c>
      <c r="B648" s="64">
        <v>35</v>
      </c>
      <c r="C648" s="65">
        <v>46261</v>
      </c>
      <c r="D648" s="66" t="s">
        <v>145</v>
      </c>
      <c r="E648" s="1126" t="s">
        <v>50</v>
      </c>
      <c r="F648" s="1126" t="s">
        <v>258</v>
      </c>
      <c r="G648" s="1126" t="s">
        <v>36</v>
      </c>
      <c r="H648" s="163">
        <v>5797097</v>
      </c>
      <c r="I648" s="1126">
        <v>4523843068</v>
      </c>
      <c r="J648" s="1126">
        <v>4</v>
      </c>
      <c r="K648" s="1142">
        <v>1</v>
      </c>
      <c r="L648" s="1142"/>
      <c r="M648" s="1142">
        <v>0</v>
      </c>
      <c r="N648" s="1142" t="s">
        <v>149</v>
      </c>
      <c r="O648" s="1142"/>
      <c r="P648" s="1142"/>
      <c r="Q648" s="1142"/>
      <c r="R648" s="1142"/>
      <c r="S648" s="1142"/>
      <c r="T648" s="1142"/>
      <c r="U648" s="1142"/>
      <c r="V648" s="1142"/>
      <c r="W648" s="1144"/>
    </row>
    <row r="649" spans="1:23" customFormat="1" ht="16.5" customHeight="1">
      <c r="A649" s="134" t="s">
        <v>167</v>
      </c>
      <c r="B649" s="135">
        <v>35</v>
      </c>
      <c r="C649" s="136">
        <v>46261</v>
      </c>
      <c r="D649" s="137" t="s">
        <v>145</v>
      </c>
      <c r="E649" s="1127" t="s">
        <v>50</v>
      </c>
      <c r="F649" s="1127" t="s">
        <v>258</v>
      </c>
      <c r="G649" s="1127" t="s">
        <v>63</v>
      </c>
      <c r="H649" s="139">
        <v>5797094</v>
      </c>
      <c r="I649" s="1127">
        <v>4523843068</v>
      </c>
      <c r="J649" s="1127">
        <v>4</v>
      </c>
      <c r="K649" s="1143"/>
      <c r="L649" s="1143"/>
      <c r="M649" s="1143"/>
      <c r="N649" s="1143"/>
      <c r="O649" s="1143"/>
      <c r="P649" s="1143"/>
      <c r="Q649" s="1143"/>
      <c r="R649" s="1143"/>
      <c r="S649" s="1143"/>
      <c r="T649" s="1143"/>
      <c r="U649" s="1143"/>
      <c r="V649" s="1143"/>
      <c r="W649" s="1145"/>
    </row>
    <row r="650" spans="1:23" customFormat="1" ht="16.5" customHeight="1">
      <c r="A650" s="134" t="s">
        <v>167</v>
      </c>
      <c r="B650" s="135">
        <v>35</v>
      </c>
      <c r="C650" s="136">
        <v>46261</v>
      </c>
      <c r="D650" s="137" t="s">
        <v>145</v>
      </c>
      <c r="E650" s="1127" t="s">
        <v>50</v>
      </c>
      <c r="F650" s="1127" t="s">
        <v>258</v>
      </c>
      <c r="G650" s="1127" t="s">
        <v>32</v>
      </c>
      <c r="H650" s="139">
        <v>5797095</v>
      </c>
      <c r="I650" s="1127">
        <v>4523843068</v>
      </c>
      <c r="J650" s="1127">
        <v>8</v>
      </c>
      <c r="K650" s="1143"/>
      <c r="L650" s="1143"/>
      <c r="M650" s="1143"/>
      <c r="N650" s="1143"/>
      <c r="O650" s="1143"/>
      <c r="P650" s="1143"/>
      <c r="Q650" s="1143"/>
      <c r="R650" s="1143"/>
      <c r="S650" s="1143"/>
      <c r="T650" s="1143"/>
      <c r="U650" s="1143"/>
      <c r="V650" s="1143"/>
      <c r="W650" s="1145"/>
    </row>
    <row r="651" spans="1:23" customFormat="1" ht="16.5" customHeight="1">
      <c r="A651" s="134" t="s">
        <v>167</v>
      </c>
      <c r="B651" s="135">
        <v>35</v>
      </c>
      <c r="C651" s="136">
        <v>46261</v>
      </c>
      <c r="D651" s="137" t="s">
        <v>145</v>
      </c>
      <c r="E651" s="1127" t="s">
        <v>50</v>
      </c>
      <c r="F651" s="1127" t="s">
        <v>258</v>
      </c>
      <c r="G651" s="1127" t="s">
        <v>28</v>
      </c>
      <c r="H651" s="139">
        <v>5797096</v>
      </c>
      <c r="I651" s="1127">
        <v>4523843068</v>
      </c>
      <c r="J651" s="1127">
        <v>4</v>
      </c>
      <c r="K651" s="1143"/>
      <c r="L651" s="1143"/>
      <c r="M651" s="1143"/>
      <c r="N651" s="1143"/>
      <c r="O651" s="1143"/>
      <c r="P651" s="1143"/>
      <c r="Q651" s="1143"/>
      <c r="R651" s="1143"/>
      <c r="S651" s="1143"/>
      <c r="T651" s="1143"/>
      <c r="U651" s="1143"/>
      <c r="V651" s="1143"/>
      <c r="W651" s="1145"/>
    </row>
    <row r="652" spans="1:23" customFormat="1" ht="16.5" customHeight="1">
      <c r="A652" s="134" t="s">
        <v>167</v>
      </c>
      <c r="B652" s="135">
        <v>35</v>
      </c>
      <c r="C652" s="136">
        <v>46261</v>
      </c>
      <c r="D652" s="137" t="s">
        <v>145</v>
      </c>
      <c r="E652" s="1127" t="s">
        <v>50</v>
      </c>
      <c r="F652" s="1127" t="s">
        <v>258</v>
      </c>
      <c r="G652" s="1127" t="s">
        <v>36</v>
      </c>
      <c r="H652" s="139">
        <v>5797097</v>
      </c>
      <c r="I652" s="1127">
        <v>4523844077</v>
      </c>
      <c r="J652" s="1127">
        <v>4</v>
      </c>
      <c r="K652" s="1143"/>
      <c r="L652" s="1143"/>
      <c r="M652" s="1143"/>
      <c r="N652" s="1143"/>
      <c r="O652" s="1143"/>
      <c r="P652" s="1143"/>
      <c r="Q652" s="1143"/>
      <c r="R652" s="1143"/>
      <c r="S652" s="1143"/>
      <c r="T652" s="1143"/>
      <c r="U652" s="1143"/>
      <c r="V652" s="1143"/>
      <c r="W652" s="1145"/>
    </row>
    <row r="653" spans="1:23" customFormat="1" ht="16.5" customHeight="1">
      <c r="A653" s="134" t="s">
        <v>167</v>
      </c>
      <c r="B653" s="135">
        <v>35</v>
      </c>
      <c r="C653" s="136">
        <v>46261</v>
      </c>
      <c r="D653" s="137" t="s">
        <v>145</v>
      </c>
      <c r="E653" s="1127" t="s">
        <v>50</v>
      </c>
      <c r="F653" s="1127" t="s">
        <v>258</v>
      </c>
      <c r="G653" s="1127" t="s">
        <v>32</v>
      </c>
      <c r="H653" s="139">
        <v>5797095</v>
      </c>
      <c r="I653" s="1127">
        <v>4523844077</v>
      </c>
      <c r="J653" s="1127">
        <v>4</v>
      </c>
      <c r="K653" s="1143"/>
      <c r="L653" s="1143"/>
      <c r="M653" s="1143"/>
      <c r="N653" s="1143"/>
      <c r="O653" s="1143"/>
      <c r="P653" s="1143"/>
      <c r="Q653" s="1143"/>
      <c r="R653" s="1143"/>
      <c r="S653" s="1143"/>
      <c r="T653" s="1143"/>
      <c r="U653" s="1143"/>
      <c r="V653" s="1143"/>
      <c r="W653" s="1145"/>
    </row>
    <row r="654" spans="1:23" customFormat="1" ht="16.5" customHeight="1">
      <c r="A654" s="134" t="s">
        <v>167</v>
      </c>
      <c r="B654" s="135">
        <v>35</v>
      </c>
      <c r="C654" s="136">
        <v>46261</v>
      </c>
      <c r="D654" s="137" t="s">
        <v>145</v>
      </c>
      <c r="E654" s="1127" t="s">
        <v>50</v>
      </c>
      <c r="F654" s="1127" t="s">
        <v>258</v>
      </c>
      <c r="G654" s="1127" t="s">
        <v>28</v>
      </c>
      <c r="H654" s="139">
        <v>5797096</v>
      </c>
      <c r="I654" s="1127">
        <v>4523844077</v>
      </c>
      <c r="J654" s="1127">
        <v>4</v>
      </c>
      <c r="K654" s="1143"/>
      <c r="L654" s="1143"/>
      <c r="M654" s="1143"/>
      <c r="N654" s="1143"/>
      <c r="O654" s="1143"/>
      <c r="P654" s="1143"/>
      <c r="Q654" s="1143"/>
      <c r="R654" s="1143"/>
      <c r="S654" s="1143"/>
      <c r="T654" s="1143"/>
      <c r="U654" s="1143"/>
      <c r="V654" s="1143"/>
      <c r="W654" s="1145"/>
    </row>
    <row r="655" spans="1:23" customFormat="1" ht="16.5" customHeight="1" thickBot="1">
      <c r="A655" s="116" t="s">
        <v>167</v>
      </c>
      <c r="B655" s="141">
        <v>35</v>
      </c>
      <c r="C655" s="142">
        <v>46261</v>
      </c>
      <c r="D655" s="143" t="s">
        <v>142</v>
      </c>
      <c r="E655" s="1128" t="s">
        <v>387</v>
      </c>
      <c r="F655" s="1128" t="s">
        <v>283</v>
      </c>
      <c r="G655" s="1128" t="s">
        <v>32</v>
      </c>
      <c r="H655" s="145">
        <v>5535144</v>
      </c>
      <c r="I655" s="1128" t="s">
        <v>992</v>
      </c>
      <c r="J655" s="1128">
        <v>80</v>
      </c>
      <c r="K655" s="1128">
        <v>1</v>
      </c>
      <c r="L655" s="1128"/>
      <c r="M655" s="1128">
        <v>0</v>
      </c>
      <c r="N655" s="1128" t="s">
        <v>149</v>
      </c>
      <c r="O655" s="1128"/>
      <c r="P655" s="1128"/>
      <c r="Q655" s="1128"/>
      <c r="R655" s="1128"/>
      <c r="S655" s="1128"/>
      <c r="T655" s="1128"/>
      <c r="U655" s="1128"/>
      <c r="V655" s="1128"/>
      <c r="W655" s="1129"/>
    </row>
    <row r="656" spans="1:23" customFormat="1" ht="16.5" customHeight="1">
      <c r="A656" s="219" t="s">
        <v>167</v>
      </c>
      <c r="B656" s="214">
        <v>35</v>
      </c>
      <c r="C656" s="215">
        <v>46262</v>
      </c>
      <c r="D656" s="216" t="s">
        <v>142</v>
      </c>
      <c r="E656" s="1130" t="s">
        <v>387</v>
      </c>
      <c r="F656" s="1130" t="s">
        <v>282</v>
      </c>
      <c r="G656" s="1130" t="s">
        <v>28</v>
      </c>
      <c r="H656" s="217">
        <v>5535141</v>
      </c>
      <c r="I656" s="1130" t="s">
        <v>993</v>
      </c>
      <c r="J656" s="1130">
        <v>48</v>
      </c>
      <c r="K656" s="1165">
        <v>1</v>
      </c>
      <c r="L656" s="1165">
        <v>5</v>
      </c>
      <c r="M656" s="1165">
        <v>1</v>
      </c>
      <c r="N656" s="1165" t="s">
        <v>149</v>
      </c>
      <c r="O656" s="1165" t="s">
        <v>48</v>
      </c>
      <c r="P656" s="1165" t="s">
        <v>30</v>
      </c>
      <c r="Q656" s="1165" t="s">
        <v>1002</v>
      </c>
      <c r="R656" s="1165" t="s">
        <v>31</v>
      </c>
      <c r="S656" s="1165" t="s">
        <v>184</v>
      </c>
      <c r="T656" s="1165" t="s">
        <v>185</v>
      </c>
      <c r="U656" s="1165"/>
      <c r="V656" s="1165" t="s">
        <v>149</v>
      </c>
      <c r="W656" s="1167">
        <v>1</v>
      </c>
    </row>
    <row r="657" spans="1:23" customFormat="1" ht="16.5" customHeight="1">
      <c r="A657" s="134" t="s">
        <v>167</v>
      </c>
      <c r="B657" s="135">
        <v>35</v>
      </c>
      <c r="C657" s="136">
        <v>46262</v>
      </c>
      <c r="D657" s="137" t="s">
        <v>142</v>
      </c>
      <c r="E657" s="1127" t="s">
        <v>387</v>
      </c>
      <c r="F657" s="1127" t="s">
        <v>282</v>
      </c>
      <c r="G657" s="1127" t="s">
        <v>28</v>
      </c>
      <c r="H657" s="139">
        <v>5535141</v>
      </c>
      <c r="I657" s="1127" t="s">
        <v>994</v>
      </c>
      <c r="J657" s="1127">
        <v>22</v>
      </c>
      <c r="K657" s="1143"/>
      <c r="L657" s="1143"/>
      <c r="M657" s="1143"/>
      <c r="N657" s="1143"/>
      <c r="O657" s="1143"/>
      <c r="P657" s="1143"/>
      <c r="Q657" s="1143"/>
      <c r="R657" s="1143"/>
      <c r="S657" s="1143"/>
      <c r="T657" s="1143"/>
      <c r="U657" s="1143"/>
      <c r="V657" s="1143"/>
      <c r="W657" s="1145"/>
    </row>
    <row r="658" spans="1:23" customFormat="1" ht="16.5" customHeight="1">
      <c r="A658" s="134" t="s">
        <v>167</v>
      </c>
      <c r="B658" s="135">
        <v>35</v>
      </c>
      <c r="C658" s="136">
        <v>46262</v>
      </c>
      <c r="D658" s="137" t="s">
        <v>142</v>
      </c>
      <c r="E658" s="1127" t="s">
        <v>387</v>
      </c>
      <c r="F658" s="1127" t="s">
        <v>282</v>
      </c>
      <c r="G658" s="1127" t="s">
        <v>32</v>
      </c>
      <c r="H658" s="139">
        <v>5535140</v>
      </c>
      <c r="I658" s="1127" t="s">
        <v>995</v>
      </c>
      <c r="J658" s="1127">
        <v>40</v>
      </c>
      <c r="K658" s="1143"/>
      <c r="L658" s="1143"/>
      <c r="M658" s="1143"/>
      <c r="N658" s="1143"/>
      <c r="O658" s="1143"/>
      <c r="P658" s="1143"/>
      <c r="Q658" s="1143"/>
      <c r="R658" s="1143"/>
      <c r="S658" s="1143"/>
      <c r="T658" s="1143"/>
      <c r="U658" s="1143"/>
      <c r="V658" s="1143"/>
      <c r="W658" s="1145"/>
    </row>
    <row r="659" spans="1:23" customFormat="1" ht="16.5" customHeight="1">
      <c r="A659" s="134" t="s">
        <v>167</v>
      </c>
      <c r="B659" s="135">
        <v>35</v>
      </c>
      <c r="C659" s="136">
        <v>46262</v>
      </c>
      <c r="D659" s="137" t="s">
        <v>142</v>
      </c>
      <c r="E659" s="1127" t="s">
        <v>387</v>
      </c>
      <c r="F659" s="1127" t="s">
        <v>282</v>
      </c>
      <c r="G659" s="1127" t="s">
        <v>32</v>
      </c>
      <c r="H659" s="139">
        <v>5535140</v>
      </c>
      <c r="I659" s="1127" t="s">
        <v>996</v>
      </c>
      <c r="J659" s="1127">
        <v>40</v>
      </c>
      <c r="K659" s="1143"/>
      <c r="L659" s="1143"/>
      <c r="M659" s="1143"/>
      <c r="N659" s="1143"/>
      <c r="O659" s="1143"/>
      <c r="P659" s="1143"/>
      <c r="Q659" s="1143"/>
      <c r="R659" s="1143"/>
      <c r="S659" s="1143"/>
      <c r="T659" s="1143"/>
      <c r="U659" s="1143"/>
      <c r="V659" s="1143"/>
      <c r="W659" s="1145"/>
    </row>
    <row r="660" spans="1:23" customFormat="1" ht="16.5" customHeight="1" thickBot="1">
      <c r="A660" s="116" t="s">
        <v>167</v>
      </c>
      <c r="B660" s="141">
        <v>35</v>
      </c>
      <c r="C660" s="142">
        <v>46262</v>
      </c>
      <c r="D660" s="143" t="s">
        <v>142</v>
      </c>
      <c r="E660" s="1128" t="s">
        <v>386</v>
      </c>
      <c r="F660" s="1128" t="s">
        <v>273</v>
      </c>
      <c r="G660" s="1128" t="s">
        <v>28</v>
      </c>
      <c r="H660" s="145">
        <v>5535134</v>
      </c>
      <c r="I660" s="1128" t="s">
        <v>997</v>
      </c>
      <c r="J660" s="1128">
        <v>100</v>
      </c>
      <c r="K660" s="1128">
        <v>1</v>
      </c>
      <c r="L660" s="1128">
        <v>5</v>
      </c>
      <c r="M660" s="1128">
        <v>1</v>
      </c>
      <c r="N660" s="1128" t="s">
        <v>149</v>
      </c>
      <c r="O660" s="1128" t="s">
        <v>299</v>
      </c>
      <c r="P660" s="1128" t="s">
        <v>64</v>
      </c>
      <c r="Q660" s="1128" t="s">
        <v>1003</v>
      </c>
      <c r="R660" s="1128" t="s">
        <v>31</v>
      </c>
      <c r="S660" s="1128" t="s">
        <v>301</v>
      </c>
      <c r="T660" s="1128" t="s">
        <v>185</v>
      </c>
      <c r="U660" s="1128"/>
      <c r="V660" s="1128" t="s">
        <v>149</v>
      </c>
      <c r="W660" s="1129">
        <v>1</v>
      </c>
    </row>
    <row r="661" spans="1:23" customFormat="1" ht="16.5" customHeight="1">
      <c r="A661" s="1137" t="s">
        <v>167</v>
      </c>
      <c r="B661" s="64">
        <v>35</v>
      </c>
      <c r="C661" s="65">
        <v>46263</v>
      </c>
      <c r="D661" s="66" t="s">
        <v>142</v>
      </c>
      <c r="E661" s="1126" t="s">
        <v>386</v>
      </c>
      <c r="F661" s="1126" t="s">
        <v>273</v>
      </c>
      <c r="G661" s="1126" t="s">
        <v>28</v>
      </c>
      <c r="H661" s="163">
        <v>5535134</v>
      </c>
      <c r="I661" s="1126" t="s">
        <v>998</v>
      </c>
      <c r="J661" s="1126">
        <v>100</v>
      </c>
      <c r="K661" s="1328">
        <v>1</v>
      </c>
      <c r="L661" s="1328">
        <v>5</v>
      </c>
      <c r="M661" s="1328">
        <v>1</v>
      </c>
      <c r="N661" s="1328" t="s">
        <v>149</v>
      </c>
      <c r="O661" s="1328" t="s">
        <v>39</v>
      </c>
      <c r="P661" s="1328" t="s">
        <v>40</v>
      </c>
      <c r="Q661" s="1328" t="s">
        <v>316</v>
      </c>
      <c r="R661" s="1328" t="s">
        <v>31</v>
      </c>
      <c r="S661" s="1328" t="s">
        <v>184</v>
      </c>
      <c r="T661" s="1328" t="s">
        <v>185</v>
      </c>
      <c r="U661" s="1328"/>
      <c r="V661" s="1328" t="s">
        <v>149</v>
      </c>
      <c r="W661" s="1329">
        <v>1</v>
      </c>
    </row>
    <row r="662" spans="1:23" customFormat="1" ht="16.5" customHeight="1">
      <c r="A662" s="134" t="s">
        <v>167</v>
      </c>
      <c r="B662" s="135">
        <v>35</v>
      </c>
      <c r="C662" s="136">
        <v>46263</v>
      </c>
      <c r="D662" s="137" t="s">
        <v>142</v>
      </c>
      <c r="E662" s="1127" t="s">
        <v>386</v>
      </c>
      <c r="F662" s="1127" t="s">
        <v>274</v>
      </c>
      <c r="G662" s="1127" t="s">
        <v>28</v>
      </c>
      <c r="H662" s="139">
        <v>5535130</v>
      </c>
      <c r="I662" s="1127" t="s">
        <v>999</v>
      </c>
      <c r="J662" s="1127">
        <v>72</v>
      </c>
      <c r="K662" s="1150"/>
      <c r="L662" s="1150"/>
      <c r="M662" s="1150"/>
      <c r="N662" s="1150"/>
      <c r="O662" s="1150"/>
      <c r="P662" s="1150"/>
      <c r="Q662" s="1150"/>
      <c r="R662" s="1150"/>
      <c r="S662" s="1150"/>
      <c r="T662" s="1150"/>
      <c r="U662" s="1150"/>
      <c r="V662" s="1150"/>
      <c r="W662" s="1151"/>
    </row>
    <row r="663" spans="1:23" customFormat="1" ht="16.5" customHeight="1">
      <c r="A663" s="134" t="s">
        <v>167</v>
      </c>
      <c r="B663" s="135">
        <v>35</v>
      </c>
      <c r="C663" s="136">
        <v>46263</v>
      </c>
      <c r="D663" s="137" t="s">
        <v>142</v>
      </c>
      <c r="E663" s="1127" t="s">
        <v>386</v>
      </c>
      <c r="F663" s="1127" t="s">
        <v>274</v>
      </c>
      <c r="G663" s="1127" t="s">
        <v>28</v>
      </c>
      <c r="H663" s="139">
        <v>5535130</v>
      </c>
      <c r="I663" s="1127" t="s">
        <v>1000</v>
      </c>
      <c r="J663" s="1127">
        <v>30</v>
      </c>
      <c r="K663" s="1150"/>
      <c r="L663" s="1150"/>
      <c r="M663" s="1150"/>
      <c r="N663" s="1150"/>
      <c r="O663" s="1150"/>
      <c r="P663" s="1150"/>
      <c r="Q663" s="1150"/>
      <c r="R663" s="1150"/>
      <c r="S663" s="1150"/>
      <c r="T663" s="1150"/>
      <c r="U663" s="1150"/>
      <c r="V663" s="1150"/>
      <c r="W663" s="1151"/>
    </row>
    <row r="664" spans="1:23" customFormat="1" ht="16.5" customHeight="1" thickBot="1">
      <c r="A664" s="116" t="s">
        <v>167</v>
      </c>
      <c r="B664" s="141">
        <v>35</v>
      </c>
      <c r="C664" s="142">
        <v>46263</v>
      </c>
      <c r="D664" s="143" t="s">
        <v>142</v>
      </c>
      <c r="E664" s="1128" t="s">
        <v>386</v>
      </c>
      <c r="F664" s="1128" t="s">
        <v>274</v>
      </c>
      <c r="G664" s="1128" t="s">
        <v>32</v>
      </c>
      <c r="H664" s="145">
        <v>5535129</v>
      </c>
      <c r="I664" s="1128" t="s">
        <v>1001</v>
      </c>
      <c r="J664" s="1128">
        <v>100</v>
      </c>
      <c r="K664" s="1147"/>
      <c r="L664" s="1147"/>
      <c r="M664" s="1147"/>
      <c r="N664" s="1147"/>
      <c r="O664" s="1147"/>
      <c r="P664" s="1147"/>
      <c r="Q664" s="1147"/>
      <c r="R664" s="1147"/>
      <c r="S664" s="1147"/>
      <c r="T664" s="1147"/>
      <c r="U664" s="1147"/>
      <c r="V664" s="1147"/>
      <c r="W664" s="1149"/>
    </row>
    <row r="665" spans="1:23" customFormat="1" ht="16.5" customHeight="1">
      <c r="A665" s="1137" t="s">
        <v>167</v>
      </c>
      <c r="B665" s="64">
        <v>36</v>
      </c>
      <c r="C665" s="65">
        <v>46265</v>
      </c>
      <c r="D665" s="66" t="s">
        <v>142</v>
      </c>
      <c r="E665" s="1138" t="s">
        <v>386</v>
      </c>
      <c r="F665" s="1138" t="s">
        <v>274</v>
      </c>
      <c r="G665" s="1138" t="s">
        <v>32</v>
      </c>
      <c r="H665" s="163">
        <v>5535129</v>
      </c>
      <c r="I665" s="1138" t="s">
        <v>1004</v>
      </c>
      <c r="J665" s="1138">
        <v>100</v>
      </c>
      <c r="K665" s="1138">
        <v>1</v>
      </c>
      <c r="L665" s="1138"/>
      <c r="M665" s="1138">
        <v>0</v>
      </c>
      <c r="N665" s="1138" t="s">
        <v>149</v>
      </c>
      <c r="O665" s="1138"/>
      <c r="P665" s="1138"/>
      <c r="Q665" s="1138"/>
      <c r="R665" s="1138"/>
      <c r="S665" s="1138"/>
      <c r="T665" s="1138"/>
      <c r="U665" s="1138"/>
      <c r="V665" s="1138"/>
      <c r="W665" s="1140"/>
    </row>
    <row r="666" spans="1:23" customFormat="1" ht="16.5" customHeight="1" thickBot="1">
      <c r="A666" s="116" t="s">
        <v>167</v>
      </c>
      <c r="B666" s="141">
        <v>36</v>
      </c>
      <c r="C666" s="142">
        <v>46265</v>
      </c>
      <c r="D666" s="143" t="s">
        <v>142</v>
      </c>
      <c r="E666" s="1139" t="s">
        <v>232</v>
      </c>
      <c r="F666" s="1139" t="s">
        <v>266</v>
      </c>
      <c r="G666" s="1139" t="s">
        <v>37</v>
      </c>
      <c r="H666" s="145">
        <v>5766065</v>
      </c>
      <c r="I666" s="1139" t="s">
        <v>1005</v>
      </c>
      <c r="J666" s="1139">
        <v>120</v>
      </c>
      <c r="K666" s="1139">
        <v>1</v>
      </c>
      <c r="L666" s="1139"/>
      <c r="M666" s="1139">
        <v>0</v>
      </c>
      <c r="N666" s="1139" t="s">
        <v>149</v>
      </c>
      <c r="O666" s="1139"/>
      <c r="P666" s="1139"/>
      <c r="Q666" s="1139"/>
      <c r="R666" s="1139"/>
      <c r="S666" s="1139"/>
      <c r="T666" s="1139"/>
      <c r="U666" s="1139"/>
      <c r="V666" s="1139"/>
      <c r="W666" s="1141"/>
    </row>
  </sheetData>
  <sheetProtection selectLockedCells="1" selectUnlockedCells="1"/>
  <autoFilter ref="A3:W659" xr:uid="{00000000-0001-0000-0000-000000000000}"/>
  <mergeCells count="2311">
    <mergeCell ref="K656:K659"/>
    <mergeCell ref="L656:L659"/>
    <mergeCell ref="M656:M659"/>
    <mergeCell ref="N656:N659"/>
    <mergeCell ref="O656:O659"/>
    <mergeCell ref="P656:P659"/>
    <mergeCell ref="Q656:Q659"/>
    <mergeCell ref="R656:R659"/>
    <mergeCell ref="S656:S659"/>
    <mergeCell ref="T656:T659"/>
    <mergeCell ref="U656:U659"/>
    <mergeCell ref="V656:V659"/>
    <mergeCell ref="W656:W659"/>
    <mergeCell ref="K661:K664"/>
    <mergeCell ref="L661:L664"/>
    <mergeCell ref="M661:M664"/>
    <mergeCell ref="N661:N664"/>
    <mergeCell ref="O661:O664"/>
    <mergeCell ref="P661:P664"/>
    <mergeCell ref="Q661:Q664"/>
    <mergeCell ref="R661:R664"/>
    <mergeCell ref="S661:S664"/>
    <mergeCell ref="T661:T664"/>
    <mergeCell ref="U661:U664"/>
    <mergeCell ref="V661:V664"/>
    <mergeCell ref="W661:W664"/>
    <mergeCell ref="W639:W643"/>
    <mergeCell ref="W623:W624"/>
    <mergeCell ref="K609:K612"/>
    <mergeCell ref="L609:L612"/>
    <mergeCell ref="M609:M612"/>
    <mergeCell ref="N609:N612"/>
    <mergeCell ref="O609:O612"/>
    <mergeCell ref="P609:P612"/>
    <mergeCell ref="Q609:Q612"/>
    <mergeCell ref="R609:R612"/>
    <mergeCell ref="S609:S612"/>
    <mergeCell ref="T609:T612"/>
    <mergeCell ref="U609:U612"/>
    <mergeCell ref="V609:V612"/>
    <mergeCell ref="W609:W612"/>
    <mergeCell ref="K613:K614"/>
    <mergeCell ref="L613:L614"/>
    <mergeCell ref="M613:M614"/>
    <mergeCell ref="N613:N614"/>
    <mergeCell ref="O613:O614"/>
    <mergeCell ref="P613:P614"/>
    <mergeCell ref="T590:T592"/>
    <mergeCell ref="U590:U592"/>
    <mergeCell ref="V590:V592"/>
    <mergeCell ref="W590:W592"/>
    <mergeCell ref="Q613:Q614"/>
    <mergeCell ref="R613:R614"/>
    <mergeCell ref="S613:S614"/>
    <mergeCell ref="T613:T614"/>
    <mergeCell ref="U613:U614"/>
    <mergeCell ref="V613:V614"/>
    <mergeCell ref="W613:W614"/>
    <mergeCell ref="K599:K600"/>
    <mergeCell ref="L599:L600"/>
    <mergeCell ref="M599:M600"/>
    <mergeCell ref="N599:N600"/>
    <mergeCell ref="O599:O600"/>
    <mergeCell ref="P599:P600"/>
    <mergeCell ref="Q599:Q600"/>
    <mergeCell ref="R599:R600"/>
    <mergeCell ref="S599:S600"/>
    <mergeCell ref="T599:T600"/>
    <mergeCell ref="U599:U600"/>
    <mergeCell ref="V599:V600"/>
    <mergeCell ref="W599:W600"/>
    <mergeCell ref="Q604:Q607"/>
    <mergeCell ref="R604:R607"/>
    <mergeCell ref="S604:S607"/>
    <mergeCell ref="T604:T607"/>
    <mergeCell ref="U604:U607"/>
    <mergeCell ref="V604:V607"/>
    <mergeCell ref="W604:W607"/>
    <mergeCell ref="K568:K569"/>
    <mergeCell ref="L568:L569"/>
    <mergeCell ref="M568:M569"/>
    <mergeCell ref="N568:N569"/>
    <mergeCell ref="U593:U595"/>
    <mergeCell ref="V593:V595"/>
    <mergeCell ref="W593:W595"/>
    <mergeCell ref="K571:K572"/>
    <mergeCell ref="W571:W572"/>
    <mergeCell ref="N573:N574"/>
    <mergeCell ref="O573:O574"/>
    <mergeCell ref="P573:P574"/>
    <mergeCell ref="Q573:Q574"/>
    <mergeCell ref="R573:R574"/>
    <mergeCell ref="S573:S574"/>
    <mergeCell ref="T573:T574"/>
    <mergeCell ref="U573:U574"/>
    <mergeCell ref="V573:V574"/>
    <mergeCell ref="W573:W574"/>
    <mergeCell ref="K581:K582"/>
    <mergeCell ref="K584:K586"/>
    <mergeCell ref="L581:L582"/>
    <mergeCell ref="M581:M582"/>
    <mergeCell ref="K590:K592"/>
    <mergeCell ref="L590:L592"/>
    <mergeCell ref="M590:M592"/>
    <mergeCell ref="N590:N592"/>
    <mergeCell ref="O590:O592"/>
    <mergeCell ref="P590:P592"/>
    <mergeCell ref="Q590:Q592"/>
    <mergeCell ref="R590:R592"/>
    <mergeCell ref="S590:S592"/>
    <mergeCell ref="K559:K561"/>
    <mergeCell ref="L559:L561"/>
    <mergeCell ref="M559:M561"/>
    <mergeCell ref="N559:N561"/>
    <mergeCell ref="O559:O561"/>
    <mergeCell ref="P559:P561"/>
    <mergeCell ref="Q559:Q561"/>
    <mergeCell ref="R559:R561"/>
    <mergeCell ref="S559:S561"/>
    <mergeCell ref="T559:T561"/>
    <mergeCell ref="U559:U561"/>
    <mergeCell ref="V559:V561"/>
    <mergeCell ref="W559:W561"/>
    <mergeCell ref="M564:M565"/>
    <mergeCell ref="N564:N565"/>
    <mergeCell ref="O564:O565"/>
    <mergeCell ref="P564:P565"/>
    <mergeCell ref="K562:K563"/>
    <mergeCell ref="L562:L563"/>
    <mergeCell ref="M562:M563"/>
    <mergeCell ref="N562:N563"/>
    <mergeCell ref="O562:O563"/>
    <mergeCell ref="P562:P563"/>
    <mergeCell ref="Q562:Q563"/>
    <mergeCell ref="R562:R563"/>
    <mergeCell ref="S562:S563"/>
    <mergeCell ref="T562:T563"/>
    <mergeCell ref="U562:U563"/>
    <mergeCell ref="V562:V563"/>
    <mergeCell ref="W562:W563"/>
    <mergeCell ref="R546:R548"/>
    <mergeCell ref="S546:S548"/>
    <mergeCell ref="T546:T548"/>
    <mergeCell ref="U546:U548"/>
    <mergeCell ref="V546:V548"/>
    <mergeCell ref="W546:W548"/>
    <mergeCell ref="L549:L555"/>
    <mergeCell ref="M549:M555"/>
    <mergeCell ref="N549:N555"/>
    <mergeCell ref="O549:O555"/>
    <mergeCell ref="O568:O569"/>
    <mergeCell ref="P568:P569"/>
    <mergeCell ref="P566:P567"/>
    <mergeCell ref="Q566:Q567"/>
    <mergeCell ref="R566:R567"/>
    <mergeCell ref="S566:S567"/>
    <mergeCell ref="T566:T567"/>
    <mergeCell ref="U566:U567"/>
    <mergeCell ref="V566:V567"/>
    <mergeCell ref="W566:W567"/>
    <mergeCell ref="Q568:Q569"/>
    <mergeCell ref="R568:R569"/>
    <mergeCell ref="S568:S569"/>
    <mergeCell ref="T568:T569"/>
    <mergeCell ref="U568:U569"/>
    <mergeCell ref="V568:V569"/>
    <mergeCell ref="W568:W569"/>
    <mergeCell ref="V564:V565"/>
    <mergeCell ref="W564:W565"/>
    <mergeCell ref="W496:W497"/>
    <mergeCell ref="L498:L500"/>
    <mergeCell ref="M498:M500"/>
    <mergeCell ref="N498:N500"/>
    <mergeCell ref="M496:M497"/>
    <mergeCell ref="P549:P555"/>
    <mergeCell ref="Q549:Q555"/>
    <mergeCell ref="R549:R555"/>
    <mergeCell ref="S549:S555"/>
    <mergeCell ref="T549:T555"/>
    <mergeCell ref="U549:U555"/>
    <mergeCell ref="V549:V555"/>
    <mergeCell ref="W549:W555"/>
    <mergeCell ref="K540:K541"/>
    <mergeCell ref="L540:L541"/>
    <mergeCell ref="M540:M541"/>
    <mergeCell ref="N540:N541"/>
    <mergeCell ref="O540:O541"/>
    <mergeCell ref="V523:V524"/>
    <mergeCell ref="W523:W524"/>
    <mergeCell ref="N523:N524"/>
    <mergeCell ref="O523:O524"/>
    <mergeCell ref="P523:P524"/>
    <mergeCell ref="V520:V522"/>
    <mergeCell ref="W520:W522"/>
    <mergeCell ref="L523:L524"/>
    <mergeCell ref="M523:M524"/>
    <mergeCell ref="V538:V539"/>
    <mergeCell ref="W538:W539"/>
    <mergeCell ref="V540:V541"/>
    <mergeCell ref="W540:W541"/>
    <mergeCell ref="K528:K534"/>
    <mergeCell ref="T457:T460"/>
    <mergeCell ref="U457:U460"/>
    <mergeCell ref="M467:M468"/>
    <mergeCell ref="N467:N468"/>
    <mergeCell ref="O467:O468"/>
    <mergeCell ref="P467:P468"/>
    <mergeCell ref="Q467:Q468"/>
    <mergeCell ref="T467:T468"/>
    <mergeCell ref="U467:U468"/>
    <mergeCell ref="W517:W519"/>
    <mergeCell ref="W475:W481"/>
    <mergeCell ref="W490:W492"/>
    <mergeCell ref="U483:U484"/>
    <mergeCell ref="M483:M484"/>
    <mergeCell ref="O487:O489"/>
    <mergeCell ref="P487:P489"/>
    <mergeCell ref="M502:M507"/>
    <mergeCell ref="N502:N507"/>
    <mergeCell ref="O502:O507"/>
    <mergeCell ref="P502:P507"/>
    <mergeCell ref="Q498:Q500"/>
    <mergeCell ref="V490:V492"/>
    <mergeCell ref="R498:R500"/>
    <mergeCell ref="S498:S500"/>
    <mergeCell ref="V498:V500"/>
    <mergeCell ref="W498:W500"/>
    <mergeCell ref="V494:V495"/>
    <mergeCell ref="U487:U489"/>
    <mergeCell ref="W494:W495"/>
    <mergeCell ref="V511:V513"/>
    <mergeCell ref="W511:W513"/>
    <mergeCell ref="M514:M516"/>
    <mergeCell ref="V475:V481"/>
    <mergeCell ref="L517:L519"/>
    <mergeCell ref="M517:M519"/>
    <mergeCell ref="N517:N519"/>
    <mergeCell ref="O517:O519"/>
    <mergeCell ref="P517:P519"/>
    <mergeCell ref="Q517:Q519"/>
    <mergeCell ref="R517:R519"/>
    <mergeCell ref="S517:S519"/>
    <mergeCell ref="T517:T519"/>
    <mergeCell ref="U517:U519"/>
    <mergeCell ref="V517:V519"/>
    <mergeCell ref="R496:R497"/>
    <mergeCell ref="S496:S497"/>
    <mergeCell ref="T496:T497"/>
    <mergeCell ref="U496:U497"/>
    <mergeCell ref="V496:V497"/>
    <mergeCell ref="V483:V484"/>
    <mergeCell ref="L487:L489"/>
    <mergeCell ref="L514:L516"/>
    <mergeCell ref="N514:N516"/>
    <mergeCell ref="O514:O516"/>
    <mergeCell ref="P514:P516"/>
    <mergeCell ref="Q502:Q507"/>
    <mergeCell ref="R502:R507"/>
    <mergeCell ref="S502:S507"/>
    <mergeCell ref="L502:L507"/>
    <mergeCell ref="K490:K492"/>
    <mergeCell ref="L490:L492"/>
    <mergeCell ref="M490:M492"/>
    <mergeCell ref="N490:N492"/>
    <mergeCell ref="O490:O492"/>
    <mergeCell ref="U490:U492"/>
    <mergeCell ref="S494:S495"/>
    <mergeCell ref="T494:T495"/>
    <mergeCell ref="U494:U495"/>
    <mergeCell ref="S490:S492"/>
    <mergeCell ref="T490:T492"/>
    <mergeCell ref="L457:L460"/>
    <mergeCell ref="W455:W456"/>
    <mergeCell ref="U469:U473"/>
    <mergeCell ref="V469:V473"/>
    <mergeCell ref="W469:W473"/>
    <mergeCell ref="T469:T473"/>
    <mergeCell ref="R469:R473"/>
    <mergeCell ref="M487:M489"/>
    <mergeCell ref="N487:N489"/>
    <mergeCell ref="K475:K481"/>
    <mergeCell ref="L475:L481"/>
    <mergeCell ref="M475:M481"/>
    <mergeCell ref="N475:N481"/>
    <mergeCell ref="O475:O481"/>
    <mergeCell ref="P475:P481"/>
    <mergeCell ref="Q475:Q481"/>
    <mergeCell ref="K467:K468"/>
    <mergeCell ref="L467:L468"/>
    <mergeCell ref="R475:R481"/>
    <mergeCell ref="S475:S481"/>
    <mergeCell ref="R455:R456"/>
    <mergeCell ref="U455:U456"/>
    <mergeCell ref="V455:V456"/>
    <mergeCell ref="Q487:Q489"/>
    <mergeCell ref="R487:R489"/>
    <mergeCell ref="T475:T481"/>
    <mergeCell ref="K483:K484"/>
    <mergeCell ref="K487:K489"/>
    <mergeCell ref="V487:V489"/>
    <mergeCell ref="W487:W489"/>
    <mergeCell ref="W483:W484"/>
    <mergeCell ref="U475:U481"/>
    <mergeCell ref="M435:M437"/>
    <mergeCell ref="N435:N437"/>
    <mergeCell ref="O435:O437"/>
    <mergeCell ref="P435:P437"/>
    <mergeCell ref="Q435:Q437"/>
    <mergeCell ref="U438:U439"/>
    <mergeCell ref="V438:V439"/>
    <mergeCell ref="W438:W439"/>
    <mergeCell ref="L448:L449"/>
    <mergeCell ref="M448:M449"/>
    <mergeCell ref="N448:N449"/>
    <mergeCell ref="O461:O463"/>
    <mergeCell ref="P461:P463"/>
    <mergeCell ref="U461:U463"/>
    <mergeCell ref="R457:R460"/>
    <mergeCell ref="S457:S460"/>
    <mergeCell ref="W451:W452"/>
    <mergeCell ref="L453:L454"/>
    <mergeCell ref="M453:M454"/>
    <mergeCell ref="S455:S456"/>
    <mergeCell ref="T455:T456"/>
    <mergeCell ref="N453:N454"/>
    <mergeCell ref="O453:O454"/>
    <mergeCell ref="P453:P454"/>
    <mergeCell ref="Q453:Q454"/>
    <mergeCell ref="R453:R454"/>
    <mergeCell ref="U451:U452"/>
    <mergeCell ref="V451:V452"/>
    <mergeCell ref="V457:V460"/>
    <mergeCell ref="W457:W460"/>
    <mergeCell ref="M457:M460"/>
    <mergeCell ref="N457:N460"/>
    <mergeCell ref="W429:W431"/>
    <mergeCell ref="S448:S449"/>
    <mergeCell ref="T448:T449"/>
    <mergeCell ref="U448:U449"/>
    <mergeCell ref="V448:V449"/>
    <mergeCell ref="W448:W449"/>
    <mergeCell ref="U440:U442"/>
    <mergeCell ref="V440:V442"/>
    <mergeCell ref="Q440:Q442"/>
    <mergeCell ref="R440:R442"/>
    <mergeCell ref="S440:S442"/>
    <mergeCell ref="T440:T442"/>
    <mergeCell ref="Q443:Q445"/>
    <mergeCell ref="R443:R445"/>
    <mergeCell ref="S443:S445"/>
    <mergeCell ref="T443:T445"/>
    <mergeCell ref="U443:U445"/>
    <mergeCell ref="V443:V445"/>
    <mergeCell ref="W443:W445"/>
    <mergeCell ref="R448:R449"/>
    <mergeCell ref="W440:W442"/>
    <mergeCell ref="T435:T437"/>
    <mergeCell ref="U435:U437"/>
    <mergeCell ref="V435:V437"/>
    <mergeCell ref="W435:W437"/>
    <mergeCell ref="M427:M428"/>
    <mergeCell ref="N427:N428"/>
    <mergeCell ref="O427:O428"/>
    <mergeCell ref="P427:P428"/>
    <mergeCell ref="Q427:Q428"/>
    <mergeCell ref="R427:R428"/>
    <mergeCell ref="S427:S428"/>
    <mergeCell ref="T427:T428"/>
    <mergeCell ref="U427:U428"/>
    <mergeCell ref="V427:V428"/>
    <mergeCell ref="W427:W428"/>
    <mergeCell ref="O432:O434"/>
    <mergeCell ref="P432:P434"/>
    <mergeCell ref="Q432:Q434"/>
    <mergeCell ref="R432:R434"/>
    <mergeCell ref="S432:S434"/>
    <mergeCell ref="T432:T434"/>
    <mergeCell ref="K413:K414"/>
    <mergeCell ref="L413:L414"/>
    <mergeCell ref="M413:M414"/>
    <mergeCell ref="N413:N414"/>
    <mergeCell ref="O413:O414"/>
    <mergeCell ref="U432:U434"/>
    <mergeCell ref="V432:V434"/>
    <mergeCell ref="V413:V414"/>
    <mergeCell ref="K421:K422"/>
    <mergeCell ref="L421:L422"/>
    <mergeCell ref="M421:M422"/>
    <mergeCell ref="N421:N422"/>
    <mergeCell ref="O421:O422"/>
    <mergeCell ref="P421:P422"/>
    <mergeCell ref="Q421:Q422"/>
    <mergeCell ref="R421:R422"/>
    <mergeCell ref="S421:S422"/>
    <mergeCell ref="T421:T422"/>
    <mergeCell ref="U421:U422"/>
    <mergeCell ref="V421:V422"/>
    <mergeCell ref="V419:V420"/>
    <mergeCell ref="L429:L431"/>
    <mergeCell ref="M429:M431"/>
    <mergeCell ref="N429:N431"/>
    <mergeCell ref="O429:O431"/>
    <mergeCell ref="P429:P431"/>
    <mergeCell ref="Q429:Q431"/>
    <mergeCell ref="R429:R431"/>
    <mergeCell ref="S429:S431"/>
    <mergeCell ref="T429:T431"/>
    <mergeCell ref="U429:U431"/>
    <mergeCell ref="V429:V431"/>
    <mergeCell ref="S401:S407"/>
    <mergeCell ref="R413:R414"/>
    <mergeCell ref="S413:S414"/>
    <mergeCell ref="P413:P414"/>
    <mergeCell ref="Q413:Q414"/>
    <mergeCell ref="W413:W414"/>
    <mergeCell ref="K415:K416"/>
    <mergeCell ref="L415:L416"/>
    <mergeCell ref="M415:M416"/>
    <mergeCell ref="N415:N416"/>
    <mergeCell ref="O415:O416"/>
    <mergeCell ref="P415:P416"/>
    <mergeCell ref="Q415:Q416"/>
    <mergeCell ref="R415:R416"/>
    <mergeCell ref="S415:S416"/>
    <mergeCell ref="T415:T416"/>
    <mergeCell ref="U415:U416"/>
    <mergeCell ref="V415:V416"/>
    <mergeCell ref="W415:W416"/>
    <mergeCell ref="K409:K410"/>
    <mergeCell ref="L409:L410"/>
    <mergeCell ref="M409:M410"/>
    <mergeCell ref="N409:N410"/>
    <mergeCell ref="O409:O410"/>
    <mergeCell ref="P409:P410"/>
    <mergeCell ref="Q409:Q410"/>
    <mergeCell ref="R409:R410"/>
    <mergeCell ref="S409:S410"/>
    <mergeCell ref="T409:T410"/>
    <mergeCell ref="U409:U410"/>
    <mergeCell ref="V409:V410"/>
    <mergeCell ref="W409:W410"/>
    <mergeCell ref="T401:T407"/>
    <mergeCell ref="U401:U407"/>
    <mergeCell ref="Q395:Q399"/>
    <mergeCell ref="R395:R399"/>
    <mergeCell ref="S395:S399"/>
    <mergeCell ref="T395:T399"/>
    <mergeCell ref="U395:U399"/>
    <mergeCell ref="K391:K393"/>
    <mergeCell ref="L391:L393"/>
    <mergeCell ref="M391:M393"/>
    <mergeCell ref="N391:N393"/>
    <mergeCell ref="O391:O393"/>
    <mergeCell ref="P391:P393"/>
    <mergeCell ref="Q391:Q393"/>
    <mergeCell ref="R391:R393"/>
    <mergeCell ref="S391:S393"/>
    <mergeCell ref="T391:T393"/>
    <mergeCell ref="U391:U393"/>
    <mergeCell ref="K395:K399"/>
    <mergeCell ref="L395:L399"/>
    <mergeCell ref="M395:M399"/>
    <mergeCell ref="N395:N399"/>
    <mergeCell ref="O395:O399"/>
    <mergeCell ref="P395:P399"/>
    <mergeCell ref="K401:K407"/>
    <mergeCell ref="L401:L407"/>
    <mergeCell ref="M401:M407"/>
    <mergeCell ref="N401:N407"/>
    <mergeCell ref="O401:O407"/>
    <mergeCell ref="P401:P407"/>
    <mergeCell ref="Q401:Q407"/>
    <mergeCell ref="R401:R407"/>
    <mergeCell ref="V391:V393"/>
    <mergeCell ref="W391:W393"/>
    <mergeCell ref="K385:K386"/>
    <mergeCell ref="M385:M386"/>
    <mergeCell ref="U385:U386"/>
    <mergeCell ref="V385:V386"/>
    <mergeCell ref="W385:W386"/>
    <mergeCell ref="J385:J386"/>
    <mergeCell ref="K387:K389"/>
    <mergeCell ref="L387:L389"/>
    <mergeCell ref="M387:M389"/>
    <mergeCell ref="N387:N389"/>
    <mergeCell ref="O387:O389"/>
    <mergeCell ref="P387:P389"/>
    <mergeCell ref="Q387:Q389"/>
    <mergeCell ref="R387:R389"/>
    <mergeCell ref="S387:S389"/>
    <mergeCell ref="T387:T389"/>
    <mergeCell ref="U387:U389"/>
    <mergeCell ref="V387:V389"/>
    <mergeCell ref="W387:W389"/>
    <mergeCell ref="L380:L384"/>
    <mergeCell ref="M380:M384"/>
    <mergeCell ref="N380:N384"/>
    <mergeCell ref="O380:O384"/>
    <mergeCell ref="P380:P384"/>
    <mergeCell ref="Q380:Q384"/>
    <mergeCell ref="R380:R384"/>
    <mergeCell ref="S380:S384"/>
    <mergeCell ref="T380:T384"/>
    <mergeCell ref="U380:U384"/>
    <mergeCell ref="V380:V384"/>
    <mergeCell ref="W380:W384"/>
    <mergeCell ref="W341:W344"/>
    <mergeCell ref="K333:K335"/>
    <mergeCell ref="K336:K339"/>
    <mergeCell ref="L333:L335"/>
    <mergeCell ref="M333:M335"/>
    <mergeCell ref="N333:N335"/>
    <mergeCell ref="O333:O335"/>
    <mergeCell ref="P333:P335"/>
    <mergeCell ref="Q333:Q335"/>
    <mergeCell ref="R333:R335"/>
    <mergeCell ref="S333:S335"/>
    <mergeCell ref="T333:T335"/>
    <mergeCell ref="U333:U335"/>
    <mergeCell ref="V333:V335"/>
    <mergeCell ref="W333:W335"/>
    <mergeCell ref="L336:L339"/>
    <mergeCell ref="M336:M339"/>
    <mergeCell ref="N336:N339"/>
    <mergeCell ref="O336:O339"/>
    <mergeCell ref="P336:P339"/>
    <mergeCell ref="N303:N308"/>
    <mergeCell ref="O303:O308"/>
    <mergeCell ref="P303:P308"/>
    <mergeCell ref="Q303:Q308"/>
    <mergeCell ref="R303:R308"/>
    <mergeCell ref="S303:S308"/>
    <mergeCell ref="T303:T308"/>
    <mergeCell ref="U303:U308"/>
    <mergeCell ref="V303:V308"/>
    <mergeCell ref="W303:W308"/>
    <mergeCell ref="M309:M310"/>
    <mergeCell ref="U296:U302"/>
    <mergeCell ref="V296:V302"/>
    <mergeCell ref="Q336:Q339"/>
    <mergeCell ref="R336:R339"/>
    <mergeCell ref="S336:S339"/>
    <mergeCell ref="T336:T339"/>
    <mergeCell ref="U336:U339"/>
    <mergeCell ref="V336:V339"/>
    <mergeCell ref="W336:W339"/>
    <mergeCell ref="W321:W323"/>
    <mergeCell ref="U309:U310"/>
    <mergeCell ref="V309:V310"/>
    <mergeCell ref="P296:P302"/>
    <mergeCell ref="Q296:Q302"/>
    <mergeCell ref="R296:R302"/>
    <mergeCell ref="S296:S302"/>
    <mergeCell ref="Q317:Q320"/>
    <mergeCell ref="R317:R320"/>
    <mergeCell ref="S317:S320"/>
    <mergeCell ref="T317:T320"/>
    <mergeCell ref="U317:U320"/>
    <mergeCell ref="K290:K291"/>
    <mergeCell ref="K292:K293"/>
    <mergeCell ref="L290:L291"/>
    <mergeCell ref="M290:M291"/>
    <mergeCell ref="N290:N291"/>
    <mergeCell ref="O290:O291"/>
    <mergeCell ref="P290:P291"/>
    <mergeCell ref="Q290:Q291"/>
    <mergeCell ref="R290:R291"/>
    <mergeCell ref="S290:S291"/>
    <mergeCell ref="T290:T291"/>
    <mergeCell ref="U290:U291"/>
    <mergeCell ref="V290:V291"/>
    <mergeCell ref="W290:W291"/>
    <mergeCell ref="L292:L293"/>
    <mergeCell ref="M292:M293"/>
    <mergeCell ref="N292:N293"/>
    <mergeCell ref="O292:O293"/>
    <mergeCell ref="P292:P293"/>
    <mergeCell ref="Q292:Q293"/>
    <mergeCell ref="R292:R293"/>
    <mergeCell ref="S292:S293"/>
    <mergeCell ref="T292:T293"/>
    <mergeCell ref="U292:U293"/>
    <mergeCell ref="V292:V293"/>
    <mergeCell ref="W292:W293"/>
    <mergeCell ref="T272:T275"/>
    <mergeCell ref="U272:U275"/>
    <mergeCell ref="V272:V275"/>
    <mergeCell ref="W272:W275"/>
    <mergeCell ref="L270:L271"/>
    <mergeCell ref="O270:O271"/>
    <mergeCell ref="P270:P271"/>
    <mergeCell ref="Q270:Q271"/>
    <mergeCell ref="R270:R271"/>
    <mergeCell ref="S270:S271"/>
    <mergeCell ref="K272:K275"/>
    <mergeCell ref="L272:L275"/>
    <mergeCell ref="M272:M275"/>
    <mergeCell ref="N272:N275"/>
    <mergeCell ref="O272:O275"/>
    <mergeCell ref="P272:P275"/>
    <mergeCell ref="Q272:Q275"/>
    <mergeCell ref="R272:R275"/>
    <mergeCell ref="S272:S275"/>
    <mergeCell ref="K269:K271"/>
    <mergeCell ref="N286:N288"/>
    <mergeCell ref="O286:O288"/>
    <mergeCell ref="P286:P288"/>
    <mergeCell ref="Q286:Q288"/>
    <mergeCell ref="R286:R288"/>
    <mergeCell ref="S286:S288"/>
    <mergeCell ref="T286:T288"/>
    <mergeCell ref="U286:U288"/>
    <mergeCell ref="V286:V288"/>
    <mergeCell ref="W286:W288"/>
    <mergeCell ref="T254:T258"/>
    <mergeCell ref="U254:U258"/>
    <mergeCell ref="V254:V258"/>
    <mergeCell ref="W254:W258"/>
    <mergeCell ref="K254:K258"/>
    <mergeCell ref="L249:L253"/>
    <mergeCell ref="M249:M253"/>
    <mergeCell ref="N249:N253"/>
    <mergeCell ref="O249:O253"/>
    <mergeCell ref="P249:P253"/>
    <mergeCell ref="Q249:Q253"/>
    <mergeCell ref="R249:R253"/>
    <mergeCell ref="S249:S253"/>
    <mergeCell ref="L254:L258"/>
    <mergeCell ref="M254:M258"/>
    <mergeCell ref="N254:N258"/>
    <mergeCell ref="O254:O258"/>
    <mergeCell ref="P254:P258"/>
    <mergeCell ref="Q254:Q258"/>
    <mergeCell ref="R254:R258"/>
    <mergeCell ref="S254:S258"/>
    <mergeCell ref="T249:T253"/>
    <mergeCell ref="U249:U253"/>
    <mergeCell ref="V249:V253"/>
    <mergeCell ref="T243:T245"/>
    <mergeCell ref="U243:U245"/>
    <mergeCell ref="V243:V245"/>
    <mergeCell ref="W243:W245"/>
    <mergeCell ref="S247:S248"/>
    <mergeCell ref="T247:T248"/>
    <mergeCell ref="U247:U248"/>
    <mergeCell ref="V247:V248"/>
    <mergeCell ref="W247:W248"/>
    <mergeCell ref="W249:W253"/>
    <mergeCell ref="K247:K248"/>
    <mergeCell ref="L247:L248"/>
    <mergeCell ref="M247:M248"/>
    <mergeCell ref="N247:N248"/>
    <mergeCell ref="O247:O248"/>
    <mergeCell ref="P247:P248"/>
    <mergeCell ref="Q247:Q248"/>
    <mergeCell ref="R247:R248"/>
    <mergeCell ref="K249:K253"/>
    <mergeCell ref="K243:K245"/>
    <mergeCell ref="L243:L245"/>
    <mergeCell ref="M243:M245"/>
    <mergeCell ref="N243:N245"/>
    <mergeCell ref="O243:O245"/>
    <mergeCell ref="P243:P245"/>
    <mergeCell ref="Q243:Q245"/>
    <mergeCell ref="R243:R245"/>
    <mergeCell ref="S243:S245"/>
    <mergeCell ref="T237:T239"/>
    <mergeCell ref="U237:U239"/>
    <mergeCell ref="V237:V239"/>
    <mergeCell ref="W237:W239"/>
    <mergeCell ref="K234:K236"/>
    <mergeCell ref="L234:L236"/>
    <mergeCell ref="M234:M236"/>
    <mergeCell ref="N234:N236"/>
    <mergeCell ref="O234:O236"/>
    <mergeCell ref="P234:P236"/>
    <mergeCell ref="Q234:Q236"/>
    <mergeCell ref="R234:R236"/>
    <mergeCell ref="K237:K239"/>
    <mergeCell ref="L237:L239"/>
    <mergeCell ref="M237:M239"/>
    <mergeCell ref="N237:N239"/>
    <mergeCell ref="O237:O239"/>
    <mergeCell ref="P237:P239"/>
    <mergeCell ref="Q237:Q239"/>
    <mergeCell ref="R237:R239"/>
    <mergeCell ref="U234:U236"/>
    <mergeCell ref="V234:V236"/>
    <mergeCell ref="W234:W236"/>
    <mergeCell ref="S237:S239"/>
    <mergeCell ref="T228:T229"/>
    <mergeCell ref="U228:U229"/>
    <mergeCell ref="V228:V229"/>
    <mergeCell ref="W228:W229"/>
    <mergeCell ref="K228:K229"/>
    <mergeCell ref="L224:L227"/>
    <mergeCell ref="M224:M227"/>
    <mergeCell ref="N224:N227"/>
    <mergeCell ref="O224:O227"/>
    <mergeCell ref="P224:P227"/>
    <mergeCell ref="Q224:Q227"/>
    <mergeCell ref="R224:R227"/>
    <mergeCell ref="S224:S227"/>
    <mergeCell ref="L228:L229"/>
    <mergeCell ref="M228:M229"/>
    <mergeCell ref="N228:N229"/>
    <mergeCell ref="O228:O229"/>
    <mergeCell ref="P228:P229"/>
    <mergeCell ref="Q228:Q229"/>
    <mergeCell ref="R228:R229"/>
    <mergeCell ref="S228:S229"/>
    <mergeCell ref="K224:K227"/>
    <mergeCell ref="T224:T227"/>
    <mergeCell ref="U224:U227"/>
    <mergeCell ref="V224:V227"/>
    <mergeCell ref="W224:W227"/>
    <mergeCell ref="U202:U204"/>
    <mergeCell ref="V202:V204"/>
    <mergeCell ref="W202:W204"/>
    <mergeCell ref="L205:L206"/>
    <mergeCell ref="M205:M206"/>
    <mergeCell ref="N205:N206"/>
    <mergeCell ref="O205:O206"/>
    <mergeCell ref="P205:P206"/>
    <mergeCell ref="Q205:Q206"/>
    <mergeCell ref="R205:R206"/>
    <mergeCell ref="S205:S206"/>
    <mergeCell ref="T205:T206"/>
    <mergeCell ref="U205:U206"/>
    <mergeCell ref="V205:V206"/>
    <mergeCell ref="W205:W206"/>
    <mergeCell ref="S202:S203"/>
    <mergeCell ref="T202:T203"/>
    <mergeCell ref="K202:K204"/>
    <mergeCell ref="K205:K206"/>
    <mergeCell ref="M202:M204"/>
    <mergeCell ref="N202:N204"/>
    <mergeCell ref="L202:L203"/>
    <mergeCell ref="O202:O203"/>
    <mergeCell ref="P202:P203"/>
    <mergeCell ref="Q202:Q203"/>
    <mergeCell ref="R202:R203"/>
    <mergeCell ref="T195:T197"/>
    <mergeCell ref="U195:U197"/>
    <mergeCell ref="V195:V197"/>
    <mergeCell ref="W195:W197"/>
    <mergeCell ref="K198:K199"/>
    <mergeCell ref="L198:L199"/>
    <mergeCell ref="M198:M199"/>
    <mergeCell ref="N198:N199"/>
    <mergeCell ref="O198:O199"/>
    <mergeCell ref="P198:P199"/>
    <mergeCell ref="Q198:Q199"/>
    <mergeCell ref="R198:R199"/>
    <mergeCell ref="S198:S199"/>
    <mergeCell ref="T198:T199"/>
    <mergeCell ref="U198:U199"/>
    <mergeCell ref="V198:V199"/>
    <mergeCell ref="W198:W199"/>
    <mergeCell ref="K195:K197"/>
    <mergeCell ref="L195:L197"/>
    <mergeCell ref="M195:M197"/>
    <mergeCell ref="N195:N197"/>
    <mergeCell ref="O195:O197"/>
    <mergeCell ref="P195:P197"/>
    <mergeCell ref="V163:V164"/>
    <mergeCell ref="W163:W164"/>
    <mergeCell ref="T166:T169"/>
    <mergeCell ref="U166:U169"/>
    <mergeCell ref="V166:V169"/>
    <mergeCell ref="W166:W169"/>
    <mergeCell ref="R170:R171"/>
    <mergeCell ref="S170:S171"/>
    <mergeCell ref="R180:R183"/>
    <mergeCell ref="S180:S183"/>
    <mergeCell ref="T180:T183"/>
    <mergeCell ref="U180:U183"/>
    <mergeCell ref="V180:V183"/>
    <mergeCell ref="W180:W183"/>
    <mergeCell ref="T170:T171"/>
    <mergeCell ref="U170:U171"/>
    <mergeCell ref="V170:V171"/>
    <mergeCell ref="W170:W171"/>
    <mergeCell ref="R172:R179"/>
    <mergeCell ref="S172:S179"/>
    <mergeCell ref="K166:K169"/>
    <mergeCell ref="L166:L169"/>
    <mergeCell ref="M166:M169"/>
    <mergeCell ref="N166:N169"/>
    <mergeCell ref="O166:O169"/>
    <mergeCell ref="P166:P169"/>
    <mergeCell ref="Q166:Q169"/>
    <mergeCell ref="T150:T152"/>
    <mergeCell ref="U150:U152"/>
    <mergeCell ref="T153:T162"/>
    <mergeCell ref="U153:U162"/>
    <mergeCell ref="R166:R169"/>
    <mergeCell ref="S166:S169"/>
    <mergeCell ref="K163:K164"/>
    <mergeCell ref="L163:L164"/>
    <mergeCell ref="M163:M164"/>
    <mergeCell ref="N163:N164"/>
    <mergeCell ref="O163:O164"/>
    <mergeCell ref="P163:P164"/>
    <mergeCell ref="Q163:Q164"/>
    <mergeCell ref="R163:R164"/>
    <mergeCell ref="S163:S164"/>
    <mergeCell ref="T163:T164"/>
    <mergeCell ref="U163:U164"/>
    <mergeCell ref="V150:V152"/>
    <mergeCell ref="W150:W152"/>
    <mergeCell ref="K150:K152"/>
    <mergeCell ref="L150:L152"/>
    <mergeCell ref="M150:M152"/>
    <mergeCell ref="N150:N152"/>
    <mergeCell ref="O150:O152"/>
    <mergeCell ref="P150:P152"/>
    <mergeCell ref="Q150:Q152"/>
    <mergeCell ref="R150:R152"/>
    <mergeCell ref="S150:S152"/>
    <mergeCell ref="S143:S145"/>
    <mergeCell ref="T143:T145"/>
    <mergeCell ref="U143:U145"/>
    <mergeCell ref="V143:V145"/>
    <mergeCell ref="W143:W145"/>
    <mergeCell ref="L146:L149"/>
    <mergeCell ref="M146:M149"/>
    <mergeCell ref="N146:N149"/>
    <mergeCell ref="O146:O149"/>
    <mergeCell ref="P146:P149"/>
    <mergeCell ref="Q146:Q149"/>
    <mergeCell ref="R146:R149"/>
    <mergeCell ref="S146:S149"/>
    <mergeCell ref="T146:T149"/>
    <mergeCell ref="U146:U149"/>
    <mergeCell ref="V146:V149"/>
    <mergeCell ref="W146:W149"/>
    <mergeCell ref="K143:K145"/>
    <mergeCell ref="K146:K149"/>
    <mergeCell ref="L143:L145"/>
    <mergeCell ref="M143:M145"/>
    <mergeCell ref="N143:N145"/>
    <mergeCell ref="O143:O145"/>
    <mergeCell ref="P143:P145"/>
    <mergeCell ref="Q143:Q145"/>
    <mergeCell ref="R143:R145"/>
    <mergeCell ref="T137:T138"/>
    <mergeCell ref="U137:U138"/>
    <mergeCell ref="V137:V138"/>
    <mergeCell ref="W137:W138"/>
    <mergeCell ref="K137:K138"/>
    <mergeCell ref="L137:L138"/>
    <mergeCell ref="M137:M138"/>
    <mergeCell ref="N137:N138"/>
    <mergeCell ref="O137:O138"/>
    <mergeCell ref="P137:P138"/>
    <mergeCell ref="Q137:Q138"/>
    <mergeCell ref="R137:R138"/>
    <mergeCell ref="S137:S138"/>
    <mergeCell ref="S130:S131"/>
    <mergeCell ref="T130:T131"/>
    <mergeCell ref="U130:U131"/>
    <mergeCell ref="V130:V131"/>
    <mergeCell ref="W130:W131"/>
    <mergeCell ref="L132:L134"/>
    <mergeCell ref="M132:M134"/>
    <mergeCell ref="N132:N134"/>
    <mergeCell ref="O132:O134"/>
    <mergeCell ref="P132:P134"/>
    <mergeCell ref="Q132:Q134"/>
    <mergeCell ref="R132:R134"/>
    <mergeCell ref="S132:S134"/>
    <mergeCell ref="T132:T134"/>
    <mergeCell ref="U132:U134"/>
    <mergeCell ref="V132:V134"/>
    <mergeCell ref="W132:W134"/>
    <mergeCell ref="K130:K131"/>
    <mergeCell ref="K132:K134"/>
    <mergeCell ref="L130:L131"/>
    <mergeCell ref="M130:M131"/>
    <mergeCell ref="N130:N131"/>
    <mergeCell ref="O130:O131"/>
    <mergeCell ref="P130:P131"/>
    <mergeCell ref="Q130:Q131"/>
    <mergeCell ref="R130:R131"/>
    <mergeCell ref="S117:S124"/>
    <mergeCell ref="T117:T124"/>
    <mergeCell ref="U117:U124"/>
    <mergeCell ref="V117:V124"/>
    <mergeCell ref="W117:W124"/>
    <mergeCell ref="L125:L127"/>
    <mergeCell ref="M125:M127"/>
    <mergeCell ref="N125:N127"/>
    <mergeCell ref="O125:O127"/>
    <mergeCell ref="P125:P127"/>
    <mergeCell ref="Q125:Q127"/>
    <mergeCell ref="R125:R127"/>
    <mergeCell ref="S125:S127"/>
    <mergeCell ref="T125:T127"/>
    <mergeCell ref="U125:U127"/>
    <mergeCell ref="V125:V127"/>
    <mergeCell ref="W125:W127"/>
    <mergeCell ref="K117:K124"/>
    <mergeCell ref="K125:K127"/>
    <mergeCell ref="L117:L124"/>
    <mergeCell ref="M117:M124"/>
    <mergeCell ref="N117:N124"/>
    <mergeCell ref="O117:O124"/>
    <mergeCell ref="P117:P124"/>
    <mergeCell ref="Q117:Q124"/>
    <mergeCell ref="R117:R124"/>
    <mergeCell ref="K97:K98"/>
    <mergeCell ref="M97:M98"/>
    <mergeCell ref="N97:N98"/>
    <mergeCell ref="U97:U98"/>
    <mergeCell ref="V97:V98"/>
    <mergeCell ref="W97:W98"/>
    <mergeCell ref="J97:J98"/>
    <mergeCell ref="O84:O85"/>
    <mergeCell ref="P84:P85"/>
    <mergeCell ref="Q84:Q85"/>
    <mergeCell ref="R84:R85"/>
    <mergeCell ref="S84:S85"/>
    <mergeCell ref="K87:K88"/>
    <mergeCell ref="K90:K91"/>
    <mergeCell ref="M87:M88"/>
    <mergeCell ref="T84:T85"/>
    <mergeCell ref="U84:U85"/>
    <mergeCell ref="V84:V85"/>
    <mergeCell ref="W84:W85"/>
    <mergeCell ref="K84:K85"/>
    <mergeCell ref="L84:L85"/>
    <mergeCell ref="M84:M85"/>
    <mergeCell ref="N84:N85"/>
    <mergeCell ref="U87:U88"/>
    <mergeCell ref="T92:T94"/>
    <mergeCell ref="U92:U94"/>
    <mergeCell ref="V92:V94"/>
    <mergeCell ref="W92:W94"/>
    <mergeCell ref="K92:K94"/>
    <mergeCell ref="T77:T78"/>
    <mergeCell ref="U77:U78"/>
    <mergeCell ref="V77:V78"/>
    <mergeCell ref="W77:W78"/>
    <mergeCell ref="R73:R76"/>
    <mergeCell ref="S73:S76"/>
    <mergeCell ref="K77:K78"/>
    <mergeCell ref="L77:L78"/>
    <mergeCell ref="M77:M78"/>
    <mergeCell ref="N77:N78"/>
    <mergeCell ref="O77:O78"/>
    <mergeCell ref="P77:P78"/>
    <mergeCell ref="Q77:Q78"/>
    <mergeCell ref="R77:R78"/>
    <mergeCell ref="S77:S78"/>
    <mergeCell ref="K57:K58"/>
    <mergeCell ref="K59:K60"/>
    <mergeCell ref="K61:K62"/>
    <mergeCell ref="L57:L58"/>
    <mergeCell ref="M57:M58"/>
    <mergeCell ref="T73:T76"/>
    <mergeCell ref="U73:U76"/>
    <mergeCell ref="V73:V76"/>
    <mergeCell ref="W73:W76"/>
    <mergeCell ref="K73:K76"/>
    <mergeCell ref="L67:L72"/>
    <mergeCell ref="M67:M72"/>
    <mergeCell ref="N67:N72"/>
    <mergeCell ref="O67:O72"/>
    <mergeCell ref="P67:P72"/>
    <mergeCell ref="Q67:Q72"/>
    <mergeCell ref="R67:R72"/>
    <mergeCell ref="K67:K72"/>
    <mergeCell ref="T67:T72"/>
    <mergeCell ref="U67:U72"/>
    <mergeCell ref="V67:V72"/>
    <mergeCell ref="W67:W72"/>
    <mergeCell ref="R61:R62"/>
    <mergeCell ref="S61:S62"/>
    <mergeCell ref="T61:T62"/>
    <mergeCell ref="U61:U62"/>
    <mergeCell ref="V61:V62"/>
    <mergeCell ref="W61:W62"/>
    <mergeCell ref="L61:L62"/>
    <mergeCell ref="M61:M62"/>
    <mergeCell ref="N61:N62"/>
    <mergeCell ref="O61:O62"/>
    <mergeCell ref="P61:P62"/>
    <mergeCell ref="Q61:Q62"/>
    <mergeCell ref="U63:U64"/>
    <mergeCell ref="V63:V64"/>
    <mergeCell ref="W63:W64"/>
    <mergeCell ref="K63:K64"/>
    <mergeCell ref="W53:W56"/>
    <mergeCell ref="N57:N58"/>
    <mergeCell ref="O57:O58"/>
    <mergeCell ref="P57:P58"/>
    <mergeCell ref="Q57:Q58"/>
    <mergeCell ref="T57:T58"/>
    <mergeCell ref="U57:U58"/>
    <mergeCell ref="V57:V58"/>
    <mergeCell ref="S67:S72"/>
    <mergeCell ref="L73:L76"/>
    <mergeCell ref="M73:M76"/>
    <mergeCell ref="N73:N76"/>
    <mergeCell ref="O73:O76"/>
    <mergeCell ref="P73:P76"/>
    <mergeCell ref="Q73:Q76"/>
    <mergeCell ref="U59:U60"/>
    <mergeCell ref="V59:V60"/>
    <mergeCell ref="W59:W60"/>
    <mergeCell ref="M59:M60"/>
    <mergeCell ref="N59:N60"/>
    <mergeCell ref="M63:M64"/>
    <mergeCell ref="N63:N64"/>
    <mergeCell ref="W57:W58"/>
    <mergeCell ref="S57:S58"/>
    <mergeCell ref="R57:R58"/>
    <mergeCell ref="J29:J30"/>
    <mergeCell ref="T31:T32"/>
    <mergeCell ref="U31:U32"/>
    <mergeCell ref="V31:V32"/>
    <mergeCell ref="W31:W32"/>
    <mergeCell ref="K29:K30"/>
    <mergeCell ref="M29:M30"/>
    <mergeCell ref="N29:N30"/>
    <mergeCell ref="U29:U30"/>
    <mergeCell ref="V29:V30"/>
    <mergeCell ref="W29:W30"/>
    <mergeCell ref="K31:K32"/>
    <mergeCell ref="L31:L32"/>
    <mergeCell ref="M31:M32"/>
    <mergeCell ref="N31:N32"/>
    <mergeCell ref="O31:O32"/>
    <mergeCell ref="P31:P32"/>
    <mergeCell ref="Q31:Q32"/>
    <mergeCell ref="R31:R32"/>
    <mergeCell ref="S31:S32"/>
    <mergeCell ref="T27:T28"/>
    <mergeCell ref="U27:U28"/>
    <mergeCell ref="V27:V28"/>
    <mergeCell ref="W27:W28"/>
    <mergeCell ref="K27:K28"/>
    <mergeCell ref="L27:L28"/>
    <mergeCell ref="M27:M28"/>
    <mergeCell ref="N27:N28"/>
    <mergeCell ref="O27:O28"/>
    <mergeCell ref="P27:P28"/>
    <mergeCell ref="Q27:Q28"/>
    <mergeCell ref="R27:R28"/>
    <mergeCell ref="S27:S28"/>
    <mergeCell ref="K19:K20"/>
    <mergeCell ref="L19:L20"/>
    <mergeCell ref="M19:M20"/>
    <mergeCell ref="N19:N20"/>
    <mergeCell ref="O19:O20"/>
    <mergeCell ref="U19:U20"/>
    <mergeCell ref="V19:V20"/>
    <mergeCell ref="W19:W20"/>
    <mergeCell ref="P19:P20"/>
    <mergeCell ref="Q19:Q20"/>
    <mergeCell ref="R19:R20"/>
    <mergeCell ref="S19:S20"/>
    <mergeCell ref="T19:T20"/>
    <mergeCell ref="T22:T23"/>
    <mergeCell ref="U22:U23"/>
    <mergeCell ref="V22:V23"/>
    <mergeCell ref="W22:W23"/>
    <mergeCell ref="K22:K23"/>
    <mergeCell ref="L22:L23"/>
    <mergeCell ref="T13:T15"/>
    <mergeCell ref="U13:U15"/>
    <mergeCell ref="V13:V15"/>
    <mergeCell ref="W13:W15"/>
    <mergeCell ref="O13:O15"/>
    <mergeCell ref="P13:P15"/>
    <mergeCell ref="Q13:Q15"/>
    <mergeCell ref="R13:R15"/>
    <mergeCell ref="S13:S15"/>
    <mergeCell ref="K16:K17"/>
    <mergeCell ref="L16:L17"/>
    <mergeCell ref="M16:M17"/>
    <mergeCell ref="N16:N17"/>
    <mergeCell ref="O16:O17"/>
    <mergeCell ref="U16:U17"/>
    <mergeCell ref="V16:V17"/>
    <mergeCell ref="W16:W17"/>
    <mergeCell ref="P16:P17"/>
    <mergeCell ref="Q16:Q17"/>
    <mergeCell ref="R16:R17"/>
    <mergeCell ref="S16:S17"/>
    <mergeCell ref="T16:T17"/>
    <mergeCell ref="K13:K15"/>
    <mergeCell ref="L13:L15"/>
    <mergeCell ref="M13:M15"/>
    <mergeCell ref="N13:N15"/>
    <mergeCell ref="U1:W1"/>
    <mergeCell ref="A2:A3"/>
    <mergeCell ref="B2:B3"/>
    <mergeCell ref="C2:C3"/>
    <mergeCell ref="D2:D3"/>
    <mergeCell ref="E2:E3"/>
    <mergeCell ref="I2:I3"/>
    <mergeCell ref="J2:J3"/>
    <mergeCell ref="K2:K3"/>
    <mergeCell ref="N2:N3"/>
    <mergeCell ref="V2:V3"/>
    <mergeCell ref="W2:W3"/>
    <mergeCell ref="Q2:Q3"/>
    <mergeCell ref="R2:R3"/>
    <mergeCell ref="S2:S3"/>
    <mergeCell ref="T2:T3"/>
    <mergeCell ref="G2:G3"/>
    <mergeCell ref="H2:H3"/>
    <mergeCell ref="L2:L3"/>
    <mergeCell ref="M2:M3"/>
    <mergeCell ref="B1:T1"/>
    <mergeCell ref="V6:V7"/>
    <mergeCell ref="W6:W7"/>
    <mergeCell ref="U2:U3"/>
    <mergeCell ref="O2:P2"/>
    <mergeCell ref="F2:F3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K10:K11"/>
    <mergeCell ref="L10:L11"/>
    <mergeCell ref="M10:M11"/>
    <mergeCell ref="N10:N11"/>
    <mergeCell ref="T10:T11"/>
    <mergeCell ref="U10:U11"/>
    <mergeCell ref="V10:V11"/>
    <mergeCell ref="W10:W11"/>
    <mergeCell ref="O10:O11"/>
    <mergeCell ref="P10:P11"/>
    <mergeCell ref="Q10:Q11"/>
    <mergeCell ref="R10:R11"/>
    <mergeCell ref="S10:S11"/>
    <mergeCell ref="M22:M23"/>
    <mergeCell ref="N22:N23"/>
    <mergeCell ref="O22:O23"/>
    <mergeCell ref="P22:P23"/>
    <mergeCell ref="Q22:Q23"/>
    <mergeCell ref="R22:R23"/>
    <mergeCell ref="S22:S23"/>
    <mergeCell ref="T25:T26"/>
    <mergeCell ref="U25:U26"/>
    <mergeCell ref="V25:V26"/>
    <mergeCell ref="W25:W26"/>
    <mergeCell ref="K25:K26"/>
    <mergeCell ref="L25:L26"/>
    <mergeCell ref="M25:M26"/>
    <mergeCell ref="N25:N26"/>
    <mergeCell ref="O25:O26"/>
    <mergeCell ref="P25:P26"/>
    <mergeCell ref="Q25:Q26"/>
    <mergeCell ref="R25:R26"/>
    <mergeCell ref="S25:S26"/>
    <mergeCell ref="W35:W36"/>
    <mergeCell ref="K35:K36"/>
    <mergeCell ref="L35:L36"/>
    <mergeCell ref="M35:M36"/>
    <mergeCell ref="N35:N36"/>
    <mergeCell ref="O35:O36"/>
    <mergeCell ref="P35:P36"/>
    <mergeCell ref="Q35:Q36"/>
    <mergeCell ref="R35:R36"/>
    <mergeCell ref="S35:S36"/>
    <mergeCell ref="T35:T36"/>
    <mergeCell ref="U35:U36"/>
    <mergeCell ref="V35:V36"/>
    <mergeCell ref="T39:T40"/>
    <mergeCell ref="U39:U40"/>
    <mergeCell ref="V39:V40"/>
    <mergeCell ref="W39:W40"/>
    <mergeCell ref="K39:K40"/>
    <mergeCell ref="L39:L40"/>
    <mergeCell ref="M39:M40"/>
    <mergeCell ref="N39:N40"/>
    <mergeCell ref="O39:O40"/>
    <mergeCell ref="P39:P40"/>
    <mergeCell ref="Q39:Q40"/>
    <mergeCell ref="R39:R40"/>
    <mergeCell ref="S39:S40"/>
    <mergeCell ref="J42:J43"/>
    <mergeCell ref="K42:K43"/>
    <mergeCell ref="M42:M43"/>
    <mergeCell ref="N42:N43"/>
    <mergeCell ref="U42:U43"/>
    <mergeCell ref="V42:V43"/>
    <mergeCell ref="W42:W43"/>
    <mergeCell ref="K44:K52"/>
    <mergeCell ref="K53:K56"/>
    <mergeCell ref="L44:L52"/>
    <mergeCell ref="M44:M52"/>
    <mergeCell ref="N44:N52"/>
    <mergeCell ref="O44:O52"/>
    <mergeCell ref="P44:P52"/>
    <mergeCell ref="Q44:Q52"/>
    <mergeCell ref="R44:R52"/>
    <mergeCell ref="S44:S52"/>
    <mergeCell ref="T44:T52"/>
    <mergeCell ref="U44:U52"/>
    <mergeCell ref="V44:V52"/>
    <mergeCell ref="W44:W52"/>
    <mergeCell ref="L53:L56"/>
    <mergeCell ref="M53:M56"/>
    <mergeCell ref="N53:N56"/>
    <mergeCell ref="O53:O56"/>
    <mergeCell ref="P53:P56"/>
    <mergeCell ref="Q53:Q56"/>
    <mergeCell ref="R53:R56"/>
    <mergeCell ref="S53:S56"/>
    <mergeCell ref="T53:T56"/>
    <mergeCell ref="U53:U56"/>
    <mergeCell ref="V53:V56"/>
    <mergeCell ref="T81:T82"/>
    <mergeCell ref="U81:U82"/>
    <mergeCell ref="V81:V82"/>
    <mergeCell ref="W81:W82"/>
    <mergeCell ref="K81:K82"/>
    <mergeCell ref="L81:L82"/>
    <mergeCell ref="M81:M82"/>
    <mergeCell ref="N81:N82"/>
    <mergeCell ref="O81:O82"/>
    <mergeCell ref="P81:P82"/>
    <mergeCell ref="Q81:Q82"/>
    <mergeCell ref="R81:R82"/>
    <mergeCell ref="S81:S82"/>
    <mergeCell ref="V87:V88"/>
    <mergeCell ref="W87:W88"/>
    <mergeCell ref="L90:L91"/>
    <mergeCell ref="M90:M91"/>
    <mergeCell ref="N90:N91"/>
    <mergeCell ref="O90:O91"/>
    <mergeCell ref="P90:P91"/>
    <mergeCell ref="Q90:Q91"/>
    <mergeCell ref="R90:R91"/>
    <mergeCell ref="S90:S91"/>
    <mergeCell ref="T90:T91"/>
    <mergeCell ref="U90:U91"/>
    <mergeCell ref="V90:V91"/>
    <mergeCell ref="W90:W91"/>
    <mergeCell ref="L92:L94"/>
    <mergeCell ref="M92:M94"/>
    <mergeCell ref="N92:N94"/>
    <mergeCell ref="O92:O94"/>
    <mergeCell ref="P92:P94"/>
    <mergeCell ref="Q92:Q94"/>
    <mergeCell ref="R92:R94"/>
    <mergeCell ref="S92:S94"/>
    <mergeCell ref="S99:S103"/>
    <mergeCell ref="T99:T103"/>
    <mergeCell ref="U99:U103"/>
    <mergeCell ref="V99:V103"/>
    <mergeCell ref="W99:W103"/>
    <mergeCell ref="M104:M105"/>
    <mergeCell ref="N104:N105"/>
    <mergeCell ref="K99:K103"/>
    <mergeCell ref="L99:L103"/>
    <mergeCell ref="M99:M103"/>
    <mergeCell ref="N99:N103"/>
    <mergeCell ref="O99:O103"/>
    <mergeCell ref="P99:P103"/>
    <mergeCell ref="Q99:Q103"/>
    <mergeCell ref="R99:R103"/>
    <mergeCell ref="K104:K105"/>
    <mergeCell ref="V104:V105"/>
    <mergeCell ref="W104:W105"/>
    <mergeCell ref="L106:L107"/>
    <mergeCell ref="M106:M107"/>
    <mergeCell ref="N106:N107"/>
    <mergeCell ref="O106:O107"/>
    <mergeCell ref="P106:P107"/>
    <mergeCell ref="Q106:Q107"/>
    <mergeCell ref="R106:R107"/>
    <mergeCell ref="S106:S107"/>
    <mergeCell ref="T106:T107"/>
    <mergeCell ref="U106:U107"/>
    <mergeCell ref="V106:V107"/>
    <mergeCell ref="W106:W107"/>
    <mergeCell ref="K108:K109"/>
    <mergeCell ref="U104:U105"/>
    <mergeCell ref="K106:K107"/>
    <mergeCell ref="K110:K111"/>
    <mergeCell ref="L110:L111"/>
    <mergeCell ref="M110:M111"/>
    <mergeCell ref="N110:N111"/>
    <mergeCell ref="O110:O111"/>
    <mergeCell ref="P110:P111"/>
    <mergeCell ref="Q110:Q111"/>
    <mergeCell ref="R110:R111"/>
    <mergeCell ref="S110:S111"/>
    <mergeCell ref="T110:T111"/>
    <mergeCell ref="U110:U111"/>
    <mergeCell ref="L108:L109"/>
    <mergeCell ref="M108:M109"/>
    <mergeCell ref="N108:N109"/>
    <mergeCell ref="O108:O109"/>
    <mergeCell ref="P108:P109"/>
    <mergeCell ref="Q108:Q109"/>
    <mergeCell ref="R108:R109"/>
    <mergeCell ref="S108:S109"/>
    <mergeCell ref="T108:T109"/>
    <mergeCell ref="U108:U109"/>
    <mergeCell ref="V108:V109"/>
    <mergeCell ref="W108:W109"/>
    <mergeCell ref="V110:V111"/>
    <mergeCell ref="W110:W111"/>
    <mergeCell ref="K112:K116"/>
    <mergeCell ref="L112:L116"/>
    <mergeCell ref="M112:M116"/>
    <mergeCell ref="N112:N116"/>
    <mergeCell ref="O112:O116"/>
    <mergeCell ref="P112:P116"/>
    <mergeCell ref="Q112:Q116"/>
    <mergeCell ref="R112:R116"/>
    <mergeCell ref="S112:S116"/>
    <mergeCell ref="T112:T116"/>
    <mergeCell ref="U112:U116"/>
    <mergeCell ref="V112:V116"/>
    <mergeCell ref="W112:W116"/>
    <mergeCell ref="T135:T136"/>
    <mergeCell ref="U135:U136"/>
    <mergeCell ref="V135:V136"/>
    <mergeCell ref="W135:W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40:T141"/>
    <mergeCell ref="U140:U141"/>
    <mergeCell ref="V140:V141"/>
    <mergeCell ref="W140:W141"/>
    <mergeCell ref="K140:K141"/>
    <mergeCell ref="L140:L141"/>
    <mergeCell ref="M140:M141"/>
    <mergeCell ref="N140:N141"/>
    <mergeCell ref="O140:O141"/>
    <mergeCell ref="P140:P141"/>
    <mergeCell ref="Q140:Q141"/>
    <mergeCell ref="R140:R141"/>
    <mergeCell ref="S140:S141"/>
    <mergeCell ref="V153:V162"/>
    <mergeCell ref="W153:W162"/>
    <mergeCell ref="K153:K162"/>
    <mergeCell ref="L153:L162"/>
    <mergeCell ref="M153:M162"/>
    <mergeCell ref="N153:N162"/>
    <mergeCell ref="O153:O162"/>
    <mergeCell ref="P153:P162"/>
    <mergeCell ref="Q153:Q162"/>
    <mergeCell ref="R153:R162"/>
    <mergeCell ref="S153:S162"/>
    <mergeCell ref="K184:K185"/>
    <mergeCell ref="M184:M185"/>
    <mergeCell ref="U184:U185"/>
    <mergeCell ref="K170:K171"/>
    <mergeCell ref="K172:K179"/>
    <mergeCell ref="K180:K183"/>
    <mergeCell ref="L170:L171"/>
    <mergeCell ref="M170:M171"/>
    <mergeCell ref="N170:N171"/>
    <mergeCell ref="O170:O171"/>
    <mergeCell ref="P170:P171"/>
    <mergeCell ref="Q170:Q171"/>
    <mergeCell ref="L180:L183"/>
    <mergeCell ref="M180:M183"/>
    <mergeCell ref="N180:N183"/>
    <mergeCell ref="O180:O183"/>
    <mergeCell ref="P180:P183"/>
    <mergeCell ref="Q180:Q183"/>
    <mergeCell ref="L172:L179"/>
    <mergeCell ref="M172:M179"/>
    <mergeCell ref="N172:N179"/>
    <mergeCell ref="O172:O179"/>
    <mergeCell ref="P172:P179"/>
    <mergeCell ref="Q172:Q179"/>
    <mergeCell ref="V189:V194"/>
    <mergeCell ref="W189:W194"/>
    <mergeCell ref="K186:K188"/>
    <mergeCell ref="L186:L188"/>
    <mergeCell ref="M186:M188"/>
    <mergeCell ref="N186:N188"/>
    <mergeCell ref="O186:O188"/>
    <mergeCell ref="P186:P188"/>
    <mergeCell ref="Q186:Q188"/>
    <mergeCell ref="R186:R188"/>
    <mergeCell ref="S186:S188"/>
    <mergeCell ref="T172:T179"/>
    <mergeCell ref="U172:U179"/>
    <mergeCell ref="V172:V179"/>
    <mergeCell ref="W172:W179"/>
    <mergeCell ref="V184:V185"/>
    <mergeCell ref="W184:W185"/>
    <mergeCell ref="T186:T188"/>
    <mergeCell ref="U186:U188"/>
    <mergeCell ref="V186:V188"/>
    <mergeCell ref="W186:W188"/>
    <mergeCell ref="T200:T201"/>
    <mergeCell ref="U200:U201"/>
    <mergeCell ref="V200:V201"/>
    <mergeCell ref="W200:W201"/>
    <mergeCell ref="K189:K194"/>
    <mergeCell ref="L189:L194"/>
    <mergeCell ref="M189:M194"/>
    <mergeCell ref="N189:N194"/>
    <mergeCell ref="O189:O194"/>
    <mergeCell ref="P189:P194"/>
    <mergeCell ref="Q189:Q194"/>
    <mergeCell ref="K200:K201"/>
    <mergeCell ref="L200:L201"/>
    <mergeCell ref="M200:M201"/>
    <mergeCell ref="N200:N201"/>
    <mergeCell ref="O200:O201"/>
    <mergeCell ref="P200:P201"/>
    <mergeCell ref="Q200:Q201"/>
    <mergeCell ref="R200:R201"/>
    <mergeCell ref="S200:S201"/>
    <mergeCell ref="R189:R194"/>
    <mergeCell ref="S189:S194"/>
    <mergeCell ref="T189:T194"/>
    <mergeCell ref="U189:U194"/>
    <mergeCell ref="Q195:Q197"/>
    <mergeCell ref="R195:R197"/>
    <mergeCell ref="S195:S197"/>
    <mergeCell ref="L212:L215"/>
    <mergeCell ref="M212:M215"/>
    <mergeCell ref="N212:N215"/>
    <mergeCell ref="O212:O215"/>
    <mergeCell ref="P212:P215"/>
    <mergeCell ref="Q212:Q215"/>
    <mergeCell ref="R212:R215"/>
    <mergeCell ref="U210:U211"/>
    <mergeCell ref="V210:V211"/>
    <mergeCell ref="W210:W211"/>
    <mergeCell ref="K207:K209"/>
    <mergeCell ref="K212:K215"/>
    <mergeCell ref="L207:L209"/>
    <mergeCell ref="M207:M209"/>
    <mergeCell ref="N207:N209"/>
    <mergeCell ref="O207:O209"/>
    <mergeCell ref="P207:P209"/>
    <mergeCell ref="Q207:Q209"/>
    <mergeCell ref="R207:R209"/>
    <mergeCell ref="N210:N211"/>
    <mergeCell ref="M219:M220"/>
    <mergeCell ref="N219:N220"/>
    <mergeCell ref="O219:O220"/>
    <mergeCell ref="P219:P220"/>
    <mergeCell ref="Q216:Q218"/>
    <mergeCell ref="R216:R218"/>
    <mergeCell ref="S216:S218"/>
    <mergeCell ref="T216:T218"/>
    <mergeCell ref="U216:U218"/>
    <mergeCell ref="V216:V218"/>
    <mergeCell ref="W216:W218"/>
    <mergeCell ref="U219:U221"/>
    <mergeCell ref="Q219:Q220"/>
    <mergeCell ref="R219:R220"/>
    <mergeCell ref="S219:S220"/>
    <mergeCell ref="S207:S209"/>
    <mergeCell ref="T207:T209"/>
    <mergeCell ref="U207:U209"/>
    <mergeCell ref="V207:V209"/>
    <mergeCell ref="W207:W209"/>
    <mergeCell ref="J210:J211"/>
    <mergeCell ref="Q222:Q223"/>
    <mergeCell ref="R222:R223"/>
    <mergeCell ref="S222:S223"/>
    <mergeCell ref="T222:T223"/>
    <mergeCell ref="U222:U223"/>
    <mergeCell ref="V222:V223"/>
    <mergeCell ref="W222:W223"/>
    <mergeCell ref="K216:K218"/>
    <mergeCell ref="K219:K221"/>
    <mergeCell ref="K222:K223"/>
    <mergeCell ref="S212:S215"/>
    <mergeCell ref="T212:T215"/>
    <mergeCell ref="U212:U215"/>
    <mergeCell ref="V212:V215"/>
    <mergeCell ref="W212:W215"/>
    <mergeCell ref="T219:T220"/>
    <mergeCell ref="V219:V220"/>
    <mergeCell ref="W219:W220"/>
    <mergeCell ref="K210:K211"/>
    <mergeCell ref="M210:M211"/>
    <mergeCell ref="L216:L218"/>
    <mergeCell ref="M216:M218"/>
    <mergeCell ref="N216:N218"/>
    <mergeCell ref="O216:O218"/>
    <mergeCell ref="P216:P218"/>
    <mergeCell ref="L222:L223"/>
    <mergeCell ref="M222:M223"/>
    <mergeCell ref="N222:N223"/>
    <mergeCell ref="O222:O223"/>
    <mergeCell ref="P222:P223"/>
    <mergeCell ref="L219:L220"/>
    <mergeCell ref="P263:P264"/>
    <mergeCell ref="Q263:Q264"/>
    <mergeCell ref="R263:R264"/>
    <mergeCell ref="S263:S264"/>
    <mergeCell ref="U231:U233"/>
    <mergeCell ref="V231:V233"/>
    <mergeCell ref="W231:W233"/>
    <mergeCell ref="K231:K233"/>
    <mergeCell ref="M231:M233"/>
    <mergeCell ref="N231:N233"/>
    <mergeCell ref="L232:L233"/>
    <mergeCell ref="O232:O233"/>
    <mergeCell ref="P232:P233"/>
    <mergeCell ref="Q232:Q233"/>
    <mergeCell ref="R232:R233"/>
    <mergeCell ref="S232:S233"/>
    <mergeCell ref="T232:T233"/>
    <mergeCell ref="T240:T241"/>
    <mergeCell ref="U240:U241"/>
    <mergeCell ref="V240:V241"/>
    <mergeCell ref="W240:W241"/>
    <mergeCell ref="K240:K241"/>
    <mergeCell ref="L240:L241"/>
    <mergeCell ref="M240:M241"/>
    <mergeCell ref="N240:N241"/>
    <mergeCell ref="O240:O241"/>
    <mergeCell ref="P240:P241"/>
    <mergeCell ref="Q240:Q241"/>
    <mergeCell ref="R240:R241"/>
    <mergeCell ref="S240:S241"/>
    <mergeCell ref="S234:S236"/>
    <mergeCell ref="T234:T236"/>
    <mergeCell ref="M277:M281"/>
    <mergeCell ref="K282:K285"/>
    <mergeCell ref="L282:L285"/>
    <mergeCell ref="M282:M285"/>
    <mergeCell ref="N282:N285"/>
    <mergeCell ref="O282:O285"/>
    <mergeCell ref="P282:P285"/>
    <mergeCell ref="Q282:Q285"/>
    <mergeCell ref="R282:R285"/>
    <mergeCell ref="S282:S285"/>
    <mergeCell ref="S261:S262"/>
    <mergeCell ref="T261:T262"/>
    <mergeCell ref="U261:U262"/>
    <mergeCell ref="V261:V262"/>
    <mergeCell ref="W261:W262"/>
    <mergeCell ref="K261:K262"/>
    <mergeCell ref="L261:L262"/>
    <mergeCell ref="M261:M262"/>
    <mergeCell ref="N261:N262"/>
    <mergeCell ref="O261:O262"/>
    <mergeCell ref="P261:P262"/>
    <mergeCell ref="Q261:Q262"/>
    <mergeCell ref="R261:R262"/>
    <mergeCell ref="T263:T264"/>
    <mergeCell ref="U263:U264"/>
    <mergeCell ref="V263:V264"/>
    <mergeCell ref="W263:W264"/>
    <mergeCell ref="K263:K264"/>
    <mergeCell ref="L263:L264"/>
    <mergeCell ref="M263:M264"/>
    <mergeCell ref="N263:N264"/>
    <mergeCell ref="O263:O264"/>
    <mergeCell ref="T266:T267"/>
    <mergeCell ref="U266:U267"/>
    <mergeCell ref="U269:U271"/>
    <mergeCell ref="V266:V267"/>
    <mergeCell ref="W266:W267"/>
    <mergeCell ref="K266:K267"/>
    <mergeCell ref="L266:L267"/>
    <mergeCell ref="M266:M267"/>
    <mergeCell ref="N266:N267"/>
    <mergeCell ref="O266:O267"/>
    <mergeCell ref="P266:P267"/>
    <mergeCell ref="Q266:Q267"/>
    <mergeCell ref="R266:R267"/>
    <mergeCell ref="S266:S267"/>
    <mergeCell ref="V269:V271"/>
    <mergeCell ref="W269:W271"/>
    <mergeCell ref="M269:M271"/>
    <mergeCell ref="N269:N271"/>
    <mergeCell ref="T270:T271"/>
    <mergeCell ref="T282:T285"/>
    <mergeCell ref="U282:U285"/>
    <mergeCell ref="V282:V285"/>
    <mergeCell ref="W282:W285"/>
    <mergeCell ref="N277:N281"/>
    <mergeCell ref="O277:O281"/>
    <mergeCell ref="P277:P281"/>
    <mergeCell ref="Q277:Q281"/>
    <mergeCell ref="R277:R281"/>
    <mergeCell ref="S277:S281"/>
    <mergeCell ref="V277:V281"/>
    <mergeCell ref="W277:W281"/>
    <mergeCell ref="T277:T281"/>
    <mergeCell ref="U277:U281"/>
    <mergeCell ref="K277:K281"/>
    <mergeCell ref="L277:L281"/>
    <mergeCell ref="K294:K295"/>
    <mergeCell ref="L294:L295"/>
    <mergeCell ref="M294:M295"/>
    <mergeCell ref="N294:N295"/>
    <mergeCell ref="O294:O295"/>
    <mergeCell ref="P294:P295"/>
    <mergeCell ref="Q294:Q295"/>
    <mergeCell ref="R294:R295"/>
    <mergeCell ref="S294:S295"/>
    <mergeCell ref="T294:T295"/>
    <mergeCell ref="U294:U295"/>
    <mergeCell ref="V294:V295"/>
    <mergeCell ref="W294:W295"/>
    <mergeCell ref="K286:K288"/>
    <mergeCell ref="L286:L288"/>
    <mergeCell ref="M286:M288"/>
    <mergeCell ref="W296:W302"/>
    <mergeCell ref="W309:W310"/>
    <mergeCell ref="T296:T302"/>
    <mergeCell ref="K296:K302"/>
    <mergeCell ref="L296:L302"/>
    <mergeCell ref="M296:M302"/>
    <mergeCell ref="N296:N302"/>
    <mergeCell ref="O296:O302"/>
    <mergeCell ref="K303:K308"/>
    <mergeCell ref="K309:K310"/>
    <mergeCell ref="L303:L308"/>
    <mergeCell ref="M303:M308"/>
    <mergeCell ref="K312:K313"/>
    <mergeCell ref="K314:K316"/>
    <mergeCell ref="K317:K320"/>
    <mergeCell ref="L312:L313"/>
    <mergeCell ref="M312:M313"/>
    <mergeCell ref="N312:N313"/>
    <mergeCell ref="O312:O313"/>
    <mergeCell ref="P312:P313"/>
    <mergeCell ref="Q312:Q313"/>
    <mergeCell ref="R312:R313"/>
    <mergeCell ref="S312:S313"/>
    <mergeCell ref="T312:T313"/>
    <mergeCell ref="U312:U313"/>
    <mergeCell ref="V312:V313"/>
    <mergeCell ref="W312:W313"/>
    <mergeCell ref="L314:L316"/>
    <mergeCell ref="M314:M316"/>
    <mergeCell ref="N314:N316"/>
    <mergeCell ref="O314:O316"/>
    <mergeCell ref="P314:P316"/>
    <mergeCell ref="Q314:Q316"/>
    <mergeCell ref="R314:R316"/>
    <mergeCell ref="S314:S316"/>
    <mergeCell ref="T314:T316"/>
    <mergeCell ref="U314:U316"/>
    <mergeCell ref="V314:V316"/>
    <mergeCell ref="W314:W316"/>
    <mergeCell ref="L317:L320"/>
    <mergeCell ref="M317:M320"/>
    <mergeCell ref="N317:N320"/>
    <mergeCell ref="O317:O320"/>
    <mergeCell ref="V317:V320"/>
    <mergeCell ref="W317:W320"/>
    <mergeCell ref="P317:P320"/>
    <mergeCell ref="O341:O344"/>
    <mergeCell ref="P341:P344"/>
    <mergeCell ref="Q341:Q344"/>
    <mergeCell ref="R341:R344"/>
    <mergeCell ref="S341:S344"/>
    <mergeCell ref="T341:T344"/>
    <mergeCell ref="U341:U344"/>
    <mergeCell ref="W329:W331"/>
    <mergeCell ref="R325:R326"/>
    <mergeCell ref="S325:S326"/>
    <mergeCell ref="T325:T326"/>
    <mergeCell ref="U325:U326"/>
    <mergeCell ref="V325:V326"/>
    <mergeCell ref="W325:W326"/>
    <mergeCell ref="V321:V323"/>
    <mergeCell ref="L341:L344"/>
    <mergeCell ref="M341:M344"/>
    <mergeCell ref="N341:N344"/>
    <mergeCell ref="K321:K323"/>
    <mergeCell ref="L321:L323"/>
    <mergeCell ref="M321:M323"/>
    <mergeCell ref="N321:N323"/>
    <mergeCell ref="O321:O323"/>
    <mergeCell ref="P321:P323"/>
    <mergeCell ref="Q321:Q323"/>
    <mergeCell ref="R321:R323"/>
    <mergeCell ref="S321:S323"/>
    <mergeCell ref="T321:T323"/>
    <mergeCell ref="U321:U323"/>
    <mergeCell ref="K329:K331"/>
    <mergeCell ref="L329:L331"/>
    <mergeCell ref="M329:M331"/>
    <mergeCell ref="N329:N331"/>
    <mergeCell ref="O329:O331"/>
    <mergeCell ref="P329:P331"/>
    <mergeCell ref="Q329:Q331"/>
    <mergeCell ref="R329:R331"/>
    <mergeCell ref="S329:S331"/>
    <mergeCell ref="T329:T331"/>
    <mergeCell ref="U329:U331"/>
    <mergeCell ref="Q327:Q328"/>
    <mergeCell ref="R327:R328"/>
    <mergeCell ref="S327:S328"/>
    <mergeCell ref="K325:K326"/>
    <mergeCell ref="L325:L326"/>
    <mergeCell ref="M325:M326"/>
    <mergeCell ref="N325:N326"/>
    <mergeCell ref="O325:O326"/>
    <mergeCell ref="P325:P326"/>
    <mergeCell ref="Q325:Q326"/>
    <mergeCell ref="K327:K328"/>
    <mergeCell ref="L327:L328"/>
    <mergeCell ref="M327:M328"/>
    <mergeCell ref="N327:N328"/>
    <mergeCell ref="O327:O328"/>
    <mergeCell ref="W327:W328"/>
    <mergeCell ref="V329:V331"/>
    <mergeCell ref="T327:T328"/>
    <mergeCell ref="U327:U328"/>
    <mergeCell ref="V327:V328"/>
    <mergeCell ref="P327:P328"/>
    <mergeCell ref="K346:K347"/>
    <mergeCell ref="L346:L347"/>
    <mergeCell ref="M346:M347"/>
    <mergeCell ref="N346:N347"/>
    <mergeCell ref="O346:O347"/>
    <mergeCell ref="P346:P347"/>
    <mergeCell ref="Q346:Q347"/>
    <mergeCell ref="R346:R347"/>
    <mergeCell ref="S346:S347"/>
    <mergeCell ref="T346:T347"/>
    <mergeCell ref="U346:U347"/>
    <mergeCell ref="V346:V347"/>
    <mergeCell ref="W346:W347"/>
    <mergeCell ref="K341:K344"/>
    <mergeCell ref="V341:V344"/>
    <mergeCell ref="R362:R363"/>
    <mergeCell ref="S362:S363"/>
    <mergeCell ref="T362:T363"/>
    <mergeCell ref="Q359:Q361"/>
    <mergeCell ref="W352:W358"/>
    <mergeCell ref="L359:L361"/>
    <mergeCell ref="M359:M361"/>
    <mergeCell ref="N359:N361"/>
    <mergeCell ref="Q362:Q363"/>
    <mergeCell ref="U362:U363"/>
    <mergeCell ref="V362:V363"/>
    <mergeCell ref="O359:O361"/>
    <mergeCell ref="P359:P361"/>
    <mergeCell ref="K438:K439"/>
    <mergeCell ref="W359:W361"/>
    <mergeCell ref="W362:W363"/>
    <mergeCell ref="K380:K384"/>
    <mergeCell ref="K352:K358"/>
    <mergeCell ref="K359:K361"/>
    <mergeCell ref="K362:K363"/>
    <mergeCell ref="L352:L358"/>
    <mergeCell ref="M352:M358"/>
    <mergeCell ref="N352:N358"/>
    <mergeCell ref="O352:O358"/>
    <mergeCell ref="P352:P358"/>
    <mergeCell ref="Q352:Q358"/>
    <mergeCell ref="R352:R358"/>
    <mergeCell ref="S352:S358"/>
    <mergeCell ref="T352:T358"/>
    <mergeCell ref="U352:U358"/>
    <mergeCell ref="V352:V358"/>
    <mergeCell ref="K364:K374"/>
    <mergeCell ref="L364:L374"/>
    <mergeCell ref="M364:M374"/>
    <mergeCell ref="N364:N374"/>
    <mergeCell ref="O364:O374"/>
    <mergeCell ref="P364:P374"/>
    <mergeCell ref="Q364:Q374"/>
    <mergeCell ref="R364:R374"/>
    <mergeCell ref="S364:S374"/>
    <mergeCell ref="T364:T374"/>
    <mergeCell ref="U364:U374"/>
    <mergeCell ref="V364:V374"/>
    <mergeCell ref="W364:W374"/>
    <mergeCell ref="K376:K378"/>
    <mergeCell ref="L376:L378"/>
    <mergeCell ref="R359:R361"/>
    <mergeCell ref="S359:S361"/>
    <mergeCell ref="T359:T361"/>
    <mergeCell ref="U359:U361"/>
    <mergeCell ref="V359:V361"/>
    <mergeCell ref="L362:L363"/>
    <mergeCell ref="M362:M363"/>
    <mergeCell ref="N362:N363"/>
    <mergeCell ref="O362:O363"/>
    <mergeCell ref="P362:P363"/>
    <mergeCell ref="M376:M378"/>
    <mergeCell ref="N376:N378"/>
    <mergeCell ref="O376:O378"/>
    <mergeCell ref="P376:P378"/>
    <mergeCell ref="Q376:Q378"/>
    <mergeCell ref="R376:R378"/>
    <mergeCell ref="S376:S378"/>
    <mergeCell ref="T376:T378"/>
    <mergeCell ref="U376:U378"/>
    <mergeCell ref="V376:V378"/>
    <mergeCell ref="T413:T414"/>
    <mergeCell ref="U413:U414"/>
    <mergeCell ref="O448:O449"/>
    <mergeCell ref="P448:P449"/>
    <mergeCell ref="Q448:Q449"/>
    <mergeCell ref="W376:W378"/>
    <mergeCell ref="K440:K442"/>
    <mergeCell ref="L438:L439"/>
    <mergeCell ref="M438:M439"/>
    <mergeCell ref="N438:N439"/>
    <mergeCell ref="O438:O439"/>
    <mergeCell ref="P438:P439"/>
    <mergeCell ref="Q438:Q439"/>
    <mergeCell ref="R438:R439"/>
    <mergeCell ref="S438:S439"/>
    <mergeCell ref="T438:T439"/>
    <mergeCell ref="L440:L442"/>
    <mergeCell ref="M440:M442"/>
    <mergeCell ref="N440:N442"/>
    <mergeCell ref="O440:O442"/>
    <mergeCell ref="P440:P442"/>
    <mergeCell ref="W395:W399"/>
    <mergeCell ref="V401:V407"/>
    <mergeCell ref="W401:W407"/>
    <mergeCell ref="V395:V399"/>
    <mergeCell ref="W421:W422"/>
    <mergeCell ref="K419:K420"/>
    <mergeCell ref="L419:L420"/>
    <mergeCell ref="M419:M420"/>
    <mergeCell ref="N419:N420"/>
    <mergeCell ref="W419:W420"/>
    <mergeCell ref="V453:V454"/>
    <mergeCell ref="W453:W454"/>
    <mergeCell ref="L455:L456"/>
    <mergeCell ref="M455:M456"/>
    <mergeCell ref="N455:N456"/>
    <mergeCell ref="O455:O456"/>
    <mergeCell ref="K446:K447"/>
    <mergeCell ref="K448:K449"/>
    <mergeCell ref="L446:L447"/>
    <mergeCell ref="M446:M447"/>
    <mergeCell ref="N446:N447"/>
    <mergeCell ref="O446:O447"/>
    <mergeCell ref="P446:P447"/>
    <mergeCell ref="Q446:Q447"/>
    <mergeCell ref="R446:R447"/>
    <mergeCell ref="S446:S447"/>
    <mergeCell ref="T446:T447"/>
    <mergeCell ref="P455:P456"/>
    <mergeCell ref="Q455:Q456"/>
    <mergeCell ref="S453:S454"/>
    <mergeCell ref="T453:T454"/>
    <mergeCell ref="U453:U454"/>
    <mergeCell ref="U446:U447"/>
    <mergeCell ref="V446:V447"/>
    <mergeCell ref="K427:K428"/>
    <mergeCell ref="L427:L428"/>
    <mergeCell ref="S419:S420"/>
    <mergeCell ref="T419:T420"/>
    <mergeCell ref="U419:U420"/>
    <mergeCell ref="W446:W447"/>
    <mergeCell ref="W432:W434"/>
    <mergeCell ref="M451:M452"/>
    <mergeCell ref="N451:N452"/>
    <mergeCell ref="O451:O452"/>
    <mergeCell ref="P451:P452"/>
    <mergeCell ref="Q451:Q452"/>
    <mergeCell ref="R451:R452"/>
    <mergeCell ref="S451:S452"/>
    <mergeCell ref="T451:T452"/>
    <mergeCell ref="M465:M466"/>
    <mergeCell ref="K469:K473"/>
    <mergeCell ref="Q469:Q473"/>
    <mergeCell ref="N494:N495"/>
    <mergeCell ref="O494:O495"/>
    <mergeCell ref="S487:S489"/>
    <mergeCell ref="T487:T489"/>
    <mergeCell ref="Q457:Q460"/>
    <mergeCell ref="O419:O420"/>
    <mergeCell ref="P419:P420"/>
    <mergeCell ref="Q419:Q420"/>
    <mergeCell ref="R419:R420"/>
    <mergeCell ref="P490:P492"/>
    <mergeCell ref="Q490:Q492"/>
    <mergeCell ref="R490:R492"/>
    <mergeCell ref="K432:K434"/>
    <mergeCell ref="K435:K437"/>
    <mergeCell ref="L432:L434"/>
    <mergeCell ref="M432:M434"/>
    <mergeCell ref="N432:N434"/>
    <mergeCell ref="K429:K431"/>
    <mergeCell ref="L435:L437"/>
    <mergeCell ref="R435:R437"/>
    <mergeCell ref="S435:S437"/>
    <mergeCell ref="N461:N463"/>
    <mergeCell ref="V461:V463"/>
    <mergeCell ref="N469:N473"/>
    <mergeCell ref="O469:O473"/>
    <mergeCell ref="P469:P473"/>
    <mergeCell ref="W461:W463"/>
    <mergeCell ref="U465:U466"/>
    <mergeCell ref="K494:K495"/>
    <mergeCell ref="L494:L495"/>
    <mergeCell ref="M494:M495"/>
    <mergeCell ref="T498:T500"/>
    <mergeCell ref="U498:U500"/>
    <mergeCell ref="P494:P495"/>
    <mergeCell ref="Q494:Q495"/>
    <mergeCell ref="O498:O500"/>
    <mergeCell ref="P498:P500"/>
    <mergeCell ref="K443:K445"/>
    <mergeCell ref="L443:L445"/>
    <mergeCell ref="M443:M445"/>
    <mergeCell ref="N443:N445"/>
    <mergeCell ref="O443:O445"/>
    <mergeCell ref="P443:P445"/>
    <mergeCell ref="R494:R495"/>
    <mergeCell ref="Q461:Q463"/>
    <mergeCell ref="R461:R463"/>
    <mergeCell ref="S461:S463"/>
    <mergeCell ref="T461:T463"/>
    <mergeCell ref="K451:K452"/>
    <mergeCell ref="K453:K454"/>
    <mergeCell ref="K455:K456"/>
    <mergeCell ref="K457:K460"/>
    <mergeCell ref="L451:L452"/>
    <mergeCell ref="W514:W516"/>
    <mergeCell ref="O457:O460"/>
    <mergeCell ref="P457:P460"/>
    <mergeCell ref="V465:V466"/>
    <mergeCell ref="W465:W466"/>
    <mergeCell ref="S469:S473"/>
    <mergeCell ref="R467:R468"/>
    <mergeCell ref="S467:S468"/>
    <mergeCell ref="L469:L473"/>
    <mergeCell ref="M469:M473"/>
    <mergeCell ref="T502:T507"/>
    <mergeCell ref="U502:U507"/>
    <mergeCell ref="V502:V507"/>
    <mergeCell ref="W502:W507"/>
    <mergeCell ref="K496:K497"/>
    <mergeCell ref="K498:K500"/>
    <mergeCell ref="K502:K507"/>
    <mergeCell ref="L496:L497"/>
    <mergeCell ref="N496:N497"/>
    <mergeCell ref="O496:O497"/>
    <mergeCell ref="P496:P497"/>
    <mergeCell ref="Q496:Q497"/>
    <mergeCell ref="W509:W510"/>
    <mergeCell ref="Q514:Q516"/>
    <mergeCell ref="R514:R516"/>
    <mergeCell ref="S514:S516"/>
    <mergeCell ref="V467:V468"/>
    <mergeCell ref="W467:W468"/>
    <mergeCell ref="K461:K463"/>
    <mergeCell ref="K465:K466"/>
    <mergeCell ref="L461:L463"/>
    <mergeCell ref="M461:M463"/>
    <mergeCell ref="K509:K510"/>
    <mergeCell ref="L509:L510"/>
    <mergeCell ref="M509:M510"/>
    <mergeCell ref="N509:N510"/>
    <mergeCell ref="O509:O510"/>
    <mergeCell ref="P509:P510"/>
    <mergeCell ref="Q509:Q510"/>
    <mergeCell ref="R509:R510"/>
    <mergeCell ref="S509:S510"/>
    <mergeCell ref="T509:T510"/>
    <mergeCell ref="U509:U510"/>
    <mergeCell ref="K517:K519"/>
    <mergeCell ref="V509:V510"/>
    <mergeCell ref="K511:K513"/>
    <mergeCell ref="K514:K516"/>
    <mergeCell ref="L511:L513"/>
    <mergeCell ref="M511:M513"/>
    <mergeCell ref="N511:N513"/>
    <mergeCell ref="O511:O513"/>
    <mergeCell ref="P511:P513"/>
    <mergeCell ref="Q511:Q513"/>
    <mergeCell ref="R511:R513"/>
    <mergeCell ref="S511:S513"/>
    <mergeCell ref="T511:T513"/>
    <mergeCell ref="U511:U513"/>
    <mergeCell ref="T514:T516"/>
    <mergeCell ref="U514:U516"/>
    <mergeCell ref="V514:V516"/>
    <mergeCell ref="V526:V527"/>
    <mergeCell ref="W526:W527"/>
    <mergeCell ref="S528:S534"/>
    <mergeCell ref="T528:T534"/>
    <mergeCell ref="U528:U534"/>
    <mergeCell ref="V528:V534"/>
    <mergeCell ref="W528:W534"/>
    <mergeCell ref="M535:M537"/>
    <mergeCell ref="V535:V537"/>
    <mergeCell ref="W535:W537"/>
    <mergeCell ref="M538:M539"/>
    <mergeCell ref="N538:N539"/>
    <mergeCell ref="U540:U541"/>
    <mergeCell ref="O538:O539"/>
    <mergeCell ref="P538:P539"/>
    <mergeCell ref="Q538:Q539"/>
    <mergeCell ref="R538:R539"/>
    <mergeCell ref="S538:S539"/>
    <mergeCell ref="T538:T539"/>
    <mergeCell ref="M528:M534"/>
    <mergeCell ref="S536:S537"/>
    <mergeCell ref="T536:T537"/>
    <mergeCell ref="N528:N534"/>
    <mergeCell ref="O528:O534"/>
    <mergeCell ref="P528:P534"/>
    <mergeCell ref="T540:T541"/>
    <mergeCell ref="N535:N537"/>
    <mergeCell ref="U535:U537"/>
    <mergeCell ref="N526:N527"/>
    <mergeCell ref="O526:O527"/>
    <mergeCell ref="P526:P527"/>
    <mergeCell ref="L528:L534"/>
    <mergeCell ref="K575:K576"/>
    <mergeCell ref="K573:K574"/>
    <mergeCell ref="L573:L574"/>
    <mergeCell ref="M573:M574"/>
    <mergeCell ref="L575:L576"/>
    <mergeCell ref="M575:M576"/>
    <mergeCell ref="U538:U539"/>
    <mergeCell ref="L536:L537"/>
    <mergeCell ref="O536:O537"/>
    <mergeCell ref="P536:P537"/>
    <mergeCell ref="Q536:Q537"/>
    <mergeCell ref="R536:R537"/>
    <mergeCell ref="Q528:Q534"/>
    <mergeCell ref="R528:R534"/>
    <mergeCell ref="K564:K565"/>
    <mergeCell ref="L564:L565"/>
    <mergeCell ref="L538:L539"/>
    <mergeCell ref="K546:K548"/>
    <mergeCell ref="K549:K555"/>
    <mergeCell ref="L546:L548"/>
    <mergeCell ref="M546:M548"/>
    <mergeCell ref="R571:R572"/>
    <mergeCell ref="S571:S572"/>
    <mergeCell ref="T571:T572"/>
    <mergeCell ref="N546:N548"/>
    <mergeCell ref="O546:O548"/>
    <mergeCell ref="P546:P548"/>
    <mergeCell ref="U571:U572"/>
    <mergeCell ref="N575:N576"/>
    <mergeCell ref="O575:O576"/>
    <mergeCell ref="Q546:Q548"/>
    <mergeCell ref="K520:K522"/>
    <mergeCell ref="K523:K524"/>
    <mergeCell ref="L520:L522"/>
    <mergeCell ref="M520:M522"/>
    <mergeCell ref="N520:N522"/>
    <mergeCell ref="O520:O522"/>
    <mergeCell ref="P520:P522"/>
    <mergeCell ref="Q520:Q522"/>
    <mergeCell ref="R520:R522"/>
    <mergeCell ref="S520:S522"/>
    <mergeCell ref="T520:T522"/>
    <mergeCell ref="U520:U522"/>
    <mergeCell ref="Q523:Q524"/>
    <mergeCell ref="Q526:Q527"/>
    <mergeCell ref="R526:R527"/>
    <mergeCell ref="S526:S527"/>
    <mergeCell ref="T526:T527"/>
    <mergeCell ref="U526:U527"/>
    <mergeCell ref="R523:R524"/>
    <mergeCell ref="S523:S524"/>
    <mergeCell ref="T523:T524"/>
    <mergeCell ref="U523:U524"/>
    <mergeCell ref="K535:K537"/>
    <mergeCell ref="P540:P541"/>
    <mergeCell ref="Q540:Q541"/>
    <mergeCell ref="R540:R541"/>
    <mergeCell ref="S540:S541"/>
    <mergeCell ref="K526:K527"/>
    <mergeCell ref="L526:L527"/>
    <mergeCell ref="M526:M527"/>
    <mergeCell ref="K538:K539"/>
    <mergeCell ref="L584:L586"/>
    <mergeCell ref="M584:M586"/>
    <mergeCell ref="N584:N586"/>
    <mergeCell ref="Q578:Q580"/>
    <mergeCell ref="R578:R580"/>
    <mergeCell ref="S578:S580"/>
    <mergeCell ref="T578:T580"/>
    <mergeCell ref="U578:U580"/>
    <mergeCell ref="K578:K580"/>
    <mergeCell ref="Q564:Q565"/>
    <mergeCell ref="R564:R565"/>
    <mergeCell ref="S564:S565"/>
    <mergeCell ref="T564:T565"/>
    <mergeCell ref="U564:U565"/>
    <mergeCell ref="K566:K567"/>
    <mergeCell ref="L566:L567"/>
    <mergeCell ref="M566:M567"/>
    <mergeCell ref="N566:N567"/>
    <mergeCell ref="O566:O567"/>
    <mergeCell ref="L578:L580"/>
    <mergeCell ref="M578:M580"/>
    <mergeCell ref="N578:N580"/>
    <mergeCell ref="O578:O580"/>
    <mergeCell ref="P578:P580"/>
    <mergeCell ref="L571:L572"/>
    <mergeCell ref="M571:M572"/>
    <mergeCell ref="N571:N572"/>
    <mergeCell ref="O571:O572"/>
    <mergeCell ref="P571:P572"/>
    <mergeCell ref="Q571:Q572"/>
    <mergeCell ref="P575:P576"/>
    <mergeCell ref="Q575:Q576"/>
    <mergeCell ref="R575:R576"/>
    <mergeCell ref="S575:S576"/>
    <mergeCell ref="T575:T576"/>
    <mergeCell ref="U575:U576"/>
    <mergeCell ref="V575:V576"/>
    <mergeCell ref="W575:W576"/>
    <mergeCell ref="V581:V582"/>
    <mergeCell ref="W581:W582"/>
    <mergeCell ref="V578:V580"/>
    <mergeCell ref="W578:W580"/>
    <mergeCell ref="N581:N582"/>
    <mergeCell ref="O581:O582"/>
    <mergeCell ref="P581:P582"/>
    <mergeCell ref="Q581:Q582"/>
    <mergeCell ref="R581:R582"/>
    <mergeCell ref="S581:S582"/>
    <mergeCell ref="T581:T582"/>
    <mergeCell ref="U581:U582"/>
    <mergeCell ref="V571:V572"/>
    <mergeCell ref="R584:R586"/>
    <mergeCell ref="S584:S586"/>
    <mergeCell ref="T584:T586"/>
    <mergeCell ref="U584:U586"/>
    <mergeCell ref="V584:V586"/>
    <mergeCell ref="W584:W586"/>
    <mergeCell ref="K597:K598"/>
    <mergeCell ref="L597:L598"/>
    <mergeCell ref="M597:M598"/>
    <mergeCell ref="N597:N598"/>
    <mergeCell ref="O597:O598"/>
    <mergeCell ref="P597:P598"/>
    <mergeCell ref="Q597:Q598"/>
    <mergeCell ref="R597:R598"/>
    <mergeCell ref="S597:S598"/>
    <mergeCell ref="T597:T598"/>
    <mergeCell ref="U597:U598"/>
    <mergeCell ref="V597:V598"/>
    <mergeCell ref="W597:W598"/>
    <mergeCell ref="K593:K595"/>
    <mergeCell ref="L593:L595"/>
    <mergeCell ref="M593:M595"/>
    <mergeCell ref="N593:N595"/>
    <mergeCell ref="O593:O595"/>
    <mergeCell ref="P593:P595"/>
    <mergeCell ref="Q593:Q595"/>
    <mergeCell ref="R593:R595"/>
    <mergeCell ref="S593:S595"/>
    <mergeCell ref="T593:T595"/>
    <mergeCell ref="O584:O586"/>
    <mergeCell ref="P584:P586"/>
    <mergeCell ref="Q584:Q586"/>
    <mergeCell ref="K604:K607"/>
    <mergeCell ref="L602:L603"/>
    <mergeCell ref="M602:M603"/>
    <mergeCell ref="N602:N603"/>
    <mergeCell ref="O602:O603"/>
    <mergeCell ref="P602:P603"/>
    <mergeCell ref="Q602:Q603"/>
    <mergeCell ref="R602:R603"/>
    <mergeCell ref="S602:S603"/>
    <mergeCell ref="T602:T603"/>
    <mergeCell ref="U602:U603"/>
    <mergeCell ref="V602:V603"/>
    <mergeCell ref="W602:W603"/>
    <mergeCell ref="L604:L607"/>
    <mergeCell ref="M604:M607"/>
    <mergeCell ref="N604:N607"/>
    <mergeCell ref="O604:O607"/>
    <mergeCell ref="P604:P607"/>
    <mergeCell ref="K602:K603"/>
    <mergeCell ref="K615:K622"/>
    <mergeCell ref="L615:L622"/>
    <mergeCell ref="M615:M622"/>
    <mergeCell ref="N615:N622"/>
    <mergeCell ref="O615:O622"/>
    <mergeCell ref="P615:P622"/>
    <mergeCell ref="Q615:Q622"/>
    <mergeCell ref="R615:R622"/>
    <mergeCell ref="S615:S622"/>
    <mergeCell ref="T615:T622"/>
    <mergeCell ref="U615:U622"/>
    <mergeCell ref="V615:V622"/>
    <mergeCell ref="W615:W622"/>
    <mergeCell ref="K623:K624"/>
    <mergeCell ref="L623:L624"/>
    <mergeCell ref="M623:M624"/>
    <mergeCell ref="N623:N624"/>
    <mergeCell ref="O623:O624"/>
    <mergeCell ref="P623:P624"/>
    <mergeCell ref="Q623:Q624"/>
    <mergeCell ref="R623:R624"/>
    <mergeCell ref="S623:S624"/>
    <mergeCell ref="T623:T624"/>
    <mergeCell ref="U623:U624"/>
    <mergeCell ref="V623:V624"/>
    <mergeCell ref="K625:K627"/>
    <mergeCell ref="K628:K630"/>
    <mergeCell ref="L625:L627"/>
    <mergeCell ref="M625:M627"/>
    <mergeCell ref="N625:N627"/>
    <mergeCell ref="O625:O627"/>
    <mergeCell ref="P625:P627"/>
    <mergeCell ref="Q625:Q627"/>
    <mergeCell ref="R625:R627"/>
    <mergeCell ref="S625:S627"/>
    <mergeCell ref="T625:T627"/>
    <mergeCell ref="U625:U627"/>
    <mergeCell ref="V625:V627"/>
    <mergeCell ref="W625:W627"/>
    <mergeCell ref="L628:L630"/>
    <mergeCell ref="M628:M630"/>
    <mergeCell ref="N628:N630"/>
    <mergeCell ref="O628:O630"/>
    <mergeCell ref="P628:P630"/>
    <mergeCell ref="Q628:Q630"/>
    <mergeCell ref="R628:R630"/>
    <mergeCell ref="S628:S630"/>
    <mergeCell ref="T628:T630"/>
    <mergeCell ref="U628:U630"/>
    <mergeCell ref="V628:V630"/>
    <mergeCell ref="W628:W630"/>
    <mergeCell ref="Q646:Q647"/>
    <mergeCell ref="R646:R647"/>
    <mergeCell ref="S646:S647"/>
    <mergeCell ref="T646:T647"/>
    <mergeCell ref="U646:U647"/>
    <mergeCell ref="V646:V647"/>
    <mergeCell ref="W646:W647"/>
    <mergeCell ref="K631:K634"/>
    <mergeCell ref="L631:L634"/>
    <mergeCell ref="M631:M634"/>
    <mergeCell ref="N631:N634"/>
    <mergeCell ref="O631:O634"/>
    <mergeCell ref="P631:P634"/>
    <mergeCell ref="Q631:Q634"/>
    <mergeCell ref="R631:R634"/>
    <mergeCell ref="S631:S634"/>
    <mergeCell ref="T631:T634"/>
    <mergeCell ref="U631:U634"/>
    <mergeCell ref="V631:V634"/>
    <mergeCell ref="W631:W634"/>
    <mergeCell ref="K639:K643"/>
    <mergeCell ref="L639:L643"/>
    <mergeCell ref="M639:M643"/>
    <mergeCell ref="N639:N643"/>
    <mergeCell ref="O639:O643"/>
    <mergeCell ref="P639:P643"/>
    <mergeCell ref="Q639:Q643"/>
    <mergeCell ref="R639:R643"/>
    <mergeCell ref="S639:S643"/>
    <mergeCell ref="T639:T643"/>
    <mergeCell ref="U639:U643"/>
    <mergeCell ref="V639:V643"/>
    <mergeCell ref="K648:K654"/>
    <mergeCell ref="L648:L654"/>
    <mergeCell ref="M648:M654"/>
    <mergeCell ref="N648:N654"/>
    <mergeCell ref="O648:O654"/>
    <mergeCell ref="P648:P654"/>
    <mergeCell ref="Q648:Q654"/>
    <mergeCell ref="R648:R654"/>
    <mergeCell ref="S648:S654"/>
    <mergeCell ref="T648:T654"/>
    <mergeCell ref="U648:U654"/>
    <mergeCell ref="V648:V654"/>
    <mergeCell ref="W648:W654"/>
    <mergeCell ref="K644:K645"/>
    <mergeCell ref="L644:L645"/>
    <mergeCell ref="M644:M645"/>
    <mergeCell ref="N644:N645"/>
    <mergeCell ref="O644:O645"/>
    <mergeCell ref="P644:P645"/>
    <mergeCell ref="Q644:Q645"/>
    <mergeCell ref="R644:R645"/>
    <mergeCell ref="S644:S645"/>
    <mergeCell ref="T644:T645"/>
    <mergeCell ref="U644:U645"/>
    <mergeCell ref="V644:V645"/>
    <mergeCell ref="W644:W645"/>
    <mergeCell ref="K646:K647"/>
    <mergeCell ref="L646:L647"/>
    <mergeCell ref="M646:M647"/>
    <mergeCell ref="N646:N647"/>
    <mergeCell ref="O646:O647"/>
    <mergeCell ref="P646:P647"/>
  </mergeCells>
  <phoneticPr fontId="14" type="noConversion"/>
  <conditionalFormatting sqref="N2:N3">
    <cfRule type="cellIs" dxfId="1" priority="914" stopIfTrue="1" operator="equal">
      <formula>"NOK"</formula>
    </cfRule>
  </conditionalFormatting>
  <dataValidations count="6">
    <dataValidation type="list" allowBlank="1" showErrorMessage="1" sqref="V4:V29 V31:V87 N2:N202 V89:V202 N205:N231 N234:N269 V205:V269 V272:V309 V311:V365 N272:N365 V369:V465 N369:N535 V467:V535 N538:N664 V538:V664 N665:N666 V665:V666" xr:uid="{00000000-0002-0000-0000-000000000000}">
      <formula1>"OK,NOK"</formula1>
    </dataValidation>
    <dataValidation type="list" allowBlank="1" showErrorMessage="1" sqref="T4:T365 T369:T664 T665:T666" xr:uid="{00000000-0002-0000-0000-000001000000}">
      <formula1>"Rework,Derogation"</formula1>
    </dataValidation>
    <dataValidation type="list" showErrorMessage="1" sqref="O4:O365 O369:O664 O665:O666" xr:uid="{00000000-0002-0000-0000-000002000000}">
      <formula1>INDIRECT("BB")</formula1>
    </dataValidation>
    <dataValidation type="list" showErrorMessage="1" sqref="P4:P365 P369:P664 P665:P666" xr:uid="{00000000-0002-0000-0000-000003000000}">
      <formula1>INDIRECT("CC")</formula1>
    </dataValidation>
    <dataValidation type="list" allowBlank="1" showErrorMessage="1" sqref="R4:R365 R369:R664 R665:R666" xr:uid="{00000000-0002-0000-0000-000004000000}">
      <formula1>INDIRECT("EE")</formula1>
    </dataValidation>
    <dataValidation type="list" showErrorMessage="1" sqref="S4:S365 S369:S664 S665:S666" xr:uid="{00000000-0002-0000-0000-000005000000}">
      <formula1>INDIRECT("DD")</formula1>
    </dataValidation>
  </dataValidations>
  <pageMargins left="0.75" right="0.75" top="1.365" bottom="1" header="0.51180555555555596" footer="0.51180555555555596"/>
  <pageSetup scale="92" firstPageNumber="0" orientation="landscape" useFirstPageNumber="1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X347"/>
  <sheetViews>
    <sheetView showGridLines="0" zoomScale="93" zoomScaleNormal="93" zoomScaleSheetLayoutView="75" workbookViewId="0">
      <pane xSplit="3" ySplit="3" topLeftCell="D334" activePane="bottomRight" state="frozen"/>
      <selection pane="topRight"/>
      <selection pane="bottomLeft"/>
      <selection pane="bottomRight" activeCell="H354" sqref="H354"/>
    </sheetView>
  </sheetViews>
  <sheetFormatPr defaultColWidth="9" defaultRowHeight="13.75" customHeight="1"/>
  <cols>
    <col min="1" max="1" width="5.08984375" style="56" customWidth="1"/>
    <col min="2" max="2" width="6.08984375" style="57" customWidth="1"/>
    <col min="3" max="3" width="10.6328125" style="58" customWidth="1"/>
    <col min="4" max="5" width="10.26953125" style="2" customWidth="1"/>
    <col min="6" max="6" width="28.08984375" style="2" customWidth="1"/>
    <col min="7" max="7" width="5.54296875" style="2" customWidth="1"/>
    <col min="8" max="8" width="9.90625" style="59" customWidth="1"/>
    <col min="9" max="9" width="14.81640625" style="59" customWidth="1"/>
    <col min="10" max="13" width="6.26953125" style="59" customWidth="1"/>
    <col min="14" max="14" width="6.26953125" style="2" customWidth="1"/>
    <col min="15" max="16" width="10" style="2" customWidth="1"/>
    <col min="17" max="17" width="33.453125" style="60" customWidth="1"/>
    <col min="18" max="18" width="8.08984375" style="2" customWidth="1"/>
    <col min="19" max="19" width="7.26953125" style="2" customWidth="1"/>
    <col min="20" max="20" width="11.26953125" style="2" customWidth="1"/>
    <col min="21" max="21" width="16.90625" style="2" customWidth="1"/>
    <col min="22" max="23" width="10.1796875" style="2" customWidth="1"/>
    <col min="24" max="24" width="11" style="2" customWidth="1"/>
    <col min="25" max="16384" width="9" style="2"/>
  </cols>
  <sheetData>
    <row r="1" spans="1:24" s="54" customFormat="1" ht="27" customHeight="1" thickBot="1">
      <c r="A1" s="1364" t="s">
        <v>0</v>
      </c>
      <c r="B1" s="1365"/>
      <c r="C1" s="1365"/>
      <c r="D1" s="1365"/>
      <c r="E1" s="1365"/>
      <c r="F1" s="1365"/>
      <c r="G1" s="1365"/>
      <c r="H1" s="1365"/>
      <c r="I1" s="1365"/>
      <c r="J1" s="1365"/>
      <c r="K1" s="1365"/>
      <c r="L1" s="1365"/>
      <c r="M1" s="1365"/>
      <c r="N1" s="1365"/>
      <c r="O1" s="1365"/>
      <c r="P1" s="1365"/>
      <c r="Q1" s="1365"/>
      <c r="R1" s="1365"/>
      <c r="S1" s="1365"/>
      <c r="T1" s="1365"/>
      <c r="U1" s="1260" t="s">
        <v>264</v>
      </c>
      <c r="V1" s="1260"/>
      <c r="W1" s="1260"/>
      <c r="X1" s="114"/>
    </row>
    <row r="2" spans="1:24" s="55" customFormat="1" ht="17.5" customHeight="1" thickBot="1">
      <c r="A2" s="1366" t="s">
        <v>1</v>
      </c>
      <c r="B2" s="1367" t="s">
        <v>2</v>
      </c>
      <c r="C2" s="1368" t="s">
        <v>3</v>
      </c>
      <c r="D2" s="1369" t="s">
        <v>4</v>
      </c>
      <c r="E2" s="1369" t="s">
        <v>5</v>
      </c>
      <c r="F2" s="1369" t="s">
        <v>6</v>
      </c>
      <c r="G2" s="1369" t="s">
        <v>7</v>
      </c>
      <c r="H2" s="1370" t="s">
        <v>8</v>
      </c>
      <c r="I2" s="1370" t="s">
        <v>9</v>
      </c>
      <c r="J2" s="1370" t="s">
        <v>10</v>
      </c>
      <c r="K2" s="1370" t="s">
        <v>11</v>
      </c>
      <c r="L2" s="1370" t="s">
        <v>12</v>
      </c>
      <c r="M2" s="1370" t="s">
        <v>13</v>
      </c>
      <c r="N2" s="1369" t="s">
        <v>14</v>
      </c>
      <c r="O2" s="1371" t="s">
        <v>15</v>
      </c>
      <c r="P2" s="1371"/>
      <c r="Q2" s="1373" t="s">
        <v>16</v>
      </c>
      <c r="R2" s="1369" t="s">
        <v>17</v>
      </c>
      <c r="S2" s="1369" t="s">
        <v>18</v>
      </c>
      <c r="T2" s="1369" t="s">
        <v>19</v>
      </c>
      <c r="U2" s="1369" t="s">
        <v>20</v>
      </c>
      <c r="V2" s="1369" t="s">
        <v>21</v>
      </c>
      <c r="W2" s="1372" t="s">
        <v>22</v>
      </c>
    </row>
    <row r="3" spans="1:24" s="55" customFormat="1" ht="17.5" customHeight="1" thickBot="1">
      <c r="A3" s="1262"/>
      <c r="B3" s="1264"/>
      <c r="C3" s="1266"/>
      <c r="D3" s="1258"/>
      <c r="E3" s="1258"/>
      <c r="F3" s="1258"/>
      <c r="G3" s="1258"/>
      <c r="H3" s="1268"/>
      <c r="I3" s="1268"/>
      <c r="J3" s="1268"/>
      <c r="K3" s="1268"/>
      <c r="L3" s="1268"/>
      <c r="M3" s="1268"/>
      <c r="N3" s="1258"/>
      <c r="O3" s="129" t="s">
        <v>23</v>
      </c>
      <c r="P3" s="130" t="s">
        <v>24</v>
      </c>
      <c r="Q3" s="1258"/>
      <c r="R3" s="1258"/>
      <c r="S3" s="1258"/>
      <c r="T3" s="1258"/>
      <c r="U3" s="1258"/>
      <c r="V3" s="1258"/>
      <c r="W3" s="1270"/>
    </row>
    <row r="4" spans="1:24" ht="17.5" customHeight="1">
      <c r="A4" s="63" t="s">
        <v>141</v>
      </c>
      <c r="B4" s="64">
        <v>1</v>
      </c>
      <c r="C4" s="65">
        <v>46024</v>
      </c>
      <c r="D4" s="66" t="s">
        <v>148</v>
      </c>
      <c r="E4" s="123" t="s">
        <v>263</v>
      </c>
      <c r="F4" s="123" t="s">
        <v>262</v>
      </c>
      <c r="G4" s="123" t="s">
        <v>32</v>
      </c>
      <c r="H4" s="123">
        <v>5572325</v>
      </c>
      <c r="I4" s="123" t="s">
        <v>277</v>
      </c>
      <c r="J4" s="123">
        <v>6</v>
      </c>
      <c r="K4" s="1142">
        <v>1</v>
      </c>
      <c r="L4" s="1142"/>
      <c r="M4" s="1142">
        <v>0</v>
      </c>
      <c r="N4" s="1358" t="s">
        <v>149</v>
      </c>
      <c r="O4" s="1142"/>
      <c r="P4" s="1142"/>
      <c r="Q4" s="1142"/>
      <c r="R4" s="1142"/>
      <c r="S4" s="1142"/>
      <c r="T4" s="1142"/>
      <c r="U4" s="1142"/>
      <c r="V4" s="1142"/>
      <c r="W4" s="1144"/>
    </row>
    <row r="5" spans="1:24" ht="17.5" customHeight="1">
      <c r="A5" s="86" t="s">
        <v>141</v>
      </c>
      <c r="B5" s="120">
        <v>1</v>
      </c>
      <c r="C5" s="121">
        <v>46024</v>
      </c>
      <c r="D5" s="122" t="s">
        <v>148</v>
      </c>
      <c r="E5" s="125" t="s">
        <v>263</v>
      </c>
      <c r="F5" s="125" t="s">
        <v>262</v>
      </c>
      <c r="G5" s="125" t="s">
        <v>28</v>
      </c>
      <c r="H5" s="125">
        <v>5572326</v>
      </c>
      <c r="I5" s="125" t="s">
        <v>277</v>
      </c>
      <c r="J5" s="125">
        <v>8</v>
      </c>
      <c r="K5" s="1356"/>
      <c r="L5" s="1356"/>
      <c r="M5" s="1356"/>
      <c r="N5" s="1359"/>
      <c r="O5" s="1356"/>
      <c r="P5" s="1356"/>
      <c r="Q5" s="1356"/>
      <c r="R5" s="1356"/>
      <c r="S5" s="1356"/>
      <c r="T5" s="1356"/>
      <c r="U5" s="1356"/>
      <c r="V5" s="1356"/>
      <c r="W5" s="1354"/>
    </row>
    <row r="6" spans="1:24" ht="17.5" customHeight="1" thickBot="1">
      <c r="A6" s="116" t="s">
        <v>141</v>
      </c>
      <c r="B6" s="117">
        <v>1</v>
      </c>
      <c r="C6" s="118">
        <v>46024</v>
      </c>
      <c r="D6" s="119" t="s">
        <v>148</v>
      </c>
      <c r="E6" s="126" t="s">
        <v>263</v>
      </c>
      <c r="F6" s="126" t="s">
        <v>262</v>
      </c>
      <c r="G6" s="126" t="s">
        <v>36</v>
      </c>
      <c r="H6" s="126">
        <v>5572327</v>
      </c>
      <c r="I6" s="126" t="s">
        <v>277</v>
      </c>
      <c r="J6" s="126">
        <v>8</v>
      </c>
      <c r="K6" s="1357"/>
      <c r="L6" s="1357"/>
      <c r="M6" s="1357"/>
      <c r="N6" s="1360"/>
      <c r="O6" s="1357"/>
      <c r="P6" s="1357"/>
      <c r="Q6" s="1357"/>
      <c r="R6" s="1357"/>
      <c r="S6" s="1357"/>
      <c r="T6" s="1357"/>
      <c r="U6" s="1357"/>
      <c r="V6" s="1357"/>
      <c r="W6" s="1355"/>
    </row>
    <row r="7" spans="1:24" customFormat="1" ht="16.5" customHeight="1">
      <c r="A7" s="63" t="s">
        <v>141</v>
      </c>
      <c r="B7" s="149">
        <v>2</v>
      </c>
      <c r="C7" s="150">
        <v>46027</v>
      </c>
      <c r="D7" s="151" t="s">
        <v>253</v>
      </c>
      <c r="E7" s="152" t="s">
        <v>259</v>
      </c>
      <c r="F7" s="152" t="s">
        <v>261</v>
      </c>
      <c r="G7" s="152">
        <v>700</v>
      </c>
      <c r="H7" s="153">
        <v>5747049</v>
      </c>
      <c r="I7" s="152" t="s">
        <v>285</v>
      </c>
      <c r="J7" s="152">
        <v>20</v>
      </c>
      <c r="K7" s="152">
        <v>5</v>
      </c>
      <c r="L7" s="152"/>
      <c r="M7" s="152">
        <v>0</v>
      </c>
      <c r="N7" s="152" t="s">
        <v>149</v>
      </c>
      <c r="O7" s="152"/>
      <c r="P7" s="152"/>
      <c r="Q7" s="152"/>
      <c r="R7" s="152"/>
      <c r="S7" s="152"/>
      <c r="T7" s="152"/>
      <c r="U7" s="152"/>
      <c r="V7" s="152"/>
      <c r="W7" s="154"/>
    </row>
    <row r="8" spans="1:24" customFormat="1" ht="16.5" customHeight="1" thickBot="1">
      <c r="A8" s="134" t="s">
        <v>141</v>
      </c>
      <c r="B8" s="135">
        <v>2</v>
      </c>
      <c r="C8" s="136">
        <v>46027</v>
      </c>
      <c r="D8" s="137" t="s">
        <v>253</v>
      </c>
      <c r="E8" s="138" t="s">
        <v>259</v>
      </c>
      <c r="F8" s="138" t="s">
        <v>260</v>
      </c>
      <c r="G8" s="138">
        <v>700</v>
      </c>
      <c r="H8" s="139">
        <v>5747048</v>
      </c>
      <c r="I8" s="138" t="s">
        <v>286</v>
      </c>
      <c r="J8" s="138">
        <v>20</v>
      </c>
      <c r="K8" s="138">
        <v>5</v>
      </c>
      <c r="L8" s="138"/>
      <c r="M8" s="138">
        <v>0</v>
      </c>
      <c r="N8" s="138" t="s">
        <v>149</v>
      </c>
      <c r="O8" s="138"/>
      <c r="P8" s="138"/>
      <c r="Q8" s="138"/>
      <c r="R8" s="138"/>
      <c r="S8" s="138"/>
      <c r="T8" s="138"/>
      <c r="U8" s="138"/>
      <c r="V8" s="138"/>
      <c r="W8" s="140"/>
    </row>
    <row r="9" spans="1:24" customFormat="1" ht="16.5" customHeight="1">
      <c r="A9" s="63" t="s">
        <v>141</v>
      </c>
      <c r="B9" s="149">
        <v>2</v>
      </c>
      <c r="C9" s="150">
        <v>46030</v>
      </c>
      <c r="D9" s="151" t="s">
        <v>253</v>
      </c>
      <c r="E9" s="152" t="s">
        <v>254</v>
      </c>
      <c r="F9" s="152" t="s">
        <v>255</v>
      </c>
      <c r="G9" s="152">
        <v>700</v>
      </c>
      <c r="H9" s="153">
        <v>5747074</v>
      </c>
      <c r="I9" s="152" t="s">
        <v>296</v>
      </c>
      <c r="J9" s="152">
        <v>4</v>
      </c>
      <c r="K9" s="152">
        <v>4</v>
      </c>
      <c r="L9" s="152"/>
      <c r="M9" s="152">
        <v>0</v>
      </c>
      <c r="N9" s="152" t="s">
        <v>149</v>
      </c>
      <c r="O9" s="152"/>
      <c r="P9" s="152"/>
      <c r="Q9" s="152"/>
      <c r="R9" s="152"/>
      <c r="S9" s="152"/>
      <c r="T9" s="152"/>
      <c r="U9" s="152"/>
      <c r="V9" s="152"/>
      <c r="W9" s="154"/>
    </row>
    <row r="10" spans="1:24" customFormat="1" ht="16.5" customHeight="1" thickBot="1">
      <c r="A10" s="116" t="s">
        <v>141</v>
      </c>
      <c r="B10" s="141">
        <v>2</v>
      </c>
      <c r="C10" s="142">
        <v>46030</v>
      </c>
      <c r="D10" s="143" t="s">
        <v>253</v>
      </c>
      <c r="E10" s="172" t="s">
        <v>254</v>
      </c>
      <c r="F10" s="172" t="s">
        <v>256</v>
      </c>
      <c r="G10" s="172">
        <v>700</v>
      </c>
      <c r="H10" s="145">
        <v>5747078</v>
      </c>
      <c r="I10" s="172" t="s">
        <v>297</v>
      </c>
      <c r="J10" s="172">
        <v>5</v>
      </c>
      <c r="K10" s="172">
        <v>5</v>
      </c>
      <c r="L10" s="172"/>
      <c r="M10" s="172">
        <v>0</v>
      </c>
      <c r="N10" s="172" t="s">
        <v>149</v>
      </c>
      <c r="O10" s="172"/>
      <c r="P10" s="172"/>
      <c r="Q10" s="172"/>
      <c r="R10" s="172"/>
      <c r="S10" s="172"/>
      <c r="T10" s="172"/>
      <c r="U10" s="172"/>
      <c r="V10" s="172"/>
      <c r="W10" s="173"/>
    </row>
    <row r="11" spans="1:24" customFormat="1" ht="16.5" customHeight="1">
      <c r="A11" s="134" t="s">
        <v>141</v>
      </c>
      <c r="B11" s="135">
        <v>2</v>
      </c>
      <c r="C11" s="136">
        <v>46031</v>
      </c>
      <c r="D11" s="137" t="s">
        <v>136</v>
      </c>
      <c r="E11" s="138" t="s">
        <v>242</v>
      </c>
      <c r="F11" s="138" t="s">
        <v>240</v>
      </c>
      <c r="G11" s="138" t="s">
        <v>241</v>
      </c>
      <c r="H11" s="139">
        <v>5366925</v>
      </c>
      <c r="I11" s="138" t="s">
        <v>287</v>
      </c>
      <c r="J11" s="138">
        <v>1</v>
      </c>
      <c r="K11" s="1374">
        <v>1</v>
      </c>
      <c r="L11" s="1374"/>
      <c r="M11" s="1374">
        <v>0</v>
      </c>
      <c r="N11" s="1374" t="s">
        <v>149</v>
      </c>
      <c r="O11" s="1374"/>
      <c r="P11" s="1374"/>
      <c r="Q11" s="1374"/>
      <c r="R11" s="1374"/>
      <c r="S11" s="1374"/>
      <c r="T11" s="1374"/>
      <c r="U11" s="1374"/>
      <c r="V11" s="1374"/>
      <c r="W11" s="1362"/>
    </row>
    <row r="12" spans="1:24" customFormat="1" ht="16.5" customHeight="1">
      <c r="A12" s="134" t="s">
        <v>141</v>
      </c>
      <c r="B12" s="135">
        <v>2</v>
      </c>
      <c r="C12" s="136">
        <v>46031</v>
      </c>
      <c r="D12" s="137" t="s">
        <v>136</v>
      </c>
      <c r="E12" s="138" t="s">
        <v>242</v>
      </c>
      <c r="F12" s="138" t="s">
        <v>240</v>
      </c>
      <c r="G12" s="138" t="s">
        <v>63</v>
      </c>
      <c r="H12" s="139">
        <v>5366926</v>
      </c>
      <c r="I12" s="138" t="s">
        <v>288</v>
      </c>
      <c r="J12" s="138">
        <v>1</v>
      </c>
      <c r="K12" s="1150"/>
      <c r="L12" s="1150"/>
      <c r="M12" s="1150"/>
      <c r="N12" s="1150"/>
      <c r="O12" s="1150"/>
      <c r="P12" s="1150"/>
      <c r="Q12" s="1150"/>
      <c r="R12" s="1150"/>
      <c r="S12" s="1150"/>
      <c r="T12" s="1150"/>
      <c r="U12" s="1150"/>
      <c r="V12" s="1150"/>
      <c r="W12" s="1151"/>
    </row>
    <row r="13" spans="1:24" customFormat="1" ht="16.5" customHeight="1">
      <c r="A13" s="134" t="s">
        <v>141</v>
      </c>
      <c r="B13" s="135">
        <v>2</v>
      </c>
      <c r="C13" s="136">
        <v>46031</v>
      </c>
      <c r="D13" s="137" t="s">
        <v>136</v>
      </c>
      <c r="E13" s="138" t="s">
        <v>242</v>
      </c>
      <c r="F13" s="138" t="s">
        <v>240</v>
      </c>
      <c r="G13" s="138" t="s">
        <v>32</v>
      </c>
      <c r="H13" s="139">
        <v>5366927</v>
      </c>
      <c r="I13" s="138" t="s">
        <v>289</v>
      </c>
      <c r="J13" s="138">
        <v>5</v>
      </c>
      <c r="K13" s="1150"/>
      <c r="L13" s="1150"/>
      <c r="M13" s="1150"/>
      <c r="N13" s="1150"/>
      <c r="O13" s="1150"/>
      <c r="P13" s="1150"/>
      <c r="Q13" s="1150"/>
      <c r="R13" s="1150"/>
      <c r="S13" s="1150"/>
      <c r="T13" s="1150"/>
      <c r="U13" s="1150"/>
      <c r="V13" s="1150"/>
      <c r="W13" s="1151"/>
    </row>
    <row r="14" spans="1:24" customFormat="1" ht="16.5" customHeight="1">
      <c r="A14" s="134" t="s">
        <v>141</v>
      </c>
      <c r="B14" s="135">
        <v>2</v>
      </c>
      <c r="C14" s="136">
        <v>46031</v>
      </c>
      <c r="D14" s="137" t="s">
        <v>136</v>
      </c>
      <c r="E14" s="138" t="s">
        <v>242</v>
      </c>
      <c r="F14" s="138" t="s">
        <v>240</v>
      </c>
      <c r="G14" s="138" t="s">
        <v>28</v>
      </c>
      <c r="H14" s="139">
        <v>5366928</v>
      </c>
      <c r="I14" s="138" t="s">
        <v>290</v>
      </c>
      <c r="J14" s="138">
        <v>8</v>
      </c>
      <c r="K14" s="1150"/>
      <c r="L14" s="1150"/>
      <c r="M14" s="1150"/>
      <c r="N14" s="1150"/>
      <c r="O14" s="1150"/>
      <c r="P14" s="1150"/>
      <c r="Q14" s="1150"/>
      <c r="R14" s="1150"/>
      <c r="S14" s="1150"/>
      <c r="T14" s="1150"/>
      <c r="U14" s="1150"/>
      <c r="V14" s="1150"/>
      <c r="W14" s="1151"/>
    </row>
    <row r="15" spans="1:24" customFormat="1" ht="16.5" customHeight="1">
      <c r="A15" s="134" t="s">
        <v>141</v>
      </c>
      <c r="B15" s="135">
        <v>2</v>
      </c>
      <c r="C15" s="136">
        <v>46031</v>
      </c>
      <c r="D15" s="137" t="s">
        <v>136</v>
      </c>
      <c r="E15" s="138" t="s">
        <v>242</v>
      </c>
      <c r="F15" s="138" t="s">
        <v>240</v>
      </c>
      <c r="G15" s="138" t="s">
        <v>36</v>
      </c>
      <c r="H15" s="139">
        <v>5366929</v>
      </c>
      <c r="I15" s="138" t="s">
        <v>291</v>
      </c>
      <c r="J15" s="138">
        <v>4</v>
      </c>
      <c r="K15" s="1150"/>
      <c r="L15" s="1150"/>
      <c r="M15" s="1150"/>
      <c r="N15" s="1150"/>
      <c r="O15" s="1150"/>
      <c r="P15" s="1150"/>
      <c r="Q15" s="1150"/>
      <c r="R15" s="1150"/>
      <c r="S15" s="1150"/>
      <c r="T15" s="1150"/>
      <c r="U15" s="1150"/>
      <c r="V15" s="1150"/>
      <c r="W15" s="1151"/>
    </row>
    <row r="16" spans="1:24" customFormat="1" ht="16.5" customHeight="1" thickBot="1">
      <c r="A16" s="116" t="s">
        <v>141</v>
      </c>
      <c r="B16" s="141">
        <v>2</v>
      </c>
      <c r="C16" s="142">
        <v>46031</v>
      </c>
      <c r="D16" s="143" t="s">
        <v>136</v>
      </c>
      <c r="E16" s="144" t="s">
        <v>242</v>
      </c>
      <c r="F16" s="144" t="s">
        <v>240</v>
      </c>
      <c r="G16" s="144" t="s">
        <v>52</v>
      </c>
      <c r="H16" s="145">
        <v>5366930</v>
      </c>
      <c r="I16" s="144" t="s">
        <v>292</v>
      </c>
      <c r="J16" s="144">
        <v>1</v>
      </c>
      <c r="K16" s="1147"/>
      <c r="L16" s="1147"/>
      <c r="M16" s="1147"/>
      <c r="N16" s="1147"/>
      <c r="O16" s="1147"/>
      <c r="P16" s="1147"/>
      <c r="Q16" s="1147"/>
      <c r="R16" s="1147"/>
      <c r="S16" s="1147"/>
      <c r="T16" s="1147"/>
      <c r="U16" s="1147"/>
      <c r="V16" s="1147"/>
      <c r="W16" s="1149"/>
    </row>
    <row r="17" spans="1:23" customFormat="1" ht="16.5" customHeight="1" thickBot="1">
      <c r="A17" s="67" t="s">
        <v>141</v>
      </c>
      <c r="B17" s="68">
        <v>2</v>
      </c>
      <c r="C17" s="69">
        <v>46032</v>
      </c>
      <c r="D17" s="70" t="s">
        <v>143</v>
      </c>
      <c r="E17" s="71" t="s">
        <v>94</v>
      </c>
      <c r="F17" s="71" t="s">
        <v>95</v>
      </c>
      <c r="G17" s="71" t="s">
        <v>32</v>
      </c>
      <c r="H17" s="88">
        <v>4488547</v>
      </c>
      <c r="I17" s="71">
        <v>1110168462</v>
      </c>
      <c r="J17" s="71">
        <v>4</v>
      </c>
      <c r="K17" s="71">
        <v>1</v>
      </c>
      <c r="L17" s="71"/>
      <c r="M17" s="71">
        <v>0</v>
      </c>
      <c r="N17" s="71" t="s">
        <v>149</v>
      </c>
      <c r="O17" s="71"/>
      <c r="P17" s="71"/>
      <c r="Q17" s="71"/>
      <c r="R17" s="71"/>
      <c r="S17" s="71"/>
      <c r="T17" s="71"/>
      <c r="U17" s="71"/>
      <c r="V17" s="71"/>
      <c r="W17" s="72"/>
    </row>
    <row r="18" spans="1:23" customFormat="1" ht="16.5" customHeight="1">
      <c r="A18" s="63" t="s">
        <v>141</v>
      </c>
      <c r="B18" s="64">
        <v>3</v>
      </c>
      <c r="C18" s="65">
        <v>46034</v>
      </c>
      <c r="D18" s="66" t="s">
        <v>147</v>
      </c>
      <c r="E18" s="178" t="s">
        <v>100</v>
      </c>
      <c r="F18" s="178" t="s">
        <v>102</v>
      </c>
      <c r="G18" s="178" t="s">
        <v>36</v>
      </c>
      <c r="H18" s="189">
        <v>4765555</v>
      </c>
      <c r="I18" s="178">
        <v>1110167199</v>
      </c>
      <c r="J18" s="178">
        <v>1</v>
      </c>
      <c r="K18" s="1142">
        <v>1</v>
      </c>
      <c r="L18" s="1142"/>
      <c r="M18" s="1142">
        <v>0</v>
      </c>
      <c r="N18" s="1142" t="s">
        <v>149</v>
      </c>
      <c r="O18" s="1142"/>
      <c r="P18" s="1142"/>
      <c r="Q18" s="1142"/>
      <c r="R18" s="1142"/>
      <c r="S18" s="1142"/>
      <c r="T18" s="1142"/>
      <c r="U18" s="1142"/>
      <c r="V18" s="1142"/>
      <c r="W18" s="1153"/>
    </row>
    <row r="19" spans="1:23" customFormat="1" ht="16.5" customHeight="1">
      <c r="A19" s="134" t="s">
        <v>141</v>
      </c>
      <c r="B19" s="135">
        <v>3</v>
      </c>
      <c r="C19" s="136">
        <v>46034</v>
      </c>
      <c r="D19" s="137" t="s">
        <v>147</v>
      </c>
      <c r="E19" s="179" t="s">
        <v>100</v>
      </c>
      <c r="F19" s="179" t="s">
        <v>102</v>
      </c>
      <c r="G19" s="179" t="s">
        <v>36</v>
      </c>
      <c r="H19" s="188">
        <v>4765555</v>
      </c>
      <c r="I19" s="179" t="s">
        <v>305</v>
      </c>
      <c r="J19" s="179">
        <v>3</v>
      </c>
      <c r="K19" s="1143"/>
      <c r="L19" s="1143"/>
      <c r="M19" s="1143"/>
      <c r="N19" s="1143"/>
      <c r="O19" s="1143"/>
      <c r="P19" s="1143"/>
      <c r="Q19" s="1143"/>
      <c r="R19" s="1143"/>
      <c r="S19" s="1143"/>
      <c r="T19" s="1143"/>
      <c r="U19" s="1143"/>
      <c r="V19" s="1143"/>
      <c r="W19" s="1145"/>
    </row>
    <row r="20" spans="1:23" customFormat="1" ht="16.5" customHeight="1" thickBot="1">
      <c r="A20" s="116" t="s">
        <v>141</v>
      </c>
      <c r="B20" s="141">
        <v>3</v>
      </c>
      <c r="C20" s="142">
        <v>46034</v>
      </c>
      <c r="D20" s="143" t="s">
        <v>147</v>
      </c>
      <c r="E20" s="181" t="s">
        <v>100</v>
      </c>
      <c r="F20" s="181" t="s">
        <v>102</v>
      </c>
      <c r="G20" s="181" t="s">
        <v>32</v>
      </c>
      <c r="H20" s="190">
        <v>4765553</v>
      </c>
      <c r="I20" s="181">
        <v>1110169554</v>
      </c>
      <c r="J20" s="181">
        <v>2</v>
      </c>
      <c r="K20" s="1156"/>
      <c r="L20" s="1156"/>
      <c r="M20" s="1156"/>
      <c r="N20" s="1156"/>
      <c r="O20" s="1156"/>
      <c r="P20" s="1156"/>
      <c r="Q20" s="1156"/>
      <c r="R20" s="1156"/>
      <c r="S20" s="1156"/>
      <c r="T20" s="1156"/>
      <c r="U20" s="1156"/>
      <c r="V20" s="1156"/>
      <c r="W20" s="1158"/>
    </row>
    <row r="21" spans="1:23" customFormat="1" ht="16.5" customHeight="1">
      <c r="A21" s="134" t="s">
        <v>141</v>
      </c>
      <c r="B21" s="135">
        <v>3</v>
      </c>
      <c r="C21" s="136">
        <v>46036</v>
      </c>
      <c r="D21" s="137" t="s">
        <v>136</v>
      </c>
      <c r="E21" s="179" t="s">
        <v>173</v>
      </c>
      <c r="F21" s="179" t="s">
        <v>180</v>
      </c>
      <c r="G21" s="179" t="s">
        <v>63</v>
      </c>
      <c r="H21" s="188">
        <v>4965982</v>
      </c>
      <c r="I21" s="179" t="s">
        <v>306</v>
      </c>
      <c r="J21" s="179">
        <v>1</v>
      </c>
      <c r="K21" s="1143">
        <v>1</v>
      </c>
      <c r="L21" s="1143"/>
      <c r="M21" s="1143">
        <v>0</v>
      </c>
      <c r="N21" s="1143" t="s">
        <v>149</v>
      </c>
      <c r="O21" s="1143"/>
      <c r="P21" s="1143"/>
      <c r="Q21" s="1143"/>
      <c r="R21" s="1143"/>
      <c r="S21" s="1143"/>
      <c r="T21" s="1143"/>
      <c r="U21" s="1143"/>
      <c r="V21" s="1143"/>
      <c r="W21" s="1145"/>
    </row>
    <row r="22" spans="1:23" customFormat="1" ht="16.5" customHeight="1">
      <c r="A22" s="134" t="s">
        <v>141</v>
      </c>
      <c r="B22" s="135">
        <v>3</v>
      </c>
      <c r="C22" s="136">
        <v>46036</v>
      </c>
      <c r="D22" s="137" t="s">
        <v>136</v>
      </c>
      <c r="E22" s="179" t="s">
        <v>173</v>
      </c>
      <c r="F22" s="179" t="s">
        <v>180</v>
      </c>
      <c r="G22" s="179" t="s">
        <v>32</v>
      </c>
      <c r="H22" s="188">
        <v>4965983</v>
      </c>
      <c r="I22" s="179" t="s">
        <v>307</v>
      </c>
      <c r="J22" s="179">
        <v>6</v>
      </c>
      <c r="K22" s="1143"/>
      <c r="L22" s="1143"/>
      <c r="M22" s="1143"/>
      <c r="N22" s="1143"/>
      <c r="O22" s="1143"/>
      <c r="P22" s="1143"/>
      <c r="Q22" s="1143"/>
      <c r="R22" s="1143"/>
      <c r="S22" s="1143"/>
      <c r="T22" s="1143"/>
      <c r="U22" s="1143"/>
      <c r="V22" s="1143"/>
      <c r="W22" s="1145"/>
    </row>
    <row r="23" spans="1:23" customFormat="1" ht="16.5" customHeight="1">
      <c r="A23" s="134" t="s">
        <v>141</v>
      </c>
      <c r="B23" s="135">
        <v>3</v>
      </c>
      <c r="C23" s="136">
        <v>46036</v>
      </c>
      <c r="D23" s="137" t="s">
        <v>136</v>
      </c>
      <c r="E23" s="179" t="s">
        <v>173</v>
      </c>
      <c r="F23" s="179" t="s">
        <v>180</v>
      </c>
      <c r="G23" s="179" t="s">
        <v>28</v>
      </c>
      <c r="H23" s="188">
        <v>4965984</v>
      </c>
      <c r="I23" s="179" t="s">
        <v>308</v>
      </c>
      <c r="J23" s="179">
        <v>8</v>
      </c>
      <c r="K23" s="1143"/>
      <c r="L23" s="1143"/>
      <c r="M23" s="1143"/>
      <c r="N23" s="1143"/>
      <c r="O23" s="1143"/>
      <c r="P23" s="1143"/>
      <c r="Q23" s="1143"/>
      <c r="R23" s="1143"/>
      <c r="S23" s="1143"/>
      <c r="T23" s="1143"/>
      <c r="U23" s="1143"/>
      <c r="V23" s="1143"/>
      <c r="W23" s="1145"/>
    </row>
    <row r="24" spans="1:23" customFormat="1" ht="16.5" customHeight="1">
      <c r="A24" s="134" t="s">
        <v>141</v>
      </c>
      <c r="B24" s="135">
        <v>3</v>
      </c>
      <c r="C24" s="136">
        <v>46036</v>
      </c>
      <c r="D24" s="137" t="s">
        <v>136</v>
      </c>
      <c r="E24" s="179" t="s">
        <v>173</v>
      </c>
      <c r="F24" s="179" t="s">
        <v>180</v>
      </c>
      <c r="G24" s="179" t="s">
        <v>36</v>
      </c>
      <c r="H24" s="188">
        <v>4965985</v>
      </c>
      <c r="I24" s="179" t="s">
        <v>309</v>
      </c>
      <c r="J24" s="179">
        <v>4</v>
      </c>
      <c r="K24" s="1143"/>
      <c r="L24" s="1143"/>
      <c r="M24" s="1143"/>
      <c r="N24" s="1143"/>
      <c r="O24" s="1143"/>
      <c r="P24" s="1143"/>
      <c r="Q24" s="1143"/>
      <c r="R24" s="1143"/>
      <c r="S24" s="1143"/>
      <c r="T24" s="1143"/>
      <c r="U24" s="1143"/>
      <c r="V24" s="1143"/>
      <c r="W24" s="1145"/>
    </row>
    <row r="25" spans="1:23" customFormat="1" ht="16.5" customHeight="1" thickBot="1">
      <c r="A25" s="194" t="s">
        <v>141</v>
      </c>
      <c r="B25" s="195">
        <v>3</v>
      </c>
      <c r="C25" s="196">
        <v>46036</v>
      </c>
      <c r="D25" s="197" t="s">
        <v>136</v>
      </c>
      <c r="E25" s="198" t="s">
        <v>173</v>
      </c>
      <c r="F25" s="198" t="s">
        <v>180</v>
      </c>
      <c r="G25" s="198" t="s">
        <v>52</v>
      </c>
      <c r="H25" s="199">
        <v>4965986</v>
      </c>
      <c r="I25" s="198" t="s">
        <v>310</v>
      </c>
      <c r="J25" s="198">
        <v>1</v>
      </c>
      <c r="K25" s="1361"/>
      <c r="L25" s="1361"/>
      <c r="M25" s="1361"/>
      <c r="N25" s="1361"/>
      <c r="O25" s="1361"/>
      <c r="P25" s="1361"/>
      <c r="Q25" s="1361"/>
      <c r="R25" s="1361"/>
      <c r="S25" s="1361"/>
      <c r="T25" s="1361"/>
      <c r="U25" s="1361"/>
      <c r="V25" s="1361"/>
      <c r="W25" s="1363"/>
    </row>
    <row r="26" spans="1:23" customFormat="1" ht="16.5" customHeight="1">
      <c r="A26" s="63" t="s">
        <v>141</v>
      </c>
      <c r="B26" s="64">
        <v>4</v>
      </c>
      <c r="C26" s="65">
        <v>46041</v>
      </c>
      <c r="D26" s="66" t="s">
        <v>244</v>
      </c>
      <c r="E26" s="239" t="s">
        <v>245</v>
      </c>
      <c r="F26" s="239" t="s">
        <v>246</v>
      </c>
      <c r="G26" s="239" t="s">
        <v>36</v>
      </c>
      <c r="H26" s="163">
        <v>4879037</v>
      </c>
      <c r="I26" s="239">
        <v>20260113002</v>
      </c>
      <c r="J26" s="239">
        <v>2</v>
      </c>
      <c r="K26" s="1142">
        <v>1</v>
      </c>
      <c r="L26" s="1142">
        <v>2</v>
      </c>
      <c r="M26" s="1142">
        <v>1</v>
      </c>
      <c r="N26" s="1142" t="s">
        <v>149</v>
      </c>
      <c r="O26" s="1142" t="s">
        <v>96</v>
      </c>
      <c r="P26" s="1142" t="s">
        <v>93</v>
      </c>
      <c r="Q26" s="1142" t="s">
        <v>321</v>
      </c>
      <c r="R26" s="1142" t="s">
        <v>31</v>
      </c>
      <c r="S26" s="1142" t="s">
        <v>184</v>
      </c>
      <c r="T26" s="1142" t="s">
        <v>185</v>
      </c>
      <c r="U26" s="1142"/>
      <c r="V26" s="1142" t="s">
        <v>149</v>
      </c>
      <c r="W26" s="1153">
        <v>1</v>
      </c>
    </row>
    <row r="27" spans="1:23" customFormat="1" ht="16.5" customHeight="1">
      <c r="A27" s="134" t="s">
        <v>141</v>
      </c>
      <c r="B27" s="135">
        <v>4</v>
      </c>
      <c r="C27" s="136">
        <v>46041</v>
      </c>
      <c r="D27" s="137" t="s">
        <v>244</v>
      </c>
      <c r="E27" s="238" t="s">
        <v>245</v>
      </c>
      <c r="F27" s="238" t="s">
        <v>246</v>
      </c>
      <c r="G27" s="238" t="s">
        <v>28</v>
      </c>
      <c r="H27" s="139">
        <v>4879036</v>
      </c>
      <c r="I27" s="238">
        <v>1110164710</v>
      </c>
      <c r="J27" s="238">
        <v>1</v>
      </c>
      <c r="K27" s="1143"/>
      <c r="L27" s="1143"/>
      <c r="M27" s="1143"/>
      <c r="N27" s="1143"/>
      <c r="O27" s="1143"/>
      <c r="P27" s="1143"/>
      <c r="Q27" s="1143"/>
      <c r="R27" s="1143"/>
      <c r="S27" s="1143"/>
      <c r="T27" s="1143"/>
      <c r="U27" s="1143"/>
      <c r="V27" s="1143"/>
      <c r="W27" s="1145"/>
    </row>
    <row r="28" spans="1:23" customFormat="1" ht="16.5" customHeight="1">
      <c r="A28" s="134" t="s">
        <v>141</v>
      </c>
      <c r="B28" s="135">
        <v>4</v>
      </c>
      <c r="C28" s="136">
        <v>46041</v>
      </c>
      <c r="D28" s="137" t="s">
        <v>136</v>
      </c>
      <c r="E28" s="238" t="s">
        <v>178</v>
      </c>
      <c r="F28" s="238" t="s">
        <v>175</v>
      </c>
      <c r="G28" s="238" t="s">
        <v>28</v>
      </c>
      <c r="H28" s="139">
        <v>5318922</v>
      </c>
      <c r="I28" s="238">
        <v>1110169577</v>
      </c>
      <c r="J28" s="238">
        <v>3</v>
      </c>
      <c r="K28" s="1143">
        <v>1</v>
      </c>
      <c r="L28" s="1143"/>
      <c r="M28" s="1143">
        <v>0</v>
      </c>
      <c r="N28" s="1143" t="s">
        <v>149</v>
      </c>
      <c r="O28" s="1143"/>
      <c r="P28" s="1143"/>
      <c r="Q28" s="1143"/>
      <c r="R28" s="1143"/>
      <c r="S28" s="1143"/>
      <c r="T28" s="1143"/>
      <c r="U28" s="1143"/>
      <c r="V28" s="1143"/>
      <c r="W28" s="1145"/>
    </row>
    <row r="29" spans="1:23" customFormat="1" ht="16.5" customHeight="1">
      <c r="A29" s="134" t="s">
        <v>141</v>
      </c>
      <c r="B29" s="135">
        <v>4</v>
      </c>
      <c r="C29" s="136">
        <v>46041</v>
      </c>
      <c r="D29" s="137" t="s">
        <v>136</v>
      </c>
      <c r="E29" s="238" t="s">
        <v>178</v>
      </c>
      <c r="F29" s="238" t="s">
        <v>175</v>
      </c>
      <c r="G29" s="238" t="s">
        <v>28</v>
      </c>
      <c r="H29" s="139">
        <v>5318922</v>
      </c>
      <c r="I29" s="238">
        <v>1110165099</v>
      </c>
      <c r="J29" s="238">
        <v>6</v>
      </c>
      <c r="K29" s="1143"/>
      <c r="L29" s="1143"/>
      <c r="M29" s="1143"/>
      <c r="N29" s="1143"/>
      <c r="O29" s="1143"/>
      <c r="P29" s="1143"/>
      <c r="Q29" s="1143"/>
      <c r="R29" s="1143"/>
      <c r="S29" s="1143"/>
      <c r="T29" s="1143"/>
      <c r="U29" s="1143"/>
      <c r="V29" s="1143"/>
      <c r="W29" s="1145"/>
    </row>
    <row r="30" spans="1:23" customFormat="1" ht="16.5" customHeight="1">
      <c r="A30" s="134" t="s">
        <v>141</v>
      </c>
      <c r="B30" s="135">
        <v>4</v>
      </c>
      <c r="C30" s="136">
        <v>46041</v>
      </c>
      <c r="D30" s="137" t="s">
        <v>136</v>
      </c>
      <c r="E30" s="238" t="s">
        <v>178</v>
      </c>
      <c r="F30" s="238" t="s">
        <v>237</v>
      </c>
      <c r="G30" s="238" t="s">
        <v>28</v>
      </c>
      <c r="H30" s="139">
        <v>5433897</v>
      </c>
      <c r="I30" s="238">
        <v>1110162465</v>
      </c>
      <c r="J30" s="238">
        <v>1</v>
      </c>
      <c r="K30" s="1143"/>
      <c r="L30" s="1143"/>
      <c r="M30" s="1143"/>
      <c r="N30" s="1143"/>
      <c r="O30" s="1143"/>
      <c r="P30" s="1143"/>
      <c r="Q30" s="1143"/>
      <c r="R30" s="1143"/>
      <c r="S30" s="1143"/>
      <c r="T30" s="1143"/>
      <c r="U30" s="1143"/>
      <c r="V30" s="1143"/>
      <c r="W30" s="1145"/>
    </row>
    <row r="31" spans="1:23" customFormat="1" ht="16.5" customHeight="1">
      <c r="A31" s="134" t="s">
        <v>141</v>
      </c>
      <c r="B31" s="135">
        <v>4</v>
      </c>
      <c r="C31" s="136">
        <v>46041</v>
      </c>
      <c r="D31" s="137" t="s">
        <v>136</v>
      </c>
      <c r="E31" s="238" t="s">
        <v>178</v>
      </c>
      <c r="F31" s="238" t="s">
        <v>237</v>
      </c>
      <c r="G31" s="238" t="s">
        <v>28</v>
      </c>
      <c r="H31" s="139">
        <v>5433897</v>
      </c>
      <c r="I31" s="238">
        <v>4520953366</v>
      </c>
      <c r="J31" s="238">
        <v>2</v>
      </c>
      <c r="K31" s="1143"/>
      <c r="L31" s="1143"/>
      <c r="M31" s="1143"/>
      <c r="N31" s="1143"/>
      <c r="O31" s="1143"/>
      <c r="P31" s="1143"/>
      <c r="Q31" s="1143"/>
      <c r="R31" s="1143"/>
      <c r="S31" s="1143"/>
      <c r="T31" s="1143"/>
      <c r="U31" s="1143"/>
      <c r="V31" s="1143"/>
      <c r="W31" s="1145"/>
    </row>
    <row r="32" spans="1:23" customFormat="1" ht="16.5" customHeight="1">
      <c r="A32" s="134" t="s">
        <v>141</v>
      </c>
      <c r="B32" s="135">
        <v>4</v>
      </c>
      <c r="C32" s="136">
        <v>46041</v>
      </c>
      <c r="D32" s="137" t="s">
        <v>136</v>
      </c>
      <c r="E32" s="238" t="s">
        <v>178</v>
      </c>
      <c r="F32" s="238" t="s">
        <v>237</v>
      </c>
      <c r="G32" s="238" t="s">
        <v>32</v>
      </c>
      <c r="H32" s="139">
        <v>5433896</v>
      </c>
      <c r="I32" s="238">
        <v>4520953366</v>
      </c>
      <c r="J32" s="238">
        <v>4</v>
      </c>
      <c r="K32" s="1143"/>
      <c r="L32" s="1143"/>
      <c r="M32" s="1143"/>
      <c r="N32" s="1143"/>
      <c r="O32" s="1143"/>
      <c r="P32" s="1143"/>
      <c r="Q32" s="1143"/>
      <c r="R32" s="1143"/>
      <c r="S32" s="1143"/>
      <c r="T32" s="1143"/>
      <c r="U32" s="1143"/>
      <c r="V32" s="1143"/>
      <c r="W32" s="1145"/>
    </row>
    <row r="33" spans="1:23" customFormat="1" ht="16.5" customHeight="1">
      <c r="A33" s="134" t="s">
        <v>141</v>
      </c>
      <c r="B33" s="135">
        <v>4</v>
      </c>
      <c r="C33" s="136">
        <v>46041</v>
      </c>
      <c r="D33" s="137" t="s">
        <v>136</v>
      </c>
      <c r="E33" s="238" t="s">
        <v>178</v>
      </c>
      <c r="F33" s="238" t="s">
        <v>229</v>
      </c>
      <c r="G33" s="238" t="s">
        <v>63</v>
      </c>
      <c r="H33" s="188">
        <v>5320702</v>
      </c>
      <c r="I33" s="238">
        <v>4523893136</v>
      </c>
      <c r="J33" s="238">
        <v>4</v>
      </c>
      <c r="K33" s="1143"/>
      <c r="L33" s="1143"/>
      <c r="M33" s="1143"/>
      <c r="N33" s="1143"/>
      <c r="O33" s="1143"/>
      <c r="P33" s="1143"/>
      <c r="Q33" s="1143"/>
      <c r="R33" s="1143"/>
      <c r="S33" s="1143"/>
      <c r="T33" s="1143"/>
      <c r="U33" s="1143"/>
      <c r="V33" s="1143"/>
      <c r="W33" s="1145"/>
    </row>
    <row r="34" spans="1:23" customFormat="1" ht="16.5" customHeight="1">
      <c r="A34" s="134" t="s">
        <v>141</v>
      </c>
      <c r="B34" s="135">
        <v>4</v>
      </c>
      <c r="C34" s="136">
        <v>46041</v>
      </c>
      <c r="D34" s="137" t="s">
        <v>136</v>
      </c>
      <c r="E34" s="238" t="s">
        <v>178</v>
      </c>
      <c r="F34" s="238" t="s">
        <v>229</v>
      </c>
      <c r="G34" s="238" t="s">
        <v>32</v>
      </c>
      <c r="H34" s="188">
        <v>5629349</v>
      </c>
      <c r="I34" s="238">
        <v>4523893136</v>
      </c>
      <c r="J34" s="238">
        <v>6</v>
      </c>
      <c r="K34" s="1143"/>
      <c r="L34" s="1143"/>
      <c r="M34" s="1143"/>
      <c r="N34" s="1143"/>
      <c r="O34" s="1143"/>
      <c r="P34" s="1143"/>
      <c r="Q34" s="1143"/>
      <c r="R34" s="1143"/>
      <c r="S34" s="1143"/>
      <c r="T34" s="1143"/>
      <c r="U34" s="1143"/>
      <c r="V34" s="1143"/>
      <c r="W34" s="1145"/>
    </row>
    <row r="35" spans="1:23" customFormat="1" ht="16.5" customHeight="1" thickBot="1">
      <c r="A35" s="116" t="s">
        <v>141</v>
      </c>
      <c r="B35" s="141">
        <v>4</v>
      </c>
      <c r="C35" s="142">
        <v>46041</v>
      </c>
      <c r="D35" s="143" t="s">
        <v>136</v>
      </c>
      <c r="E35" s="235" t="s">
        <v>178</v>
      </c>
      <c r="F35" s="235" t="s">
        <v>229</v>
      </c>
      <c r="G35" s="235" t="s">
        <v>28</v>
      </c>
      <c r="H35" s="190">
        <v>5320704</v>
      </c>
      <c r="I35" s="235">
        <v>4523893136</v>
      </c>
      <c r="J35" s="235">
        <v>8</v>
      </c>
      <c r="K35" s="1156"/>
      <c r="L35" s="1156"/>
      <c r="M35" s="1156"/>
      <c r="N35" s="1156"/>
      <c r="O35" s="1156"/>
      <c r="P35" s="1156"/>
      <c r="Q35" s="1156"/>
      <c r="R35" s="1156"/>
      <c r="S35" s="1156"/>
      <c r="T35" s="1156"/>
      <c r="U35" s="1156"/>
      <c r="V35" s="1156"/>
      <c r="W35" s="1158"/>
    </row>
    <row r="36" spans="1:23" customFormat="1" ht="16.5" customHeight="1">
      <c r="A36" s="219" t="s">
        <v>141</v>
      </c>
      <c r="B36" s="214">
        <v>4</v>
      </c>
      <c r="C36" s="215">
        <v>46041</v>
      </c>
      <c r="D36" s="216" t="s">
        <v>253</v>
      </c>
      <c r="E36" s="236" t="s">
        <v>259</v>
      </c>
      <c r="F36" s="236" t="s">
        <v>260</v>
      </c>
      <c r="G36" s="236">
        <v>700</v>
      </c>
      <c r="H36" s="217">
        <v>5747047</v>
      </c>
      <c r="I36" s="236" t="s">
        <v>325</v>
      </c>
      <c r="J36" s="236">
        <v>22</v>
      </c>
      <c r="K36" s="236">
        <v>5</v>
      </c>
      <c r="L36" s="236"/>
      <c r="M36" s="236">
        <v>0</v>
      </c>
      <c r="N36" s="236" t="s">
        <v>149</v>
      </c>
      <c r="O36" s="236"/>
      <c r="P36" s="236"/>
      <c r="Q36" s="236"/>
      <c r="R36" s="236"/>
      <c r="S36" s="236"/>
      <c r="T36" s="236"/>
      <c r="U36" s="236"/>
      <c r="V36" s="236"/>
      <c r="W36" s="237"/>
    </row>
    <row r="37" spans="1:23" customFormat="1" ht="16.5" customHeight="1" thickBot="1">
      <c r="A37" s="116" t="s">
        <v>141</v>
      </c>
      <c r="B37" s="141">
        <v>4</v>
      </c>
      <c r="C37" s="142">
        <v>46041</v>
      </c>
      <c r="D37" s="143" t="s">
        <v>253</v>
      </c>
      <c r="E37" s="228" t="s">
        <v>259</v>
      </c>
      <c r="F37" s="228" t="s">
        <v>261</v>
      </c>
      <c r="G37" s="228">
        <v>700</v>
      </c>
      <c r="H37" s="145">
        <v>5747049</v>
      </c>
      <c r="I37" s="228" t="s">
        <v>326</v>
      </c>
      <c r="J37" s="228">
        <v>25</v>
      </c>
      <c r="K37" s="228">
        <v>5</v>
      </c>
      <c r="L37" s="228"/>
      <c r="M37" s="228">
        <v>0</v>
      </c>
      <c r="N37" s="228" t="s">
        <v>149</v>
      </c>
      <c r="O37" s="228"/>
      <c r="P37" s="228"/>
      <c r="Q37" s="228"/>
      <c r="R37" s="228"/>
      <c r="S37" s="228"/>
      <c r="T37" s="228"/>
      <c r="U37" s="228"/>
      <c r="V37" s="228"/>
      <c r="W37" s="229"/>
    </row>
    <row r="38" spans="1:23" customFormat="1" ht="16.5" customHeight="1">
      <c r="A38" s="63" t="s">
        <v>141</v>
      </c>
      <c r="B38" s="64">
        <v>4</v>
      </c>
      <c r="C38" s="65">
        <v>46044</v>
      </c>
      <c r="D38" s="66" t="s">
        <v>148</v>
      </c>
      <c r="E38" s="230" t="s">
        <v>263</v>
      </c>
      <c r="F38" s="230" t="s">
        <v>262</v>
      </c>
      <c r="G38" s="230" t="s">
        <v>32</v>
      </c>
      <c r="H38" s="189">
        <v>5572325</v>
      </c>
      <c r="I38" s="230" t="s">
        <v>331</v>
      </c>
      <c r="J38" s="230">
        <v>2</v>
      </c>
      <c r="K38" s="1142">
        <v>1</v>
      </c>
      <c r="L38" s="1142"/>
      <c r="M38" s="1142">
        <v>0</v>
      </c>
      <c r="N38" s="1142" t="s">
        <v>149</v>
      </c>
      <c r="O38" s="1142"/>
      <c r="P38" s="1142"/>
      <c r="Q38" s="1142"/>
      <c r="R38" s="1142"/>
      <c r="S38" s="1142"/>
      <c r="T38" s="1142"/>
      <c r="U38" s="1142"/>
      <c r="V38" s="1142"/>
      <c r="W38" s="1153"/>
    </row>
    <row r="39" spans="1:23" customFormat="1" ht="16.5" customHeight="1">
      <c r="A39" s="134" t="s">
        <v>141</v>
      </c>
      <c r="B39" s="135">
        <v>4</v>
      </c>
      <c r="C39" s="136">
        <v>46044</v>
      </c>
      <c r="D39" s="137" t="s">
        <v>148</v>
      </c>
      <c r="E39" s="234" t="s">
        <v>263</v>
      </c>
      <c r="F39" s="234" t="s">
        <v>262</v>
      </c>
      <c r="G39" s="234" t="s">
        <v>28</v>
      </c>
      <c r="H39" s="188">
        <v>5572326</v>
      </c>
      <c r="I39" s="234" t="s">
        <v>331</v>
      </c>
      <c r="J39" s="234">
        <v>3</v>
      </c>
      <c r="K39" s="1143"/>
      <c r="L39" s="1143"/>
      <c r="M39" s="1143"/>
      <c r="N39" s="1143"/>
      <c r="O39" s="1143"/>
      <c r="P39" s="1143"/>
      <c r="Q39" s="1143"/>
      <c r="R39" s="1143"/>
      <c r="S39" s="1143"/>
      <c r="T39" s="1143"/>
      <c r="U39" s="1143"/>
      <c r="V39" s="1143"/>
      <c r="W39" s="1145"/>
    </row>
    <row r="40" spans="1:23" customFormat="1" ht="16.5" customHeight="1" thickBot="1">
      <c r="A40" s="116" t="s">
        <v>141</v>
      </c>
      <c r="B40" s="141">
        <v>4</v>
      </c>
      <c r="C40" s="142">
        <v>46044</v>
      </c>
      <c r="D40" s="143" t="s">
        <v>148</v>
      </c>
      <c r="E40" s="231" t="s">
        <v>263</v>
      </c>
      <c r="F40" s="231" t="s">
        <v>262</v>
      </c>
      <c r="G40" s="231" t="s">
        <v>36</v>
      </c>
      <c r="H40" s="190">
        <v>5572327</v>
      </c>
      <c r="I40" s="231" t="s">
        <v>331</v>
      </c>
      <c r="J40" s="231">
        <v>2</v>
      </c>
      <c r="K40" s="1156"/>
      <c r="L40" s="1156"/>
      <c r="M40" s="1156"/>
      <c r="N40" s="1156"/>
      <c r="O40" s="1156"/>
      <c r="P40" s="1156"/>
      <c r="Q40" s="1156"/>
      <c r="R40" s="1156"/>
      <c r="S40" s="1156"/>
      <c r="T40" s="1156"/>
      <c r="U40" s="1156"/>
      <c r="V40" s="1156"/>
      <c r="W40" s="1158"/>
    </row>
    <row r="41" spans="1:23" customFormat="1" ht="16.5" customHeight="1">
      <c r="A41" s="219" t="s">
        <v>141</v>
      </c>
      <c r="B41" s="214">
        <v>4</v>
      </c>
      <c r="C41" s="215">
        <v>46045</v>
      </c>
      <c r="D41" s="216" t="s">
        <v>253</v>
      </c>
      <c r="E41" s="226" t="s">
        <v>254</v>
      </c>
      <c r="F41" s="226" t="s">
        <v>255</v>
      </c>
      <c r="G41" s="226">
        <v>700</v>
      </c>
      <c r="H41" s="217">
        <v>5747073</v>
      </c>
      <c r="I41" s="226" t="s">
        <v>327</v>
      </c>
      <c r="J41" s="226">
        <v>10</v>
      </c>
      <c r="K41" s="226">
        <v>5</v>
      </c>
      <c r="L41" s="226"/>
      <c r="M41" s="226">
        <v>0</v>
      </c>
      <c r="N41" s="226" t="s">
        <v>149</v>
      </c>
      <c r="O41" s="226"/>
      <c r="P41" s="226"/>
      <c r="Q41" s="226"/>
      <c r="R41" s="226"/>
      <c r="S41" s="226"/>
      <c r="T41" s="226"/>
      <c r="U41" s="226"/>
      <c r="V41" s="226"/>
      <c r="W41" s="227"/>
    </row>
    <row r="42" spans="1:23" customFormat="1" ht="16.5" customHeight="1" thickBot="1">
      <c r="A42" s="116" t="s">
        <v>141</v>
      </c>
      <c r="B42" s="141">
        <v>4</v>
      </c>
      <c r="C42" s="142">
        <v>46045</v>
      </c>
      <c r="D42" s="143" t="s">
        <v>253</v>
      </c>
      <c r="E42" s="228" t="s">
        <v>254</v>
      </c>
      <c r="F42" s="228" t="s">
        <v>256</v>
      </c>
      <c r="G42" s="228">
        <v>700</v>
      </c>
      <c r="H42" s="145">
        <v>5747078</v>
      </c>
      <c r="I42" s="228" t="s">
        <v>328</v>
      </c>
      <c r="J42" s="228">
        <v>10</v>
      </c>
      <c r="K42" s="228">
        <v>5</v>
      </c>
      <c r="L42" s="228"/>
      <c r="M42" s="228">
        <v>0</v>
      </c>
      <c r="N42" s="228" t="s">
        <v>149</v>
      </c>
      <c r="O42" s="228"/>
      <c r="P42" s="228"/>
      <c r="Q42" s="228"/>
      <c r="R42" s="228"/>
      <c r="S42" s="228"/>
      <c r="T42" s="228"/>
      <c r="U42" s="228"/>
      <c r="V42" s="228"/>
      <c r="W42" s="229"/>
    </row>
    <row r="43" spans="1:23" customFormat="1" ht="16.5" customHeight="1">
      <c r="A43" s="63" t="s">
        <v>153</v>
      </c>
      <c r="B43" s="64">
        <v>6</v>
      </c>
      <c r="C43" s="65">
        <v>46055</v>
      </c>
      <c r="D43" s="66" t="s">
        <v>216</v>
      </c>
      <c r="E43" s="283" t="s">
        <v>221</v>
      </c>
      <c r="F43" s="283" t="s">
        <v>218</v>
      </c>
      <c r="G43" s="283" t="s">
        <v>32</v>
      </c>
      <c r="H43" s="163">
        <v>5366529</v>
      </c>
      <c r="I43" s="283" t="s">
        <v>354</v>
      </c>
      <c r="J43" s="283">
        <v>3</v>
      </c>
      <c r="K43" s="1350">
        <v>1</v>
      </c>
      <c r="L43" s="1350"/>
      <c r="M43" s="1350">
        <v>0</v>
      </c>
      <c r="N43" s="1350" t="s">
        <v>149</v>
      </c>
      <c r="O43" s="1350"/>
      <c r="P43" s="1350"/>
      <c r="Q43" s="1350"/>
      <c r="R43" s="1350"/>
      <c r="S43" s="1350"/>
      <c r="T43" s="1350"/>
      <c r="U43" s="1350"/>
      <c r="V43" s="1350"/>
      <c r="W43" s="1351"/>
    </row>
    <row r="44" spans="1:23" customFormat="1" ht="16.5" customHeight="1">
      <c r="A44" s="134" t="s">
        <v>153</v>
      </c>
      <c r="B44" s="135">
        <v>6</v>
      </c>
      <c r="C44" s="136">
        <v>46055</v>
      </c>
      <c r="D44" s="137" t="s">
        <v>216</v>
      </c>
      <c r="E44" s="285" t="s">
        <v>221</v>
      </c>
      <c r="F44" s="285" t="s">
        <v>218</v>
      </c>
      <c r="G44" s="285" t="s">
        <v>28</v>
      </c>
      <c r="H44" s="139">
        <v>5366530</v>
      </c>
      <c r="I44" s="285" t="s">
        <v>354</v>
      </c>
      <c r="J44" s="285">
        <v>2</v>
      </c>
      <c r="K44" s="1165"/>
      <c r="L44" s="1165"/>
      <c r="M44" s="1165"/>
      <c r="N44" s="1165"/>
      <c r="O44" s="1165"/>
      <c r="P44" s="1165"/>
      <c r="Q44" s="1165"/>
      <c r="R44" s="1165"/>
      <c r="S44" s="1165"/>
      <c r="T44" s="1165"/>
      <c r="U44" s="1165"/>
      <c r="V44" s="1165"/>
      <c r="W44" s="1167"/>
    </row>
    <row r="45" spans="1:23" customFormat="1" ht="16.5" customHeight="1">
      <c r="A45" s="134" t="s">
        <v>153</v>
      </c>
      <c r="B45" s="135">
        <v>6</v>
      </c>
      <c r="C45" s="136">
        <v>46055</v>
      </c>
      <c r="D45" s="137" t="s">
        <v>147</v>
      </c>
      <c r="E45" s="285" t="s">
        <v>100</v>
      </c>
      <c r="F45" s="285" t="s">
        <v>102</v>
      </c>
      <c r="G45" s="285" t="s">
        <v>28</v>
      </c>
      <c r="H45" s="139">
        <v>4765554</v>
      </c>
      <c r="I45" s="285" t="s">
        <v>355</v>
      </c>
      <c r="J45" s="285">
        <v>17</v>
      </c>
      <c r="K45" s="1352">
        <v>1</v>
      </c>
      <c r="L45" s="1352"/>
      <c r="M45" s="1352">
        <v>0</v>
      </c>
      <c r="N45" s="1352" t="s">
        <v>149</v>
      </c>
      <c r="O45" s="1352"/>
      <c r="P45" s="1352"/>
      <c r="Q45" s="1352"/>
      <c r="R45" s="1352"/>
      <c r="S45" s="1352"/>
      <c r="T45" s="1352"/>
      <c r="U45" s="1352"/>
      <c r="V45" s="1352"/>
      <c r="W45" s="1353"/>
    </row>
    <row r="46" spans="1:23" customFormat="1" ht="16.5" customHeight="1" thickBot="1">
      <c r="A46" s="116" t="s">
        <v>153</v>
      </c>
      <c r="B46" s="141">
        <v>6</v>
      </c>
      <c r="C46" s="142">
        <v>46055</v>
      </c>
      <c r="D46" s="143" t="s">
        <v>147</v>
      </c>
      <c r="E46" s="284" t="s">
        <v>100</v>
      </c>
      <c r="F46" s="284" t="s">
        <v>102</v>
      </c>
      <c r="G46" s="284" t="s">
        <v>36</v>
      </c>
      <c r="H46" s="145">
        <v>4765555</v>
      </c>
      <c r="I46" s="284" t="s">
        <v>305</v>
      </c>
      <c r="J46" s="284">
        <v>1</v>
      </c>
      <c r="K46" s="1147"/>
      <c r="L46" s="1147"/>
      <c r="M46" s="1147"/>
      <c r="N46" s="1147"/>
      <c r="O46" s="1147"/>
      <c r="P46" s="1147"/>
      <c r="Q46" s="1147"/>
      <c r="R46" s="1147"/>
      <c r="S46" s="1147"/>
      <c r="T46" s="1147"/>
      <c r="U46" s="1147"/>
      <c r="V46" s="1147"/>
      <c r="W46" s="1149"/>
    </row>
    <row r="47" spans="1:23" customFormat="1" ht="16.5" customHeight="1">
      <c r="A47" s="63" t="s">
        <v>153</v>
      </c>
      <c r="B47" s="64">
        <v>6</v>
      </c>
      <c r="C47" s="65">
        <v>46057</v>
      </c>
      <c r="D47" s="66" t="s">
        <v>216</v>
      </c>
      <c r="E47" s="296" t="s">
        <v>221</v>
      </c>
      <c r="F47" s="296" t="s">
        <v>223</v>
      </c>
      <c r="G47" s="296" t="s">
        <v>63</v>
      </c>
      <c r="H47" s="163">
        <v>5366539</v>
      </c>
      <c r="I47" s="296" t="s">
        <v>356</v>
      </c>
      <c r="J47" s="296">
        <v>1</v>
      </c>
      <c r="K47" s="1242">
        <v>1</v>
      </c>
      <c r="L47" s="1242"/>
      <c r="M47" s="1242">
        <v>0</v>
      </c>
      <c r="N47" s="1242" t="s">
        <v>149</v>
      </c>
      <c r="O47" s="1242"/>
      <c r="P47" s="1242"/>
      <c r="Q47" s="1242"/>
      <c r="R47" s="1242"/>
      <c r="S47" s="1242"/>
      <c r="T47" s="1242"/>
      <c r="U47" s="1242"/>
      <c r="V47" s="1242"/>
      <c r="W47" s="1243"/>
    </row>
    <row r="48" spans="1:23" customFormat="1" ht="16.5" customHeight="1">
      <c r="A48" s="134" t="s">
        <v>153</v>
      </c>
      <c r="B48" s="135">
        <v>6</v>
      </c>
      <c r="C48" s="136">
        <v>46057</v>
      </c>
      <c r="D48" s="137" t="s">
        <v>216</v>
      </c>
      <c r="E48" s="295" t="s">
        <v>221</v>
      </c>
      <c r="F48" s="295" t="s">
        <v>223</v>
      </c>
      <c r="G48" s="295" t="s">
        <v>32</v>
      </c>
      <c r="H48" s="139">
        <v>5366541</v>
      </c>
      <c r="I48" s="295" t="s">
        <v>357</v>
      </c>
      <c r="J48" s="295">
        <v>3</v>
      </c>
      <c r="K48" s="1150"/>
      <c r="L48" s="1150"/>
      <c r="M48" s="1150"/>
      <c r="N48" s="1150"/>
      <c r="O48" s="1150"/>
      <c r="P48" s="1150"/>
      <c r="Q48" s="1150"/>
      <c r="R48" s="1150"/>
      <c r="S48" s="1150"/>
      <c r="T48" s="1150"/>
      <c r="U48" s="1150"/>
      <c r="V48" s="1150"/>
      <c r="W48" s="1151"/>
    </row>
    <row r="49" spans="1:23" customFormat="1" ht="16.5" customHeight="1">
      <c r="A49" s="134" t="s">
        <v>153</v>
      </c>
      <c r="B49" s="135">
        <v>6</v>
      </c>
      <c r="C49" s="136">
        <v>46057</v>
      </c>
      <c r="D49" s="137" t="s">
        <v>216</v>
      </c>
      <c r="E49" s="295" t="s">
        <v>221</v>
      </c>
      <c r="F49" s="295" t="s">
        <v>223</v>
      </c>
      <c r="G49" s="295" t="s">
        <v>28</v>
      </c>
      <c r="H49" s="139">
        <v>5366542</v>
      </c>
      <c r="I49" s="295" t="s">
        <v>358</v>
      </c>
      <c r="J49" s="295">
        <v>3</v>
      </c>
      <c r="K49" s="1150"/>
      <c r="L49" s="1150"/>
      <c r="M49" s="1150"/>
      <c r="N49" s="1150"/>
      <c r="O49" s="1150"/>
      <c r="P49" s="1150"/>
      <c r="Q49" s="1150"/>
      <c r="R49" s="1150"/>
      <c r="S49" s="1150"/>
      <c r="T49" s="1150"/>
      <c r="U49" s="1150"/>
      <c r="V49" s="1150"/>
      <c r="W49" s="1151"/>
    </row>
    <row r="50" spans="1:23" customFormat="1" ht="16.5" customHeight="1">
      <c r="A50" s="134" t="s">
        <v>153</v>
      </c>
      <c r="B50" s="135">
        <v>6</v>
      </c>
      <c r="C50" s="136">
        <v>46057</v>
      </c>
      <c r="D50" s="137" t="s">
        <v>216</v>
      </c>
      <c r="E50" s="295" t="s">
        <v>221</v>
      </c>
      <c r="F50" s="295" t="s">
        <v>223</v>
      </c>
      <c r="G50" s="295" t="s">
        <v>36</v>
      </c>
      <c r="H50" s="139">
        <v>5366543</v>
      </c>
      <c r="I50" s="295" t="s">
        <v>359</v>
      </c>
      <c r="J50" s="295">
        <v>2</v>
      </c>
      <c r="K50" s="1150"/>
      <c r="L50" s="1150"/>
      <c r="M50" s="1150"/>
      <c r="N50" s="1150"/>
      <c r="O50" s="1150"/>
      <c r="P50" s="1150"/>
      <c r="Q50" s="1150"/>
      <c r="R50" s="1150"/>
      <c r="S50" s="1150"/>
      <c r="T50" s="1150"/>
      <c r="U50" s="1150"/>
      <c r="V50" s="1150"/>
      <c r="W50" s="1151"/>
    </row>
    <row r="51" spans="1:23" customFormat="1" ht="16.5" customHeight="1" thickBot="1">
      <c r="A51" s="116" t="s">
        <v>153</v>
      </c>
      <c r="B51" s="141">
        <v>6</v>
      </c>
      <c r="C51" s="142">
        <v>46057</v>
      </c>
      <c r="D51" s="143" t="s">
        <v>216</v>
      </c>
      <c r="E51" s="297" t="s">
        <v>221</v>
      </c>
      <c r="F51" s="297" t="s">
        <v>223</v>
      </c>
      <c r="G51" s="297" t="s">
        <v>52</v>
      </c>
      <c r="H51" s="145">
        <v>5366544</v>
      </c>
      <c r="I51" s="297" t="s">
        <v>360</v>
      </c>
      <c r="J51" s="297">
        <v>1</v>
      </c>
      <c r="K51" s="1147"/>
      <c r="L51" s="1147"/>
      <c r="M51" s="1147"/>
      <c r="N51" s="1147"/>
      <c r="O51" s="1147"/>
      <c r="P51" s="1147"/>
      <c r="Q51" s="1147"/>
      <c r="R51" s="1147"/>
      <c r="S51" s="1147"/>
      <c r="T51" s="1147"/>
      <c r="U51" s="1147"/>
      <c r="V51" s="1147"/>
      <c r="W51" s="1149"/>
    </row>
    <row r="52" spans="1:23" customFormat="1" ht="16.5" customHeight="1">
      <c r="A52" s="134" t="s">
        <v>153</v>
      </c>
      <c r="B52" s="135">
        <v>6</v>
      </c>
      <c r="C52" s="136">
        <v>46058</v>
      </c>
      <c r="D52" s="137" t="s">
        <v>136</v>
      </c>
      <c r="E52" s="295" t="s">
        <v>173</v>
      </c>
      <c r="F52" s="295" t="s">
        <v>225</v>
      </c>
      <c r="G52" s="295" t="s">
        <v>32</v>
      </c>
      <c r="H52" s="139">
        <v>5285943</v>
      </c>
      <c r="I52" s="295">
        <v>1110171429</v>
      </c>
      <c r="J52" s="295">
        <v>3</v>
      </c>
      <c r="K52" s="1349">
        <v>1</v>
      </c>
      <c r="L52" s="1349"/>
      <c r="M52" s="1349">
        <v>0</v>
      </c>
      <c r="N52" s="1349" t="s">
        <v>149</v>
      </c>
      <c r="O52" s="1349"/>
      <c r="P52" s="1349"/>
      <c r="Q52" s="1349"/>
      <c r="R52" s="1349"/>
      <c r="S52" s="1349"/>
      <c r="T52" s="1349"/>
      <c r="U52" s="1349"/>
      <c r="V52" s="1349"/>
      <c r="W52" s="1348"/>
    </row>
    <row r="53" spans="1:23" customFormat="1" ht="16.5" customHeight="1">
      <c r="A53" s="134" t="s">
        <v>153</v>
      </c>
      <c r="B53" s="135">
        <v>6</v>
      </c>
      <c r="C53" s="136">
        <v>46058</v>
      </c>
      <c r="D53" s="137" t="s">
        <v>136</v>
      </c>
      <c r="E53" s="295" t="s">
        <v>173</v>
      </c>
      <c r="F53" s="295" t="s">
        <v>225</v>
      </c>
      <c r="G53" s="295" t="s">
        <v>28</v>
      </c>
      <c r="H53" s="139">
        <v>5285944</v>
      </c>
      <c r="I53" s="295">
        <v>1110171429</v>
      </c>
      <c r="J53" s="295">
        <v>5</v>
      </c>
      <c r="K53" s="1150"/>
      <c r="L53" s="1150"/>
      <c r="M53" s="1150"/>
      <c r="N53" s="1150"/>
      <c r="O53" s="1150"/>
      <c r="P53" s="1150"/>
      <c r="Q53" s="1150"/>
      <c r="R53" s="1150"/>
      <c r="S53" s="1150"/>
      <c r="T53" s="1150"/>
      <c r="U53" s="1150"/>
      <c r="V53" s="1150"/>
      <c r="W53" s="1151"/>
    </row>
    <row r="54" spans="1:23" customFormat="1" ht="16.5" customHeight="1" thickBot="1">
      <c r="A54" s="116" t="s">
        <v>153</v>
      </c>
      <c r="B54" s="141">
        <v>6</v>
      </c>
      <c r="C54" s="142">
        <v>46058</v>
      </c>
      <c r="D54" s="143" t="s">
        <v>136</v>
      </c>
      <c r="E54" s="297" t="s">
        <v>173</v>
      </c>
      <c r="F54" s="297" t="s">
        <v>225</v>
      </c>
      <c r="G54" s="297" t="s">
        <v>36</v>
      </c>
      <c r="H54" s="145">
        <v>5285945</v>
      </c>
      <c r="I54" s="297">
        <v>1110171429</v>
      </c>
      <c r="J54" s="297">
        <v>4</v>
      </c>
      <c r="K54" s="1147"/>
      <c r="L54" s="1147"/>
      <c r="M54" s="1147"/>
      <c r="N54" s="1147"/>
      <c r="O54" s="1147"/>
      <c r="P54" s="1147"/>
      <c r="Q54" s="1147"/>
      <c r="R54" s="1147"/>
      <c r="S54" s="1147"/>
      <c r="T54" s="1147"/>
      <c r="U54" s="1147"/>
      <c r="V54" s="1147"/>
      <c r="W54" s="1149"/>
    </row>
    <row r="55" spans="1:23" customFormat="1" ht="16.5" customHeight="1">
      <c r="A55" s="219" t="s">
        <v>153</v>
      </c>
      <c r="B55" s="214">
        <v>6</v>
      </c>
      <c r="C55" s="215">
        <v>46060</v>
      </c>
      <c r="D55" s="216" t="s">
        <v>253</v>
      </c>
      <c r="E55" s="309" t="s">
        <v>254</v>
      </c>
      <c r="F55" s="309" t="s">
        <v>255</v>
      </c>
      <c r="G55" s="309">
        <v>700</v>
      </c>
      <c r="H55" s="217">
        <v>5747074</v>
      </c>
      <c r="I55" s="309" t="s">
        <v>367</v>
      </c>
      <c r="J55" s="309">
        <v>4</v>
      </c>
      <c r="K55" s="309">
        <v>4</v>
      </c>
      <c r="L55" s="309"/>
      <c r="M55" s="309">
        <v>0</v>
      </c>
      <c r="N55" s="309" t="s">
        <v>149</v>
      </c>
      <c r="O55" s="309"/>
      <c r="P55" s="309"/>
      <c r="Q55" s="309"/>
      <c r="R55" s="309"/>
      <c r="S55" s="309"/>
      <c r="T55" s="309"/>
      <c r="U55" s="309"/>
      <c r="V55" s="309"/>
      <c r="W55" s="310"/>
    </row>
    <row r="56" spans="1:23" customFormat="1" ht="16.5" customHeight="1" thickBot="1">
      <c r="A56" s="321" t="s">
        <v>153</v>
      </c>
      <c r="B56" s="322">
        <v>6</v>
      </c>
      <c r="C56" s="323">
        <v>46060</v>
      </c>
      <c r="D56" s="324" t="s">
        <v>253</v>
      </c>
      <c r="E56" s="325" t="s">
        <v>254</v>
      </c>
      <c r="F56" s="325" t="s">
        <v>256</v>
      </c>
      <c r="G56" s="325">
        <v>700</v>
      </c>
      <c r="H56" s="326">
        <v>5747078</v>
      </c>
      <c r="I56" s="325" t="s">
        <v>368</v>
      </c>
      <c r="J56" s="325">
        <v>4</v>
      </c>
      <c r="K56" s="325">
        <v>4</v>
      </c>
      <c r="L56" s="325"/>
      <c r="M56" s="325">
        <v>0</v>
      </c>
      <c r="N56" s="325" t="s">
        <v>149</v>
      </c>
      <c r="O56" s="325"/>
      <c r="P56" s="325"/>
      <c r="Q56" s="325"/>
      <c r="R56" s="325"/>
      <c r="S56" s="325"/>
      <c r="T56" s="325"/>
      <c r="U56" s="325"/>
      <c r="V56" s="325"/>
      <c r="W56" s="327"/>
    </row>
    <row r="57" spans="1:23" ht="16.5" customHeight="1">
      <c r="A57" s="331" t="s">
        <v>153</v>
      </c>
      <c r="B57" s="332">
        <v>7</v>
      </c>
      <c r="C57" s="333">
        <v>46062</v>
      </c>
      <c r="D57" s="334" t="s">
        <v>216</v>
      </c>
      <c r="E57" s="334" t="s">
        <v>217</v>
      </c>
      <c r="F57" s="334" t="s">
        <v>222</v>
      </c>
      <c r="G57" s="334" t="s">
        <v>63</v>
      </c>
      <c r="H57" s="320">
        <v>5366522</v>
      </c>
      <c r="I57" s="320" t="s">
        <v>372</v>
      </c>
      <c r="J57" s="320">
        <v>1</v>
      </c>
      <c r="K57" s="1378">
        <v>1</v>
      </c>
      <c r="L57" s="1378"/>
      <c r="M57" s="1378">
        <v>0</v>
      </c>
      <c r="N57" s="1381" t="s">
        <v>149</v>
      </c>
      <c r="O57" s="1378"/>
      <c r="P57" s="1378"/>
      <c r="Q57" s="1378"/>
      <c r="R57" s="1378"/>
      <c r="S57" s="1378"/>
      <c r="T57" s="1378"/>
      <c r="U57" s="1378"/>
      <c r="V57" s="1378"/>
      <c r="W57" s="1375"/>
    </row>
    <row r="58" spans="1:23" ht="16.5" customHeight="1">
      <c r="A58" s="335" t="s">
        <v>153</v>
      </c>
      <c r="B58" s="328">
        <v>7</v>
      </c>
      <c r="C58" s="329">
        <v>46062</v>
      </c>
      <c r="D58" s="330" t="s">
        <v>216</v>
      </c>
      <c r="E58" s="330" t="s">
        <v>217</v>
      </c>
      <c r="F58" s="330" t="s">
        <v>222</v>
      </c>
      <c r="G58" s="330" t="s">
        <v>32</v>
      </c>
      <c r="H58" s="325">
        <v>5366523</v>
      </c>
      <c r="I58" s="325" t="s">
        <v>373</v>
      </c>
      <c r="J58" s="325">
        <v>5</v>
      </c>
      <c r="K58" s="1379"/>
      <c r="L58" s="1379"/>
      <c r="M58" s="1379"/>
      <c r="N58" s="1379"/>
      <c r="O58" s="1379"/>
      <c r="P58" s="1379"/>
      <c r="Q58" s="1379"/>
      <c r="R58" s="1379"/>
      <c r="S58" s="1379"/>
      <c r="T58" s="1379"/>
      <c r="U58" s="1379"/>
      <c r="V58" s="1379"/>
      <c r="W58" s="1376"/>
    </row>
    <row r="59" spans="1:23" ht="16.5" customHeight="1">
      <c r="A59" s="335" t="s">
        <v>153</v>
      </c>
      <c r="B59" s="328">
        <v>7</v>
      </c>
      <c r="C59" s="329">
        <v>46062</v>
      </c>
      <c r="D59" s="330" t="s">
        <v>216</v>
      </c>
      <c r="E59" s="330" t="s">
        <v>217</v>
      </c>
      <c r="F59" s="330" t="s">
        <v>222</v>
      </c>
      <c r="G59" s="330" t="s">
        <v>28</v>
      </c>
      <c r="H59" s="325">
        <v>5366525</v>
      </c>
      <c r="I59" s="325" t="s">
        <v>374</v>
      </c>
      <c r="J59" s="325">
        <v>5</v>
      </c>
      <c r="K59" s="1379"/>
      <c r="L59" s="1379"/>
      <c r="M59" s="1379"/>
      <c r="N59" s="1379"/>
      <c r="O59" s="1379"/>
      <c r="P59" s="1379"/>
      <c r="Q59" s="1379"/>
      <c r="R59" s="1379"/>
      <c r="S59" s="1379"/>
      <c r="T59" s="1379"/>
      <c r="U59" s="1379"/>
      <c r="V59" s="1379"/>
      <c r="W59" s="1376"/>
    </row>
    <row r="60" spans="1:23" ht="16.5" customHeight="1">
      <c r="A60" s="335" t="s">
        <v>153</v>
      </c>
      <c r="B60" s="328">
        <v>7</v>
      </c>
      <c r="C60" s="329">
        <v>46062</v>
      </c>
      <c r="D60" s="330" t="s">
        <v>216</v>
      </c>
      <c r="E60" s="330" t="s">
        <v>217</v>
      </c>
      <c r="F60" s="330" t="s">
        <v>222</v>
      </c>
      <c r="G60" s="330" t="s">
        <v>36</v>
      </c>
      <c r="H60" s="325">
        <v>5366526</v>
      </c>
      <c r="I60" s="325" t="s">
        <v>375</v>
      </c>
      <c r="J60" s="325">
        <v>3</v>
      </c>
      <c r="K60" s="1379"/>
      <c r="L60" s="1379"/>
      <c r="M60" s="1379"/>
      <c r="N60" s="1379"/>
      <c r="O60" s="1379"/>
      <c r="P60" s="1379"/>
      <c r="Q60" s="1379"/>
      <c r="R60" s="1379"/>
      <c r="S60" s="1379"/>
      <c r="T60" s="1379"/>
      <c r="U60" s="1379"/>
      <c r="V60" s="1379"/>
      <c r="W60" s="1376"/>
    </row>
    <row r="61" spans="1:23" ht="16.5" customHeight="1" thickBot="1">
      <c r="A61" s="336" t="s">
        <v>153</v>
      </c>
      <c r="B61" s="337">
        <v>7</v>
      </c>
      <c r="C61" s="338">
        <v>46062</v>
      </c>
      <c r="D61" s="339" t="s">
        <v>216</v>
      </c>
      <c r="E61" s="339" t="s">
        <v>217</v>
      </c>
      <c r="F61" s="339" t="s">
        <v>222</v>
      </c>
      <c r="G61" s="339" t="s">
        <v>52</v>
      </c>
      <c r="H61" s="319">
        <v>5366527</v>
      </c>
      <c r="I61" s="319" t="s">
        <v>376</v>
      </c>
      <c r="J61" s="319">
        <v>1</v>
      </c>
      <c r="K61" s="1380"/>
      <c r="L61" s="1380"/>
      <c r="M61" s="1380"/>
      <c r="N61" s="1380"/>
      <c r="O61" s="1380"/>
      <c r="P61" s="1380"/>
      <c r="Q61" s="1380"/>
      <c r="R61" s="1380"/>
      <c r="S61" s="1380"/>
      <c r="T61" s="1380"/>
      <c r="U61" s="1380"/>
      <c r="V61" s="1380"/>
      <c r="W61" s="1377"/>
    </row>
    <row r="62" spans="1:23" customFormat="1" ht="16.5" customHeight="1" thickBot="1">
      <c r="A62" s="67" t="s">
        <v>153</v>
      </c>
      <c r="B62" s="68">
        <v>9</v>
      </c>
      <c r="C62" s="69">
        <v>46076</v>
      </c>
      <c r="D62" s="70" t="s">
        <v>216</v>
      </c>
      <c r="E62" s="71" t="s">
        <v>221</v>
      </c>
      <c r="F62" s="71" t="s">
        <v>224</v>
      </c>
      <c r="G62" s="71" t="s">
        <v>63</v>
      </c>
      <c r="H62" s="88">
        <v>5326034</v>
      </c>
      <c r="I62" s="71">
        <v>1110170537</v>
      </c>
      <c r="J62" s="71">
        <v>4</v>
      </c>
      <c r="K62" s="71">
        <v>1</v>
      </c>
      <c r="L62" s="71"/>
      <c r="M62" s="71">
        <v>0</v>
      </c>
      <c r="N62" s="71" t="s">
        <v>149</v>
      </c>
      <c r="O62" s="71"/>
      <c r="P62" s="71"/>
      <c r="Q62" s="71"/>
      <c r="R62" s="71"/>
      <c r="S62" s="71"/>
      <c r="T62" s="71"/>
      <c r="U62" s="71"/>
      <c r="V62" s="71"/>
      <c r="W62" s="72"/>
    </row>
    <row r="63" spans="1:23" customFormat="1" ht="16.5" customHeight="1" thickBot="1">
      <c r="A63" s="67" t="s">
        <v>153</v>
      </c>
      <c r="B63" s="68">
        <v>9</v>
      </c>
      <c r="C63" s="69">
        <v>46077</v>
      </c>
      <c r="D63" s="70" t="s">
        <v>244</v>
      </c>
      <c r="E63" s="71" t="s">
        <v>245</v>
      </c>
      <c r="F63" s="71" t="s">
        <v>246</v>
      </c>
      <c r="G63" s="71" t="s">
        <v>32</v>
      </c>
      <c r="H63" s="88">
        <v>4879035</v>
      </c>
      <c r="I63" s="71">
        <v>20260113001</v>
      </c>
      <c r="J63" s="71">
        <v>2</v>
      </c>
      <c r="K63" s="71">
        <v>1</v>
      </c>
      <c r="L63" s="71"/>
      <c r="M63" s="71">
        <v>0</v>
      </c>
      <c r="N63" s="71" t="s">
        <v>149</v>
      </c>
      <c r="O63" s="71"/>
      <c r="P63" s="71"/>
      <c r="Q63" s="71"/>
      <c r="R63" s="71"/>
      <c r="S63" s="71"/>
      <c r="T63" s="71"/>
      <c r="U63" s="71"/>
      <c r="V63" s="71"/>
      <c r="W63" s="72"/>
    </row>
    <row r="64" spans="1:23" customFormat="1" ht="16.5" customHeight="1">
      <c r="A64" s="63" t="s">
        <v>155</v>
      </c>
      <c r="B64" s="64">
        <v>10</v>
      </c>
      <c r="C64" s="65">
        <v>46086</v>
      </c>
      <c r="D64" s="66" t="s">
        <v>136</v>
      </c>
      <c r="E64" s="376" t="s">
        <v>173</v>
      </c>
      <c r="F64" s="376" t="s">
        <v>238</v>
      </c>
      <c r="G64" s="376" t="s">
        <v>32</v>
      </c>
      <c r="H64" s="163">
        <v>5285953</v>
      </c>
      <c r="I64" s="376">
        <v>4524077283</v>
      </c>
      <c r="J64" s="376">
        <v>3</v>
      </c>
      <c r="K64" s="1345">
        <v>1</v>
      </c>
      <c r="L64" s="1345"/>
      <c r="M64" s="1345">
        <v>0</v>
      </c>
      <c r="N64" s="1345" t="s">
        <v>149</v>
      </c>
      <c r="O64" s="1345"/>
      <c r="P64" s="1345"/>
      <c r="Q64" s="1345"/>
      <c r="R64" s="1345"/>
      <c r="S64" s="1345"/>
      <c r="T64" s="1345"/>
      <c r="U64" s="1345"/>
      <c r="V64" s="1345"/>
      <c r="W64" s="1384"/>
    </row>
    <row r="65" spans="1:23" customFormat="1" ht="16.5" customHeight="1">
      <c r="A65" s="134" t="s">
        <v>155</v>
      </c>
      <c r="B65" s="135">
        <v>10</v>
      </c>
      <c r="C65" s="136">
        <v>46086</v>
      </c>
      <c r="D65" s="137" t="s">
        <v>136</v>
      </c>
      <c r="E65" s="375" t="s">
        <v>173</v>
      </c>
      <c r="F65" s="375" t="s">
        <v>238</v>
      </c>
      <c r="G65" s="375" t="s">
        <v>28</v>
      </c>
      <c r="H65" s="139">
        <v>5285954</v>
      </c>
      <c r="I65" s="375">
        <v>4524077283</v>
      </c>
      <c r="J65" s="375">
        <v>4</v>
      </c>
      <c r="K65" s="1150"/>
      <c r="L65" s="1150"/>
      <c r="M65" s="1150"/>
      <c r="N65" s="1150"/>
      <c r="O65" s="1150"/>
      <c r="P65" s="1150"/>
      <c r="Q65" s="1150"/>
      <c r="R65" s="1150"/>
      <c r="S65" s="1150"/>
      <c r="T65" s="1150"/>
      <c r="U65" s="1150"/>
      <c r="V65" s="1150"/>
      <c r="W65" s="1151"/>
    </row>
    <row r="66" spans="1:23" customFormat="1" ht="16.5" customHeight="1">
      <c r="A66" s="134" t="s">
        <v>155</v>
      </c>
      <c r="B66" s="135">
        <v>10</v>
      </c>
      <c r="C66" s="136">
        <v>46086</v>
      </c>
      <c r="D66" s="137" t="s">
        <v>136</v>
      </c>
      <c r="E66" s="375" t="s">
        <v>173</v>
      </c>
      <c r="F66" s="375" t="s">
        <v>238</v>
      </c>
      <c r="G66" s="375" t="s">
        <v>36</v>
      </c>
      <c r="H66" s="139">
        <v>5285955</v>
      </c>
      <c r="I66" s="375">
        <v>4524077283</v>
      </c>
      <c r="J66" s="375">
        <v>3</v>
      </c>
      <c r="K66" s="1150"/>
      <c r="L66" s="1150"/>
      <c r="M66" s="1150"/>
      <c r="N66" s="1150"/>
      <c r="O66" s="1150"/>
      <c r="P66" s="1150"/>
      <c r="Q66" s="1150"/>
      <c r="R66" s="1150"/>
      <c r="S66" s="1150"/>
      <c r="T66" s="1150"/>
      <c r="U66" s="1150"/>
      <c r="V66" s="1150"/>
      <c r="W66" s="1151"/>
    </row>
    <row r="67" spans="1:23" customFormat="1" ht="16.5" customHeight="1">
      <c r="A67" s="134" t="s">
        <v>155</v>
      </c>
      <c r="B67" s="135">
        <v>10</v>
      </c>
      <c r="C67" s="136">
        <v>46086</v>
      </c>
      <c r="D67" s="137" t="s">
        <v>136</v>
      </c>
      <c r="E67" s="375" t="s">
        <v>173</v>
      </c>
      <c r="F67" s="375" t="s">
        <v>238</v>
      </c>
      <c r="G67" s="375" t="s">
        <v>52</v>
      </c>
      <c r="H67" s="139">
        <v>5285957</v>
      </c>
      <c r="I67" s="375">
        <v>4524077283</v>
      </c>
      <c r="J67" s="375">
        <v>1</v>
      </c>
      <c r="K67" s="1150"/>
      <c r="L67" s="1150"/>
      <c r="M67" s="1150"/>
      <c r="N67" s="1150"/>
      <c r="O67" s="1150"/>
      <c r="P67" s="1150"/>
      <c r="Q67" s="1150"/>
      <c r="R67" s="1150"/>
      <c r="S67" s="1150"/>
      <c r="T67" s="1150"/>
      <c r="U67" s="1150"/>
      <c r="V67" s="1150"/>
      <c r="W67" s="1151"/>
    </row>
    <row r="68" spans="1:23" customFormat="1" ht="16.5" customHeight="1">
      <c r="A68" s="134" t="s">
        <v>155</v>
      </c>
      <c r="B68" s="135">
        <v>10</v>
      </c>
      <c r="C68" s="136">
        <v>46086</v>
      </c>
      <c r="D68" s="137" t="s">
        <v>136</v>
      </c>
      <c r="E68" s="375" t="s">
        <v>173</v>
      </c>
      <c r="F68" s="375" t="s">
        <v>228</v>
      </c>
      <c r="G68" s="375" t="s">
        <v>32</v>
      </c>
      <c r="H68" s="139">
        <v>5366933</v>
      </c>
      <c r="I68" s="375" t="s">
        <v>410</v>
      </c>
      <c r="J68" s="375">
        <v>1</v>
      </c>
      <c r="K68" s="1150"/>
      <c r="L68" s="1150"/>
      <c r="M68" s="1150"/>
      <c r="N68" s="1150"/>
      <c r="O68" s="1150"/>
      <c r="P68" s="1150"/>
      <c r="Q68" s="1150"/>
      <c r="R68" s="1150"/>
      <c r="S68" s="1150"/>
      <c r="T68" s="1150"/>
      <c r="U68" s="1150"/>
      <c r="V68" s="1150"/>
      <c r="W68" s="1151"/>
    </row>
    <row r="69" spans="1:23" customFormat="1" ht="16.5" customHeight="1" thickBot="1">
      <c r="A69" s="382" t="s">
        <v>155</v>
      </c>
      <c r="B69" s="383">
        <v>10</v>
      </c>
      <c r="C69" s="384">
        <v>46086</v>
      </c>
      <c r="D69" s="385" t="s">
        <v>136</v>
      </c>
      <c r="E69" s="386" t="s">
        <v>173</v>
      </c>
      <c r="F69" s="386" t="s">
        <v>228</v>
      </c>
      <c r="G69" s="386" t="s">
        <v>28</v>
      </c>
      <c r="H69" s="387">
        <v>5366934</v>
      </c>
      <c r="I69" s="386" t="s">
        <v>411</v>
      </c>
      <c r="J69" s="386">
        <v>1</v>
      </c>
      <c r="K69" s="1150"/>
      <c r="L69" s="1150"/>
      <c r="M69" s="1150"/>
      <c r="N69" s="1150"/>
      <c r="O69" s="1150"/>
      <c r="P69" s="1150"/>
      <c r="Q69" s="1150"/>
      <c r="R69" s="1150"/>
      <c r="S69" s="1150"/>
      <c r="T69" s="1150"/>
      <c r="U69" s="1150"/>
      <c r="V69" s="1150"/>
      <c r="W69" s="1151"/>
    </row>
    <row r="70" spans="1:23" customFormat="1" ht="16.5" customHeight="1">
      <c r="A70" s="63" t="s">
        <v>155</v>
      </c>
      <c r="B70" s="149">
        <v>11</v>
      </c>
      <c r="C70" s="150">
        <v>46090</v>
      </c>
      <c r="D70" s="151" t="s">
        <v>136</v>
      </c>
      <c r="E70" s="397" t="s">
        <v>173</v>
      </c>
      <c r="F70" s="397" t="s">
        <v>243</v>
      </c>
      <c r="G70" s="397" t="s">
        <v>63</v>
      </c>
      <c r="H70" s="153">
        <v>5491591</v>
      </c>
      <c r="I70" s="397">
        <v>4524055392</v>
      </c>
      <c r="J70" s="397">
        <v>2</v>
      </c>
      <c r="K70" s="1247">
        <v>1</v>
      </c>
      <c r="L70" s="1247">
        <v>5</v>
      </c>
      <c r="M70" s="1247">
        <v>1</v>
      </c>
      <c r="N70" s="1247" t="s">
        <v>149</v>
      </c>
      <c r="O70" s="1247" t="s">
        <v>61</v>
      </c>
      <c r="P70" s="1247" t="s">
        <v>62</v>
      </c>
      <c r="Q70" s="1247" t="s">
        <v>420</v>
      </c>
      <c r="R70" s="1247" t="s">
        <v>31</v>
      </c>
      <c r="S70" s="1247" t="s">
        <v>184</v>
      </c>
      <c r="T70" s="1247" t="s">
        <v>185</v>
      </c>
      <c r="U70" s="1247"/>
      <c r="V70" s="1247" t="s">
        <v>149</v>
      </c>
      <c r="W70" s="1248">
        <v>1</v>
      </c>
    </row>
    <row r="71" spans="1:23" customFormat="1" ht="16.5" customHeight="1">
      <c r="A71" s="134" t="s">
        <v>155</v>
      </c>
      <c r="B71" s="135">
        <v>11</v>
      </c>
      <c r="C71" s="136">
        <v>46090</v>
      </c>
      <c r="D71" s="137" t="s">
        <v>136</v>
      </c>
      <c r="E71" s="395" t="s">
        <v>173</v>
      </c>
      <c r="F71" s="395" t="s">
        <v>243</v>
      </c>
      <c r="G71" s="395" t="s">
        <v>32</v>
      </c>
      <c r="H71" s="139">
        <v>5501881</v>
      </c>
      <c r="I71" s="395">
        <v>4524055392</v>
      </c>
      <c r="J71" s="395">
        <v>6</v>
      </c>
      <c r="K71" s="1150"/>
      <c r="L71" s="1150"/>
      <c r="M71" s="1150"/>
      <c r="N71" s="1150"/>
      <c r="O71" s="1150"/>
      <c r="P71" s="1150"/>
      <c r="Q71" s="1150"/>
      <c r="R71" s="1150"/>
      <c r="S71" s="1150"/>
      <c r="T71" s="1150"/>
      <c r="U71" s="1150"/>
      <c r="V71" s="1150"/>
      <c r="W71" s="1151"/>
    </row>
    <row r="72" spans="1:23" customFormat="1" ht="16.5" customHeight="1">
      <c r="A72" s="134" t="s">
        <v>155</v>
      </c>
      <c r="B72" s="135">
        <v>11</v>
      </c>
      <c r="C72" s="136">
        <v>46090</v>
      </c>
      <c r="D72" s="137" t="s">
        <v>136</v>
      </c>
      <c r="E72" s="395" t="s">
        <v>173</v>
      </c>
      <c r="F72" s="395" t="s">
        <v>243</v>
      </c>
      <c r="G72" s="395" t="s">
        <v>28</v>
      </c>
      <c r="H72" s="139">
        <v>5503502</v>
      </c>
      <c r="I72" s="395">
        <v>4524055392</v>
      </c>
      <c r="J72" s="395">
        <v>8</v>
      </c>
      <c r="K72" s="1150"/>
      <c r="L72" s="1150"/>
      <c r="M72" s="1150"/>
      <c r="N72" s="1150"/>
      <c r="O72" s="1150"/>
      <c r="P72" s="1150"/>
      <c r="Q72" s="1150"/>
      <c r="R72" s="1150"/>
      <c r="S72" s="1150"/>
      <c r="T72" s="1150"/>
      <c r="U72" s="1150"/>
      <c r="V72" s="1150"/>
      <c r="W72" s="1151"/>
    </row>
    <row r="73" spans="1:23" customFormat="1" ht="16.5" customHeight="1" thickBot="1">
      <c r="A73" s="116" t="s">
        <v>155</v>
      </c>
      <c r="B73" s="141">
        <v>11</v>
      </c>
      <c r="C73" s="142">
        <v>46090</v>
      </c>
      <c r="D73" s="143" t="s">
        <v>136</v>
      </c>
      <c r="E73" s="396" t="s">
        <v>173</v>
      </c>
      <c r="F73" s="396" t="s">
        <v>243</v>
      </c>
      <c r="G73" s="396" t="s">
        <v>36</v>
      </c>
      <c r="H73" s="145">
        <v>5491592</v>
      </c>
      <c r="I73" s="396">
        <v>4524055392</v>
      </c>
      <c r="J73" s="396">
        <v>3</v>
      </c>
      <c r="K73" s="1147"/>
      <c r="L73" s="1147"/>
      <c r="M73" s="1147"/>
      <c r="N73" s="1147"/>
      <c r="O73" s="1147"/>
      <c r="P73" s="1147"/>
      <c r="Q73" s="1147"/>
      <c r="R73" s="1147"/>
      <c r="S73" s="1147"/>
      <c r="T73" s="1147"/>
      <c r="U73" s="1147"/>
      <c r="V73" s="1147"/>
      <c r="W73" s="1149"/>
    </row>
    <row r="74" spans="1:23" customFormat="1" ht="16.5" customHeight="1">
      <c r="A74" s="63" t="s">
        <v>155</v>
      </c>
      <c r="B74" s="64">
        <v>11</v>
      </c>
      <c r="C74" s="65">
        <v>46092</v>
      </c>
      <c r="D74" s="66" t="s">
        <v>216</v>
      </c>
      <c r="E74" s="403" t="s">
        <v>221</v>
      </c>
      <c r="F74" s="403" t="s">
        <v>218</v>
      </c>
      <c r="G74" s="403" t="s">
        <v>63</v>
      </c>
      <c r="H74" s="163">
        <v>5366528</v>
      </c>
      <c r="I74" s="403" t="s">
        <v>432</v>
      </c>
      <c r="J74" s="403">
        <v>1</v>
      </c>
      <c r="K74" s="1347">
        <v>1</v>
      </c>
      <c r="L74" s="1347"/>
      <c r="M74" s="1347">
        <v>0</v>
      </c>
      <c r="N74" s="1347" t="s">
        <v>149</v>
      </c>
      <c r="O74" s="1347"/>
      <c r="P74" s="1347"/>
      <c r="Q74" s="1347"/>
      <c r="R74" s="1347"/>
      <c r="S74" s="1347"/>
      <c r="T74" s="1347"/>
      <c r="U74" s="1347"/>
      <c r="V74" s="1347"/>
      <c r="W74" s="1382"/>
    </row>
    <row r="75" spans="1:23" customFormat="1" ht="16.5" customHeight="1">
      <c r="A75" s="134" t="s">
        <v>155</v>
      </c>
      <c r="B75" s="135">
        <v>11</v>
      </c>
      <c r="C75" s="136">
        <v>46092</v>
      </c>
      <c r="D75" s="137" t="s">
        <v>216</v>
      </c>
      <c r="E75" s="402" t="s">
        <v>221</v>
      </c>
      <c r="F75" s="402" t="s">
        <v>218</v>
      </c>
      <c r="G75" s="402" t="s">
        <v>32</v>
      </c>
      <c r="H75" s="139">
        <v>5366529</v>
      </c>
      <c r="I75" s="402" t="s">
        <v>433</v>
      </c>
      <c r="J75" s="402">
        <v>4</v>
      </c>
      <c r="K75" s="1150"/>
      <c r="L75" s="1150"/>
      <c r="M75" s="1150"/>
      <c r="N75" s="1150"/>
      <c r="O75" s="1150"/>
      <c r="P75" s="1150"/>
      <c r="Q75" s="1150"/>
      <c r="R75" s="1150"/>
      <c r="S75" s="1150"/>
      <c r="T75" s="1150"/>
      <c r="U75" s="1150"/>
      <c r="V75" s="1150"/>
      <c r="W75" s="1151"/>
    </row>
    <row r="76" spans="1:23" customFormat="1" ht="16.5" customHeight="1">
      <c r="A76" s="134" t="s">
        <v>155</v>
      </c>
      <c r="B76" s="135">
        <v>11</v>
      </c>
      <c r="C76" s="136">
        <v>46092</v>
      </c>
      <c r="D76" s="137" t="s">
        <v>216</v>
      </c>
      <c r="E76" s="402" t="s">
        <v>221</v>
      </c>
      <c r="F76" s="402" t="s">
        <v>218</v>
      </c>
      <c r="G76" s="402" t="s">
        <v>28</v>
      </c>
      <c r="H76" s="139">
        <v>5366530</v>
      </c>
      <c r="I76" s="402" t="s">
        <v>434</v>
      </c>
      <c r="J76" s="402">
        <v>3</v>
      </c>
      <c r="K76" s="1150"/>
      <c r="L76" s="1150"/>
      <c r="M76" s="1150"/>
      <c r="N76" s="1150"/>
      <c r="O76" s="1150"/>
      <c r="P76" s="1150"/>
      <c r="Q76" s="1150"/>
      <c r="R76" s="1150"/>
      <c r="S76" s="1150"/>
      <c r="T76" s="1150"/>
      <c r="U76" s="1150"/>
      <c r="V76" s="1150"/>
      <c r="W76" s="1151"/>
    </row>
    <row r="77" spans="1:23" customFormat="1" ht="16.5" customHeight="1">
      <c r="A77" s="134" t="s">
        <v>155</v>
      </c>
      <c r="B77" s="135">
        <v>11</v>
      </c>
      <c r="C77" s="136">
        <v>46092</v>
      </c>
      <c r="D77" s="137" t="s">
        <v>216</v>
      </c>
      <c r="E77" s="402" t="s">
        <v>221</v>
      </c>
      <c r="F77" s="402" t="s">
        <v>218</v>
      </c>
      <c r="G77" s="402" t="s">
        <v>36</v>
      </c>
      <c r="H77" s="139">
        <v>5366531</v>
      </c>
      <c r="I77" s="402" t="s">
        <v>435</v>
      </c>
      <c r="J77" s="402">
        <v>3</v>
      </c>
      <c r="K77" s="1150"/>
      <c r="L77" s="1150"/>
      <c r="M77" s="1150"/>
      <c r="N77" s="1150"/>
      <c r="O77" s="1150"/>
      <c r="P77" s="1150"/>
      <c r="Q77" s="1150"/>
      <c r="R77" s="1150"/>
      <c r="S77" s="1150"/>
      <c r="T77" s="1150"/>
      <c r="U77" s="1150"/>
      <c r="V77" s="1150"/>
      <c r="W77" s="1151"/>
    </row>
    <row r="78" spans="1:23" customFormat="1" ht="16.5" customHeight="1" thickBot="1">
      <c r="A78" s="423" t="s">
        <v>155</v>
      </c>
      <c r="B78" s="424">
        <v>11</v>
      </c>
      <c r="C78" s="425">
        <v>46092</v>
      </c>
      <c r="D78" s="426" t="s">
        <v>216</v>
      </c>
      <c r="E78" s="427" t="s">
        <v>221</v>
      </c>
      <c r="F78" s="427" t="s">
        <v>218</v>
      </c>
      <c r="G78" s="427" t="s">
        <v>52</v>
      </c>
      <c r="H78" s="428">
        <v>5366533</v>
      </c>
      <c r="I78" s="427" t="s">
        <v>436</v>
      </c>
      <c r="J78" s="427">
        <v>1</v>
      </c>
      <c r="K78" s="1150"/>
      <c r="L78" s="1150"/>
      <c r="M78" s="1150"/>
      <c r="N78" s="1150"/>
      <c r="O78" s="1150"/>
      <c r="P78" s="1150"/>
      <c r="Q78" s="1150"/>
      <c r="R78" s="1150"/>
      <c r="S78" s="1150"/>
      <c r="T78" s="1150"/>
      <c r="U78" s="1150"/>
      <c r="V78" s="1150"/>
      <c r="W78" s="1151"/>
    </row>
    <row r="79" spans="1:23" customFormat="1" ht="16.5" customHeight="1">
      <c r="A79" s="63" t="s">
        <v>155</v>
      </c>
      <c r="B79" s="149">
        <v>11</v>
      </c>
      <c r="C79" s="150">
        <v>46094</v>
      </c>
      <c r="D79" s="151" t="s">
        <v>216</v>
      </c>
      <c r="E79" s="413" t="s">
        <v>217</v>
      </c>
      <c r="F79" s="413" t="s">
        <v>222</v>
      </c>
      <c r="G79" s="413" t="s">
        <v>63</v>
      </c>
      <c r="H79" s="153">
        <v>5366522</v>
      </c>
      <c r="I79" s="413" t="s">
        <v>437</v>
      </c>
      <c r="J79" s="413">
        <v>1</v>
      </c>
      <c r="K79" s="1346">
        <v>1</v>
      </c>
      <c r="L79" s="1346"/>
      <c r="M79" s="1346">
        <v>0</v>
      </c>
      <c r="N79" s="1346" t="s">
        <v>149</v>
      </c>
      <c r="O79" s="1346"/>
      <c r="P79" s="1346"/>
      <c r="Q79" s="1346"/>
      <c r="R79" s="1346"/>
      <c r="S79" s="1346"/>
      <c r="T79" s="1346"/>
      <c r="U79" s="1346"/>
      <c r="V79" s="1346"/>
      <c r="W79" s="1383"/>
    </row>
    <row r="80" spans="1:23" customFormat="1" ht="16.5" customHeight="1">
      <c r="A80" s="134" t="s">
        <v>155</v>
      </c>
      <c r="B80" s="135">
        <v>11</v>
      </c>
      <c r="C80" s="136">
        <v>46094</v>
      </c>
      <c r="D80" s="137" t="s">
        <v>216</v>
      </c>
      <c r="E80" s="411" t="s">
        <v>217</v>
      </c>
      <c r="F80" s="411" t="s">
        <v>222</v>
      </c>
      <c r="G80" s="411" t="s">
        <v>32</v>
      </c>
      <c r="H80" s="139">
        <v>5366523</v>
      </c>
      <c r="I80" s="411" t="s">
        <v>438</v>
      </c>
      <c r="J80" s="411">
        <v>5</v>
      </c>
      <c r="K80" s="1150"/>
      <c r="L80" s="1150"/>
      <c r="M80" s="1150"/>
      <c r="N80" s="1150"/>
      <c r="O80" s="1150"/>
      <c r="P80" s="1150"/>
      <c r="Q80" s="1150"/>
      <c r="R80" s="1150"/>
      <c r="S80" s="1150"/>
      <c r="T80" s="1150"/>
      <c r="U80" s="1150"/>
      <c r="V80" s="1150"/>
      <c r="W80" s="1151"/>
    </row>
    <row r="81" spans="1:23" customFormat="1" ht="16.5" customHeight="1">
      <c r="A81" s="134" t="s">
        <v>155</v>
      </c>
      <c r="B81" s="135">
        <v>11</v>
      </c>
      <c r="C81" s="136">
        <v>46094</v>
      </c>
      <c r="D81" s="137" t="s">
        <v>216</v>
      </c>
      <c r="E81" s="411" t="s">
        <v>217</v>
      </c>
      <c r="F81" s="411" t="s">
        <v>222</v>
      </c>
      <c r="G81" s="411" t="s">
        <v>36</v>
      </c>
      <c r="H81" s="139">
        <v>5366526</v>
      </c>
      <c r="I81" s="411" t="s">
        <v>439</v>
      </c>
      <c r="J81" s="411">
        <v>3</v>
      </c>
      <c r="K81" s="1150"/>
      <c r="L81" s="1150"/>
      <c r="M81" s="1150"/>
      <c r="N81" s="1150"/>
      <c r="O81" s="1150"/>
      <c r="P81" s="1150"/>
      <c r="Q81" s="1150"/>
      <c r="R81" s="1150"/>
      <c r="S81" s="1150"/>
      <c r="T81" s="1150"/>
      <c r="U81" s="1150"/>
      <c r="V81" s="1150"/>
      <c r="W81" s="1151"/>
    </row>
    <row r="82" spans="1:23" customFormat="1" ht="16.5" customHeight="1" thickBot="1">
      <c r="A82" s="434" t="s">
        <v>155</v>
      </c>
      <c r="B82" s="435">
        <v>11</v>
      </c>
      <c r="C82" s="436">
        <v>46094</v>
      </c>
      <c r="D82" s="437" t="s">
        <v>216</v>
      </c>
      <c r="E82" s="438" t="s">
        <v>217</v>
      </c>
      <c r="F82" s="438" t="s">
        <v>222</v>
      </c>
      <c r="G82" s="438" t="s">
        <v>28</v>
      </c>
      <c r="H82" s="439">
        <v>5366525</v>
      </c>
      <c r="I82" s="438" t="s">
        <v>440</v>
      </c>
      <c r="J82" s="438">
        <v>6</v>
      </c>
      <c r="K82" s="1150"/>
      <c r="L82" s="1150"/>
      <c r="M82" s="1150"/>
      <c r="N82" s="1150"/>
      <c r="O82" s="1150"/>
      <c r="P82" s="1150"/>
      <c r="Q82" s="1150"/>
      <c r="R82" s="1150"/>
      <c r="S82" s="1150"/>
      <c r="T82" s="1150"/>
      <c r="U82" s="1150"/>
      <c r="V82" s="1150"/>
      <c r="W82" s="1151"/>
    </row>
    <row r="83" spans="1:23" customFormat="1" ht="16.5" customHeight="1" thickBot="1">
      <c r="A83" s="158" t="s">
        <v>155</v>
      </c>
      <c r="B83" s="446">
        <v>12</v>
      </c>
      <c r="C83" s="447">
        <v>46097</v>
      </c>
      <c r="D83" s="448" t="s">
        <v>136</v>
      </c>
      <c r="E83" s="449" t="s">
        <v>173</v>
      </c>
      <c r="F83" s="449" t="s">
        <v>239</v>
      </c>
      <c r="G83" s="449" t="s">
        <v>32</v>
      </c>
      <c r="H83" s="450">
        <v>5448966</v>
      </c>
      <c r="I83" s="449" t="s">
        <v>457</v>
      </c>
      <c r="J83" s="449">
        <v>1</v>
      </c>
      <c r="K83" s="449">
        <v>1</v>
      </c>
      <c r="L83" s="449"/>
      <c r="M83" s="449">
        <v>0</v>
      </c>
      <c r="N83" s="449" t="s">
        <v>149</v>
      </c>
      <c r="O83" s="449"/>
      <c r="P83" s="449"/>
      <c r="Q83" s="449"/>
      <c r="R83" s="449"/>
      <c r="S83" s="449"/>
      <c r="T83" s="449"/>
      <c r="U83" s="449"/>
      <c r="V83" s="449"/>
      <c r="W83" s="451"/>
    </row>
    <row r="84" spans="1:23" customFormat="1" ht="16.5" customHeight="1">
      <c r="A84" s="63" t="s">
        <v>155</v>
      </c>
      <c r="B84" s="64">
        <v>12</v>
      </c>
      <c r="C84" s="65">
        <v>46098</v>
      </c>
      <c r="D84" s="66" t="s">
        <v>244</v>
      </c>
      <c r="E84" s="432" t="s">
        <v>245</v>
      </c>
      <c r="F84" s="432" t="s">
        <v>246</v>
      </c>
      <c r="G84" s="432" t="s">
        <v>32</v>
      </c>
      <c r="H84" s="163">
        <v>4879035</v>
      </c>
      <c r="I84" s="432">
        <v>1110169558</v>
      </c>
      <c r="J84" s="432">
        <v>2</v>
      </c>
      <c r="K84" s="1142">
        <v>1</v>
      </c>
      <c r="L84" s="1142"/>
      <c r="M84" s="1142">
        <v>0</v>
      </c>
      <c r="N84" s="1142" t="s">
        <v>149</v>
      </c>
      <c r="O84" s="1142"/>
      <c r="P84" s="1142"/>
      <c r="Q84" s="1142"/>
      <c r="R84" s="1142"/>
      <c r="S84" s="1142"/>
      <c r="T84" s="1142"/>
      <c r="U84" s="1142"/>
      <c r="V84" s="1142"/>
      <c r="W84" s="1153"/>
    </row>
    <row r="85" spans="1:23" customFormat="1" ht="16.5" customHeight="1">
      <c r="A85" s="134" t="s">
        <v>155</v>
      </c>
      <c r="B85" s="135">
        <v>12</v>
      </c>
      <c r="C85" s="136">
        <v>46098</v>
      </c>
      <c r="D85" s="137" t="s">
        <v>244</v>
      </c>
      <c r="E85" s="430" t="s">
        <v>245</v>
      </c>
      <c r="F85" s="430" t="s">
        <v>246</v>
      </c>
      <c r="G85" s="430" t="s">
        <v>36</v>
      </c>
      <c r="H85" s="139">
        <v>4879037</v>
      </c>
      <c r="I85" s="430">
        <v>1110169558</v>
      </c>
      <c r="J85" s="430">
        <v>2</v>
      </c>
      <c r="K85" s="1143"/>
      <c r="L85" s="1143"/>
      <c r="M85" s="1143"/>
      <c r="N85" s="1143"/>
      <c r="O85" s="1143"/>
      <c r="P85" s="1143"/>
      <c r="Q85" s="1143"/>
      <c r="R85" s="1143"/>
      <c r="S85" s="1143"/>
      <c r="T85" s="1143"/>
      <c r="U85" s="1143"/>
      <c r="V85" s="1143"/>
      <c r="W85" s="1145"/>
    </row>
    <row r="86" spans="1:23" customFormat="1" ht="16.5" customHeight="1">
      <c r="A86" s="134" t="s">
        <v>155</v>
      </c>
      <c r="B86" s="135">
        <v>12</v>
      </c>
      <c r="C86" s="136">
        <v>46098</v>
      </c>
      <c r="D86" s="137" t="s">
        <v>136</v>
      </c>
      <c r="E86" s="430" t="s">
        <v>173</v>
      </c>
      <c r="F86" s="430" t="s">
        <v>225</v>
      </c>
      <c r="G86" s="430" t="s">
        <v>36</v>
      </c>
      <c r="H86" s="139">
        <v>5285945</v>
      </c>
      <c r="I86" s="430" t="s">
        <v>458</v>
      </c>
      <c r="J86" s="430">
        <v>1</v>
      </c>
      <c r="K86" s="1143">
        <v>1</v>
      </c>
      <c r="L86" s="1143"/>
      <c r="M86" s="1143">
        <v>0</v>
      </c>
      <c r="N86" s="1143" t="s">
        <v>149</v>
      </c>
      <c r="O86" s="1143"/>
      <c r="P86" s="1143"/>
      <c r="Q86" s="1143"/>
      <c r="R86" s="1143"/>
      <c r="S86" s="1143"/>
      <c r="T86" s="1143"/>
      <c r="U86" s="1143"/>
      <c r="V86" s="1143"/>
      <c r="W86" s="1145"/>
    </row>
    <row r="87" spans="1:23" customFormat="1" ht="16.5" customHeight="1">
      <c r="A87" s="134" t="s">
        <v>155</v>
      </c>
      <c r="B87" s="135">
        <v>12</v>
      </c>
      <c r="C87" s="136">
        <v>46098</v>
      </c>
      <c r="D87" s="137" t="s">
        <v>136</v>
      </c>
      <c r="E87" s="430" t="s">
        <v>173</v>
      </c>
      <c r="F87" s="430" t="s">
        <v>225</v>
      </c>
      <c r="G87" s="430" t="s">
        <v>28</v>
      </c>
      <c r="H87" s="139">
        <v>5285944</v>
      </c>
      <c r="I87" s="430" t="s">
        <v>458</v>
      </c>
      <c r="J87" s="430">
        <v>3</v>
      </c>
      <c r="K87" s="1143"/>
      <c r="L87" s="1143"/>
      <c r="M87" s="1143"/>
      <c r="N87" s="1143"/>
      <c r="O87" s="1143"/>
      <c r="P87" s="1143"/>
      <c r="Q87" s="1143"/>
      <c r="R87" s="1143"/>
      <c r="S87" s="1143"/>
      <c r="T87" s="1143"/>
      <c r="U87" s="1143"/>
      <c r="V87" s="1143"/>
      <c r="W87" s="1145"/>
    </row>
    <row r="88" spans="1:23" customFormat="1" ht="16.5" customHeight="1">
      <c r="A88" s="134" t="s">
        <v>155</v>
      </c>
      <c r="B88" s="135">
        <v>12</v>
      </c>
      <c r="C88" s="136">
        <v>46098</v>
      </c>
      <c r="D88" s="137" t="s">
        <v>136</v>
      </c>
      <c r="E88" s="430" t="s">
        <v>173</v>
      </c>
      <c r="F88" s="430" t="s">
        <v>225</v>
      </c>
      <c r="G88" s="430" t="s">
        <v>32</v>
      </c>
      <c r="H88" s="139">
        <v>5285943</v>
      </c>
      <c r="I88" s="430" t="s">
        <v>458</v>
      </c>
      <c r="J88" s="430">
        <v>3</v>
      </c>
      <c r="K88" s="1143"/>
      <c r="L88" s="1143"/>
      <c r="M88" s="1143"/>
      <c r="N88" s="1143"/>
      <c r="O88" s="1143"/>
      <c r="P88" s="1143"/>
      <c r="Q88" s="1143"/>
      <c r="R88" s="1143"/>
      <c r="S88" s="1143"/>
      <c r="T88" s="1143"/>
      <c r="U88" s="1143"/>
      <c r="V88" s="1143"/>
      <c r="W88" s="1145"/>
    </row>
    <row r="89" spans="1:23" customFormat="1" ht="16.5" customHeight="1" thickBot="1">
      <c r="A89" s="116" t="s">
        <v>155</v>
      </c>
      <c r="B89" s="141">
        <v>12</v>
      </c>
      <c r="C89" s="142">
        <v>46098</v>
      </c>
      <c r="D89" s="143" t="s">
        <v>136</v>
      </c>
      <c r="E89" s="431" t="s">
        <v>173</v>
      </c>
      <c r="F89" s="431" t="s">
        <v>225</v>
      </c>
      <c r="G89" s="431" t="s">
        <v>63</v>
      </c>
      <c r="H89" s="145">
        <v>5285942</v>
      </c>
      <c r="I89" s="431" t="s">
        <v>458</v>
      </c>
      <c r="J89" s="431">
        <v>1</v>
      </c>
      <c r="K89" s="1156"/>
      <c r="L89" s="1156"/>
      <c r="M89" s="1156"/>
      <c r="N89" s="1156"/>
      <c r="O89" s="1156"/>
      <c r="P89" s="1156"/>
      <c r="Q89" s="1156"/>
      <c r="R89" s="1156"/>
      <c r="S89" s="1156"/>
      <c r="T89" s="1156"/>
      <c r="U89" s="1156"/>
      <c r="V89" s="1156"/>
      <c r="W89" s="1158"/>
    </row>
    <row r="90" spans="1:23" customFormat="1" ht="16.5" customHeight="1">
      <c r="A90" s="63" t="s">
        <v>155</v>
      </c>
      <c r="B90" s="64">
        <v>13</v>
      </c>
      <c r="C90" s="65">
        <v>46104</v>
      </c>
      <c r="D90" s="66" t="s">
        <v>136</v>
      </c>
      <c r="E90" s="467" t="s">
        <v>173</v>
      </c>
      <c r="F90" s="467" t="s">
        <v>243</v>
      </c>
      <c r="G90" s="467" t="s">
        <v>52</v>
      </c>
      <c r="H90" s="163">
        <v>5491593</v>
      </c>
      <c r="I90" s="467" t="s">
        <v>472</v>
      </c>
      <c r="J90" s="467">
        <v>1</v>
      </c>
      <c r="K90" s="1238">
        <v>1</v>
      </c>
      <c r="L90" s="1238">
        <v>5</v>
      </c>
      <c r="M90" s="1238">
        <v>1</v>
      </c>
      <c r="N90" s="1238" t="s">
        <v>149</v>
      </c>
      <c r="O90" s="1238" t="s">
        <v>61</v>
      </c>
      <c r="P90" s="1238" t="s">
        <v>62</v>
      </c>
      <c r="Q90" s="1238" t="s">
        <v>483</v>
      </c>
      <c r="R90" s="1238" t="s">
        <v>31</v>
      </c>
      <c r="S90" s="1238" t="s">
        <v>184</v>
      </c>
      <c r="T90" s="1238" t="s">
        <v>185</v>
      </c>
      <c r="U90" s="1238"/>
      <c r="V90" s="1238" t="s">
        <v>149</v>
      </c>
      <c r="W90" s="1239">
        <v>1</v>
      </c>
    </row>
    <row r="91" spans="1:23" customFormat="1" ht="16.5" customHeight="1">
      <c r="A91" s="134" t="s">
        <v>155</v>
      </c>
      <c r="B91" s="135">
        <v>13</v>
      </c>
      <c r="C91" s="136">
        <v>46104</v>
      </c>
      <c r="D91" s="137" t="s">
        <v>136</v>
      </c>
      <c r="E91" s="468" t="s">
        <v>173</v>
      </c>
      <c r="F91" s="468" t="s">
        <v>243</v>
      </c>
      <c r="G91" s="468" t="s">
        <v>36</v>
      </c>
      <c r="H91" s="139">
        <v>5491592</v>
      </c>
      <c r="I91" s="468">
        <v>4522890962</v>
      </c>
      <c r="J91" s="468">
        <v>1</v>
      </c>
      <c r="K91" s="1150"/>
      <c r="L91" s="1150"/>
      <c r="M91" s="1150"/>
      <c r="N91" s="1150"/>
      <c r="O91" s="1150"/>
      <c r="P91" s="1150"/>
      <c r="Q91" s="1150"/>
      <c r="R91" s="1150"/>
      <c r="S91" s="1150"/>
      <c r="T91" s="1150"/>
      <c r="U91" s="1150"/>
      <c r="V91" s="1150"/>
      <c r="W91" s="1151"/>
    </row>
    <row r="92" spans="1:23" customFormat="1" ht="16.5" customHeight="1">
      <c r="A92" s="134" t="s">
        <v>155</v>
      </c>
      <c r="B92" s="135">
        <v>13</v>
      </c>
      <c r="C92" s="136">
        <v>46104</v>
      </c>
      <c r="D92" s="137" t="s">
        <v>136</v>
      </c>
      <c r="E92" s="468" t="s">
        <v>173</v>
      </c>
      <c r="F92" s="468" t="s">
        <v>243</v>
      </c>
      <c r="G92" s="468" t="s">
        <v>63</v>
      </c>
      <c r="H92" s="139">
        <v>5491591</v>
      </c>
      <c r="I92" s="468">
        <v>4522890962</v>
      </c>
      <c r="J92" s="468">
        <v>4</v>
      </c>
      <c r="K92" s="1150"/>
      <c r="L92" s="1150"/>
      <c r="M92" s="1150"/>
      <c r="N92" s="1150"/>
      <c r="O92" s="1150"/>
      <c r="P92" s="1150"/>
      <c r="Q92" s="1150"/>
      <c r="R92" s="1150"/>
      <c r="S92" s="1150"/>
      <c r="T92" s="1150"/>
      <c r="U92" s="1150"/>
      <c r="V92" s="1150"/>
      <c r="W92" s="1151"/>
    </row>
    <row r="93" spans="1:23" customFormat="1" ht="16.5" customHeight="1">
      <c r="A93" s="134" t="s">
        <v>155</v>
      </c>
      <c r="B93" s="135">
        <v>13</v>
      </c>
      <c r="C93" s="136">
        <v>46104</v>
      </c>
      <c r="D93" s="137" t="s">
        <v>136</v>
      </c>
      <c r="E93" s="468" t="s">
        <v>173</v>
      </c>
      <c r="F93" s="468" t="s">
        <v>239</v>
      </c>
      <c r="G93" s="468" t="s">
        <v>36</v>
      </c>
      <c r="H93" s="139">
        <v>5448968</v>
      </c>
      <c r="I93" s="468" t="s">
        <v>473</v>
      </c>
      <c r="J93" s="468">
        <v>3</v>
      </c>
      <c r="K93" s="1150"/>
      <c r="L93" s="1150"/>
      <c r="M93" s="1150"/>
      <c r="N93" s="1150"/>
      <c r="O93" s="1150"/>
      <c r="P93" s="1150"/>
      <c r="Q93" s="1150"/>
      <c r="R93" s="1150"/>
      <c r="S93" s="1150"/>
      <c r="T93" s="1150"/>
      <c r="U93" s="1150"/>
      <c r="V93" s="1150"/>
      <c r="W93" s="1151"/>
    </row>
    <row r="94" spans="1:23" customFormat="1" ht="16.5" customHeight="1">
      <c r="A94" s="134" t="s">
        <v>155</v>
      </c>
      <c r="B94" s="135">
        <v>13</v>
      </c>
      <c r="C94" s="136">
        <v>46104</v>
      </c>
      <c r="D94" s="137" t="s">
        <v>136</v>
      </c>
      <c r="E94" s="468" t="s">
        <v>173</v>
      </c>
      <c r="F94" s="468" t="s">
        <v>239</v>
      </c>
      <c r="G94" s="468" t="s">
        <v>36</v>
      </c>
      <c r="H94" s="139">
        <v>5448968</v>
      </c>
      <c r="I94" s="468" t="s">
        <v>474</v>
      </c>
      <c r="J94" s="468">
        <v>2</v>
      </c>
      <c r="K94" s="1150"/>
      <c r="L94" s="1150"/>
      <c r="M94" s="1150"/>
      <c r="N94" s="1150"/>
      <c r="O94" s="1150"/>
      <c r="P94" s="1150"/>
      <c r="Q94" s="1150"/>
      <c r="R94" s="1150"/>
      <c r="S94" s="1150"/>
      <c r="T94" s="1150"/>
      <c r="U94" s="1150"/>
      <c r="V94" s="1150"/>
      <c r="W94" s="1151"/>
    </row>
    <row r="95" spans="1:23" customFormat="1" ht="16.5" customHeight="1">
      <c r="A95" s="134" t="s">
        <v>155</v>
      </c>
      <c r="B95" s="135">
        <v>13</v>
      </c>
      <c r="C95" s="136">
        <v>46104</v>
      </c>
      <c r="D95" s="137" t="s">
        <v>136</v>
      </c>
      <c r="E95" s="468" t="s">
        <v>173</v>
      </c>
      <c r="F95" s="468" t="s">
        <v>239</v>
      </c>
      <c r="G95" s="468" t="s">
        <v>28</v>
      </c>
      <c r="H95" s="139">
        <v>5448967</v>
      </c>
      <c r="I95" s="468" t="s">
        <v>475</v>
      </c>
      <c r="J95" s="468">
        <v>11</v>
      </c>
      <c r="K95" s="1150"/>
      <c r="L95" s="1150"/>
      <c r="M95" s="1150"/>
      <c r="N95" s="1150"/>
      <c r="O95" s="1150"/>
      <c r="P95" s="1150"/>
      <c r="Q95" s="1150"/>
      <c r="R95" s="1150"/>
      <c r="S95" s="1150"/>
      <c r="T95" s="1150"/>
      <c r="U95" s="1150"/>
      <c r="V95" s="1150"/>
      <c r="W95" s="1151"/>
    </row>
    <row r="96" spans="1:23" customFormat="1" ht="16.5" customHeight="1">
      <c r="A96" s="134" t="s">
        <v>155</v>
      </c>
      <c r="B96" s="135">
        <v>13</v>
      </c>
      <c r="C96" s="136">
        <v>46104</v>
      </c>
      <c r="D96" s="137" t="s">
        <v>136</v>
      </c>
      <c r="E96" s="468" t="s">
        <v>173</v>
      </c>
      <c r="F96" s="468" t="s">
        <v>239</v>
      </c>
      <c r="G96" s="468" t="s">
        <v>28</v>
      </c>
      <c r="H96" s="139">
        <v>5448967</v>
      </c>
      <c r="I96" s="468" t="s">
        <v>476</v>
      </c>
      <c r="J96" s="468">
        <v>4</v>
      </c>
      <c r="K96" s="1150"/>
      <c r="L96" s="1150"/>
      <c r="M96" s="1150"/>
      <c r="N96" s="1150"/>
      <c r="O96" s="1150"/>
      <c r="P96" s="1150"/>
      <c r="Q96" s="1150"/>
      <c r="R96" s="1150"/>
      <c r="S96" s="1150"/>
      <c r="T96" s="1150"/>
      <c r="U96" s="1150"/>
      <c r="V96" s="1150"/>
      <c r="W96" s="1151"/>
    </row>
    <row r="97" spans="1:23" customFormat="1" ht="16.5" customHeight="1">
      <c r="A97" s="134" t="s">
        <v>155</v>
      </c>
      <c r="B97" s="135">
        <v>13</v>
      </c>
      <c r="C97" s="136">
        <v>46104</v>
      </c>
      <c r="D97" s="137" t="s">
        <v>136</v>
      </c>
      <c r="E97" s="468" t="s">
        <v>173</v>
      </c>
      <c r="F97" s="468" t="s">
        <v>239</v>
      </c>
      <c r="G97" s="468" t="s">
        <v>32</v>
      </c>
      <c r="H97" s="139">
        <v>5448966</v>
      </c>
      <c r="I97" s="468" t="s">
        <v>457</v>
      </c>
      <c r="J97" s="468">
        <v>1</v>
      </c>
      <c r="K97" s="1150"/>
      <c r="L97" s="1150"/>
      <c r="M97" s="1150"/>
      <c r="N97" s="1150"/>
      <c r="O97" s="1150"/>
      <c r="P97" s="1150"/>
      <c r="Q97" s="1150"/>
      <c r="R97" s="1150"/>
      <c r="S97" s="1150"/>
      <c r="T97" s="1150"/>
      <c r="U97" s="1150"/>
      <c r="V97" s="1150"/>
      <c r="W97" s="1151"/>
    </row>
    <row r="98" spans="1:23" customFormat="1" ht="16.5" customHeight="1" thickBot="1">
      <c r="A98" s="474" t="s">
        <v>155</v>
      </c>
      <c r="B98" s="475">
        <v>13</v>
      </c>
      <c r="C98" s="476">
        <v>46104</v>
      </c>
      <c r="D98" s="477" t="s">
        <v>136</v>
      </c>
      <c r="E98" s="473" t="s">
        <v>173</v>
      </c>
      <c r="F98" s="473" t="s">
        <v>239</v>
      </c>
      <c r="G98" s="473" t="s">
        <v>32</v>
      </c>
      <c r="H98" s="478">
        <v>5448966</v>
      </c>
      <c r="I98" s="473" t="s">
        <v>477</v>
      </c>
      <c r="J98" s="473">
        <v>7</v>
      </c>
      <c r="K98" s="1150"/>
      <c r="L98" s="1150"/>
      <c r="M98" s="1150"/>
      <c r="N98" s="1150"/>
      <c r="O98" s="1150"/>
      <c r="P98" s="1150"/>
      <c r="Q98" s="1150"/>
      <c r="R98" s="1150"/>
      <c r="S98" s="1150"/>
      <c r="T98" s="1150"/>
      <c r="U98" s="1150"/>
      <c r="V98" s="1150"/>
      <c r="W98" s="1151"/>
    </row>
    <row r="99" spans="1:23" customFormat="1" ht="16.5" customHeight="1">
      <c r="A99" s="63" t="s">
        <v>155</v>
      </c>
      <c r="B99" s="149">
        <v>13</v>
      </c>
      <c r="C99" s="150">
        <v>46109</v>
      </c>
      <c r="D99" s="151" t="s">
        <v>216</v>
      </c>
      <c r="E99" s="491" t="s">
        <v>221</v>
      </c>
      <c r="F99" s="491" t="s">
        <v>223</v>
      </c>
      <c r="G99" s="491" t="s">
        <v>52</v>
      </c>
      <c r="H99" s="153">
        <v>5366544</v>
      </c>
      <c r="I99" s="491" t="s">
        <v>478</v>
      </c>
      <c r="J99" s="491">
        <v>1</v>
      </c>
      <c r="K99" s="1152">
        <v>1</v>
      </c>
      <c r="L99" s="1152"/>
      <c r="M99" s="1152">
        <v>0</v>
      </c>
      <c r="N99" s="1152" t="s">
        <v>149</v>
      </c>
      <c r="O99" s="1152"/>
      <c r="P99" s="1152"/>
      <c r="Q99" s="1152"/>
      <c r="R99" s="1152"/>
      <c r="S99" s="1152"/>
      <c r="T99" s="1152"/>
      <c r="U99" s="1152"/>
      <c r="V99" s="1152"/>
      <c r="W99" s="1153"/>
    </row>
    <row r="100" spans="1:23" customFormat="1" ht="16.5" customHeight="1">
      <c r="A100" s="134" t="s">
        <v>155</v>
      </c>
      <c r="B100" s="135">
        <v>13</v>
      </c>
      <c r="C100" s="136">
        <v>46109</v>
      </c>
      <c r="D100" s="137" t="s">
        <v>216</v>
      </c>
      <c r="E100" s="487" t="s">
        <v>221</v>
      </c>
      <c r="F100" s="487" t="s">
        <v>223</v>
      </c>
      <c r="G100" s="487" t="s">
        <v>36</v>
      </c>
      <c r="H100" s="139">
        <v>5366543</v>
      </c>
      <c r="I100" s="487" t="s">
        <v>479</v>
      </c>
      <c r="J100" s="487">
        <v>3</v>
      </c>
      <c r="K100" s="1143"/>
      <c r="L100" s="1143"/>
      <c r="M100" s="1143"/>
      <c r="N100" s="1143"/>
      <c r="O100" s="1143"/>
      <c r="P100" s="1143"/>
      <c r="Q100" s="1143"/>
      <c r="R100" s="1143"/>
      <c r="S100" s="1143"/>
      <c r="T100" s="1143"/>
      <c r="U100" s="1143"/>
      <c r="V100" s="1143"/>
      <c r="W100" s="1145"/>
    </row>
    <row r="101" spans="1:23" customFormat="1" ht="16.5" customHeight="1" thickBot="1">
      <c r="A101" s="496" t="s">
        <v>155</v>
      </c>
      <c r="B101" s="497">
        <v>13</v>
      </c>
      <c r="C101" s="498">
        <v>46109</v>
      </c>
      <c r="D101" s="499" t="s">
        <v>216</v>
      </c>
      <c r="E101" s="500" t="s">
        <v>221</v>
      </c>
      <c r="F101" s="500" t="s">
        <v>223</v>
      </c>
      <c r="G101" s="500" t="s">
        <v>28</v>
      </c>
      <c r="H101" s="501">
        <v>5366542</v>
      </c>
      <c r="I101" s="500" t="s">
        <v>480</v>
      </c>
      <c r="J101" s="500">
        <v>2</v>
      </c>
      <c r="K101" s="1385"/>
      <c r="L101" s="1385"/>
      <c r="M101" s="1385"/>
      <c r="N101" s="1385"/>
      <c r="O101" s="1385"/>
      <c r="P101" s="1385"/>
      <c r="Q101" s="1385"/>
      <c r="R101" s="1385"/>
      <c r="S101" s="1385"/>
      <c r="T101" s="1385"/>
      <c r="U101" s="1385"/>
      <c r="V101" s="1385"/>
      <c r="W101" s="1386"/>
    </row>
    <row r="102" spans="1:23" customFormat="1" ht="16.5" customHeight="1">
      <c r="A102" s="63" t="s">
        <v>155</v>
      </c>
      <c r="B102" s="149">
        <v>14</v>
      </c>
      <c r="C102" s="150">
        <v>46111</v>
      </c>
      <c r="D102" s="151" t="s">
        <v>136</v>
      </c>
      <c r="E102" s="494" t="s">
        <v>178</v>
      </c>
      <c r="F102" s="494" t="s">
        <v>508</v>
      </c>
      <c r="G102" s="494" t="s">
        <v>32</v>
      </c>
      <c r="H102" s="153">
        <v>5513545</v>
      </c>
      <c r="I102" s="494" t="s">
        <v>509</v>
      </c>
      <c r="J102" s="494">
        <v>11</v>
      </c>
      <c r="K102" s="1152">
        <v>3</v>
      </c>
      <c r="L102" s="1152"/>
      <c r="M102" s="1152">
        <v>0</v>
      </c>
      <c r="N102" s="1152" t="s">
        <v>149</v>
      </c>
      <c r="O102" s="1152"/>
      <c r="P102" s="1152"/>
      <c r="Q102" s="1152"/>
      <c r="R102" s="1152"/>
      <c r="S102" s="1152"/>
      <c r="T102" s="1152"/>
      <c r="U102" s="1152"/>
      <c r="V102" s="1152"/>
      <c r="W102" s="1153"/>
    </row>
    <row r="103" spans="1:23" customFormat="1" ht="16.5" customHeight="1">
      <c r="A103" s="134" t="s">
        <v>155</v>
      </c>
      <c r="B103" s="135">
        <v>14</v>
      </c>
      <c r="C103" s="136">
        <v>46111</v>
      </c>
      <c r="D103" s="137" t="s">
        <v>136</v>
      </c>
      <c r="E103" s="493" t="s">
        <v>178</v>
      </c>
      <c r="F103" s="493" t="s">
        <v>508</v>
      </c>
      <c r="G103" s="493" t="s">
        <v>28</v>
      </c>
      <c r="H103" s="139">
        <v>5513546</v>
      </c>
      <c r="I103" s="493" t="s">
        <v>510</v>
      </c>
      <c r="J103" s="493">
        <v>14</v>
      </c>
      <c r="K103" s="1143"/>
      <c r="L103" s="1143"/>
      <c r="M103" s="1143"/>
      <c r="N103" s="1143"/>
      <c r="O103" s="1143"/>
      <c r="P103" s="1143"/>
      <c r="Q103" s="1143"/>
      <c r="R103" s="1143"/>
      <c r="S103" s="1143"/>
      <c r="T103" s="1143"/>
      <c r="U103" s="1143"/>
      <c r="V103" s="1143"/>
      <c r="W103" s="1145"/>
    </row>
    <row r="104" spans="1:23" customFormat="1" ht="16.5" customHeight="1" thickBot="1">
      <c r="A104" s="116" t="s">
        <v>155</v>
      </c>
      <c r="B104" s="141">
        <v>14</v>
      </c>
      <c r="C104" s="142">
        <v>46111</v>
      </c>
      <c r="D104" s="143" t="s">
        <v>136</v>
      </c>
      <c r="E104" s="492" t="s">
        <v>178</v>
      </c>
      <c r="F104" s="492" t="s">
        <v>508</v>
      </c>
      <c r="G104" s="492" t="s">
        <v>36</v>
      </c>
      <c r="H104" s="145">
        <v>5513547</v>
      </c>
      <c r="I104" s="492" t="s">
        <v>511</v>
      </c>
      <c r="J104" s="492">
        <v>8</v>
      </c>
      <c r="K104" s="1156"/>
      <c r="L104" s="1156"/>
      <c r="M104" s="1156"/>
      <c r="N104" s="1156"/>
      <c r="O104" s="1156"/>
      <c r="P104" s="1156"/>
      <c r="Q104" s="1156"/>
      <c r="R104" s="1156"/>
      <c r="S104" s="1156"/>
      <c r="T104" s="1156"/>
      <c r="U104" s="1156"/>
      <c r="V104" s="1156"/>
      <c r="W104" s="1158"/>
    </row>
    <row r="105" spans="1:23" customFormat="1" ht="16.5" customHeight="1">
      <c r="A105" s="63" t="s">
        <v>155</v>
      </c>
      <c r="B105" s="149">
        <v>14</v>
      </c>
      <c r="C105" s="150">
        <v>46111</v>
      </c>
      <c r="D105" s="151" t="s">
        <v>216</v>
      </c>
      <c r="E105" s="491" t="s">
        <v>221</v>
      </c>
      <c r="F105" s="491" t="s">
        <v>223</v>
      </c>
      <c r="G105" s="491" t="s">
        <v>28</v>
      </c>
      <c r="H105" s="153">
        <v>5366542</v>
      </c>
      <c r="I105" s="491" t="s">
        <v>480</v>
      </c>
      <c r="J105" s="491">
        <v>5</v>
      </c>
      <c r="K105" s="1152">
        <v>1</v>
      </c>
      <c r="L105" s="1152"/>
      <c r="M105" s="1152">
        <v>0</v>
      </c>
      <c r="N105" s="1152" t="s">
        <v>149</v>
      </c>
      <c r="O105" s="1152"/>
      <c r="P105" s="1152"/>
      <c r="Q105" s="1152"/>
      <c r="R105" s="1152"/>
      <c r="S105" s="1152"/>
      <c r="T105" s="1152"/>
      <c r="U105" s="1152"/>
      <c r="V105" s="1152"/>
      <c r="W105" s="1153"/>
    </row>
    <row r="106" spans="1:23" customFormat="1" ht="16.5" customHeight="1">
      <c r="A106" s="134" t="s">
        <v>155</v>
      </c>
      <c r="B106" s="135">
        <v>14</v>
      </c>
      <c r="C106" s="136">
        <v>46111</v>
      </c>
      <c r="D106" s="137" t="s">
        <v>216</v>
      </c>
      <c r="E106" s="487" t="s">
        <v>221</v>
      </c>
      <c r="F106" s="487" t="s">
        <v>223</v>
      </c>
      <c r="G106" s="487" t="s">
        <v>32</v>
      </c>
      <c r="H106" s="139">
        <v>5366541</v>
      </c>
      <c r="I106" s="487" t="s">
        <v>481</v>
      </c>
      <c r="J106" s="487">
        <v>5</v>
      </c>
      <c r="K106" s="1143"/>
      <c r="L106" s="1143"/>
      <c r="M106" s="1143"/>
      <c r="N106" s="1143"/>
      <c r="O106" s="1143"/>
      <c r="P106" s="1143"/>
      <c r="Q106" s="1143"/>
      <c r="R106" s="1143"/>
      <c r="S106" s="1143"/>
      <c r="T106" s="1143"/>
      <c r="U106" s="1143"/>
      <c r="V106" s="1143"/>
      <c r="W106" s="1145"/>
    </row>
    <row r="107" spans="1:23" customFormat="1" ht="16.5" customHeight="1" thickBot="1">
      <c r="A107" s="116" t="s">
        <v>155</v>
      </c>
      <c r="B107" s="141">
        <v>14</v>
      </c>
      <c r="C107" s="142">
        <v>46111</v>
      </c>
      <c r="D107" s="143" t="s">
        <v>216</v>
      </c>
      <c r="E107" s="490" t="s">
        <v>221</v>
      </c>
      <c r="F107" s="490" t="s">
        <v>223</v>
      </c>
      <c r="G107" s="490" t="s">
        <v>63</v>
      </c>
      <c r="H107" s="145">
        <v>5366539</v>
      </c>
      <c r="I107" s="490" t="s">
        <v>482</v>
      </c>
      <c r="J107" s="490">
        <v>1</v>
      </c>
      <c r="K107" s="1156"/>
      <c r="L107" s="1156"/>
      <c r="M107" s="1156"/>
      <c r="N107" s="1156"/>
      <c r="O107" s="1156"/>
      <c r="P107" s="1156"/>
      <c r="Q107" s="1156"/>
      <c r="R107" s="1156"/>
      <c r="S107" s="1156"/>
      <c r="T107" s="1156"/>
      <c r="U107" s="1156"/>
      <c r="V107" s="1156"/>
      <c r="W107" s="1158"/>
    </row>
    <row r="108" spans="1:23" customFormat="1" ht="16.5" customHeight="1">
      <c r="A108" s="63" t="s">
        <v>156</v>
      </c>
      <c r="B108" s="64">
        <v>14</v>
      </c>
      <c r="C108" s="65">
        <v>46116</v>
      </c>
      <c r="D108" s="66" t="s">
        <v>136</v>
      </c>
      <c r="E108" s="528" t="s">
        <v>173</v>
      </c>
      <c r="F108" s="528" t="s">
        <v>179</v>
      </c>
      <c r="G108" s="528" t="s">
        <v>83</v>
      </c>
      <c r="H108" s="163">
        <v>5318925</v>
      </c>
      <c r="I108" s="528">
        <v>4524169518</v>
      </c>
      <c r="J108" s="528">
        <v>6</v>
      </c>
      <c r="K108" s="1142">
        <v>1</v>
      </c>
      <c r="L108" s="1142"/>
      <c r="M108" s="1142">
        <v>0</v>
      </c>
      <c r="N108" s="1142" t="s">
        <v>149</v>
      </c>
      <c r="O108" s="1142"/>
      <c r="P108" s="1142"/>
      <c r="Q108" s="1142"/>
      <c r="R108" s="1142"/>
      <c r="S108" s="1142"/>
      <c r="T108" s="1142"/>
      <c r="U108" s="1142"/>
      <c r="V108" s="1142"/>
      <c r="W108" s="1153"/>
    </row>
    <row r="109" spans="1:23" customFormat="1" ht="16.5" customHeight="1">
      <c r="A109" s="134" t="s">
        <v>156</v>
      </c>
      <c r="B109" s="135">
        <v>14</v>
      </c>
      <c r="C109" s="136">
        <v>46116</v>
      </c>
      <c r="D109" s="137" t="s">
        <v>136</v>
      </c>
      <c r="E109" s="527" t="s">
        <v>173</v>
      </c>
      <c r="F109" s="527" t="s">
        <v>179</v>
      </c>
      <c r="G109" s="527" t="s">
        <v>63</v>
      </c>
      <c r="H109" s="139">
        <v>5318926</v>
      </c>
      <c r="I109" s="527">
        <v>4524169518</v>
      </c>
      <c r="J109" s="527">
        <v>3</v>
      </c>
      <c r="K109" s="1143"/>
      <c r="L109" s="1143"/>
      <c r="M109" s="1143"/>
      <c r="N109" s="1143"/>
      <c r="O109" s="1143"/>
      <c r="P109" s="1143"/>
      <c r="Q109" s="1143"/>
      <c r="R109" s="1143"/>
      <c r="S109" s="1143"/>
      <c r="T109" s="1143"/>
      <c r="U109" s="1143"/>
      <c r="V109" s="1143"/>
      <c r="W109" s="1145"/>
    </row>
    <row r="110" spans="1:23" customFormat="1" ht="16.5" customHeight="1">
      <c r="A110" s="134" t="s">
        <v>156</v>
      </c>
      <c r="B110" s="135">
        <v>14</v>
      </c>
      <c r="C110" s="136">
        <v>46116</v>
      </c>
      <c r="D110" s="137" t="s">
        <v>136</v>
      </c>
      <c r="E110" s="527" t="s">
        <v>173</v>
      </c>
      <c r="F110" s="527" t="s">
        <v>180</v>
      </c>
      <c r="G110" s="527" t="s">
        <v>36</v>
      </c>
      <c r="H110" s="139">
        <v>4965985</v>
      </c>
      <c r="I110" s="527" t="s">
        <v>527</v>
      </c>
      <c r="J110" s="527">
        <v>5</v>
      </c>
      <c r="K110" s="1143"/>
      <c r="L110" s="1143"/>
      <c r="M110" s="1143"/>
      <c r="N110" s="1143"/>
      <c r="O110" s="1143"/>
      <c r="P110" s="1143"/>
      <c r="Q110" s="1143"/>
      <c r="R110" s="1143"/>
      <c r="S110" s="1143"/>
      <c r="T110" s="1143"/>
      <c r="U110" s="1143"/>
      <c r="V110" s="1143"/>
      <c r="W110" s="1145"/>
    </row>
    <row r="111" spans="1:23" customFormat="1" ht="16.5" customHeight="1">
      <c r="A111" s="534" t="s">
        <v>156</v>
      </c>
      <c r="B111" s="535">
        <v>14</v>
      </c>
      <c r="C111" s="536">
        <v>46116</v>
      </c>
      <c r="D111" s="537" t="s">
        <v>136</v>
      </c>
      <c r="E111" s="533" t="s">
        <v>173</v>
      </c>
      <c r="F111" s="533" t="s">
        <v>180</v>
      </c>
      <c r="G111" s="533" t="s">
        <v>52</v>
      </c>
      <c r="H111" s="538">
        <v>4965986</v>
      </c>
      <c r="I111" s="533" t="s">
        <v>528</v>
      </c>
      <c r="J111" s="533">
        <v>3</v>
      </c>
      <c r="K111" s="1226"/>
      <c r="L111" s="1226"/>
      <c r="M111" s="1226"/>
      <c r="N111" s="1226"/>
      <c r="O111" s="1226"/>
      <c r="P111" s="1226"/>
      <c r="Q111" s="1226"/>
      <c r="R111" s="1226"/>
      <c r="S111" s="1226"/>
      <c r="T111" s="1226"/>
      <c r="U111" s="1226"/>
      <c r="V111" s="1226"/>
      <c r="W111" s="1227"/>
    </row>
    <row r="112" spans="1:23" customFormat="1" ht="16.5" customHeight="1" thickBot="1">
      <c r="A112" s="534" t="s">
        <v>156</v>
      </c>
      <c r="B112" s="535">
        <v>14</v>
      </c>
      <c r="C112" s="536">
        <v>46116</v>
      </c>
      <c r="D112" s="537" t="s">
        <v>136</v>
      </c>
      <c r="E112" s="533" t="s">
        <v>173</v>
      </c>
      <c r="F112" s="533" t="s">
        <v>180</v>
      </c>
      <c r="G112" s="533" t="s">
        <v>52</v>
      </c>
      <c r="H112" s="145">
        <v>4965986</v>
      </c>
      <c r="I112" s="530" t="s">
        <v>529</v>
      </c>
      <c r="J112" s="530">
        <v>1</v>
      </c>
      <c r="K112" s="1292"/>
      <c r="L112" s="1292"/>
      <c r="M112" s="1292"/>
      <c r="N112" s="1292"/>
      <c r="O112" s="1292"/>
      <c r="P112" s="1292"/>
      <c r="Q112" s="1292"/>
      <c r="R112" s="1292"/>
      <c r="S112" s="1292"/>
      <c r="T112" s="1292"/>
      <c r="U112" s="1292"/>
      <c r="V112" s="1292"/>
      <c r="W112" s="1293"/>
    </row>
    <row r="113" spans="1:23" customFormat="1" ht="16.5" customHeight="1">
      <c r="A113" s="63" t="s">
        <v>156</v>
      </c>
      <c r="B113" s="149">
        <v>15</v>
      </c>
      <c r="C113" s="150">
        <v>46119</v>
      </c>
      <c r="D113" s="151" t="s">
        <v>136</v>
      </c>
      <c r="E113" s="531" t="s">
        <v>173</v>
      </c>
      <c r="F113" s="531" t="s">
        <v>180</v>
      </c>
      <c r="G113" s="531" t="s">
        <v>28</v>
      </c>
      <c r="H113" s="153">
        <v>4965984</v>
      </c>
      <c r="I113" s="531" t="s">
        <v>526</v>
      </c>
      <c r="J113" s="531">
        <v>18</v>
      </c>
      <c r="K113" s="1152">
        <v>1</v>
      </c>
      <c r="L113" s="1152"/>
      <c r="M113" s="1152">
        <v>0</v>
      </c>
      <c r="N113" s="1152" t="s">
        <v>149</v>
      </c>
      <c r="O113" s="1152"/>
      <c r="P113" s="1152"/>
      <c r="Q113" s="1152"/>
      <c r="R113" s="1152"/>
      <c r="S113" s="1152"/>
      <c r="T113" s="1152"/>
      <c r="U113" s="1152"/>
      <c r="V113" s="1152"/>
      <c r="W113" s="1153"/>
    </row>
    <row r="114" spans="1:23" customFormat="1" ht="16.5" customHeight="1" thickBot="1">
      <c r="A114" s="116" t="s">
        <v>156</v>
      </c>
      <c r="B114" s="141">
        <v>15</v>
      </c>
      <c r="C114" s="142">
        <v>46119</v>
      </c>
      <c r="D114" s="143" t="s">
        <v>136</v>
      </c>
      <c r="E114" s="530" t="s">
        <v>173</v>
      </c>
      <c r="F114" s="530" t="s">
        <v>180</v>
      </c>
      <c r="G114" s="530" t="s">
        <v>36</v>
      </c>
      <c r="H114" s="145">
        <v>4965985</v>
      </c>
      <c r="I114" s="530" t="s">
        <v>527</v>
      </c>
      <c r="J114" s="530">
        <v>2</v>
      </c>
      <c r="K114" s="1156"/>
      <c r="L114" s="1156"/>
      <c r="M114" s="1156"/>
      <c r="N114" s="1156"/>
      <c r="O114" s="1156"/>
      <c r="P114" s="1156"/>
      <c r="Q114" s="1156"/>
      <c r="R114" s="1156"/>
      <c r="S114" s="1156"/>
      <c r="T114" s="1156"/>
      <c r="U114" s="1156"/>
      <c r="V114" s="1156"/>
      <c r="W114" s="1158"/>
    </row>
    <row r="115" spans="1:23" customFormat="1" ht="16.5" customHeight="1">
      <c r="A115" s="63" t="s">
        <v>156</v>
      </c>
      <c r="B115" s="64">
        <v>15</v>
      </c>
      <c r="C115" s="65">
        <v>46120</v>
      </c>
      <c r="D115" s="66" t="s">
        <v>136</v>
      </c>
      <c r="E115" s="541" t="s">
        <v>178</v>
      </c>
      <c r="F115" s="541" t="s">
        <v>508</v>
      </c>
      <c r="G115" s="541" t="s">
        <v>36</v>
      </c>
      <c r="H115" s="545">
        <v>5513547</v>
      </c>
      <c r="I115" s="546" t="s">
        <v>542</v>
      </c>
      <c r="J115" s="546">
        <v>8</v>
      </c>
      <c r="K115" s="1341">
        <v>1</v>
      </c>
      <c r="L115" s="1341"/>
      <c r="M115" s="1341">
        <v>0</v>
      </c>
      <c r="N115" s="1341" t="s">
        <v>149</v>
      </c>
      <c r="O115" s="1341"/>
      <c r="P115" s="1341"/>
      <c r="Q115" s="1341"/>
      <c r="R115" s="1341"/>
      <c r="S115" s="1341"/>
      <c r="T115" s="1341"/>
      <c r="U115" s="1341"/>
      <c r="V115" s="1341"/>
      <c r="W115" s="1343"/>
    </row>
    <row r="116" spans="1:23" customFormat="1" ht="16.5" customHeight="1">
      <c r="A116" s="134" t="s">
        <v>156</v>
      </c>
      <c r="B116" s="135">
        <v>15</v>
      </c>
      <c r="C116" s="136">
        <v>46120</v>
      </c>
      <c r="D116" s="137" t="s">
        <v>136</v>
      </c>
      <c r="E116" s="539" t="s">
        <v>178</v>
      </c>
      <c r="F116" s="539" t="s">
        <v>508</v>
      </c>
      <c r="G116" s="539" t="s">
        <v>28</v>
      </c>
      <c r="H116" s="547">
        <v>5513546</v>
      </c>
      <c r="I116" s="548" t="s">
        <v>543</v>
      </c>
      <c r="J116" s="548">
        <v>16</v>
      </c>
      <c r="K116" s="1150"/>
      <c r="L116" s="1150"/>
      <c r="M116" s="1150"/>
      <c r="N116" s="1150"/>
      <c r="O116" s="1150"/>
      <c r="P116" s="1150"/>
      <c r="Q116" s="1150"/>
      <c r="R116" s="1150"/>
      <c r="S116" s="1150"/>
      <c r="T116" s="1150"/>
      <c r="U116" s="1150"/>
      <c r="V116" s="1150"/>
      <c r="W116" s="1151"/>
    </row>
    <row r="117" spans="1:23" customFormat="1" ht="16.5" customHeight="1" thickBot="1">
      <c r="A117" s="559" t="s">
        <v>156</v>
      </c>
      <c r="B117" s="560">
        <v>15</v>
      </c>
      <c r="C117" s="561">
        <v>46120</v>
      </c>
      <c r="D117" s="562" t="s">
        <v>136</v>
      </c>
      <c r="E117" s="563" t="s">
        <v>178</v>
      </c>
      <c r="F117" s="563" t="s">
        <v>508</v>
      </c>
      <c r="G117" s="563" t="s">
        <v>32</v>
      </c>
      <c r="H117" s="564">
        <v>5513545</v>
      </c>
      <c r="I117" s="563" t="s">
        <v>544</v>
      </c>
      <c r="J117" s="563">
        <v>13</v>
      </c>
      <c r="K117" s="1150"/>
      <c r="L117" s="1150"/>
      <c r="M117" s="1150"/>
      <c r="N117" s="1150"/>
      <c r="O117" s="1150"/>
      <c r="P117" s="1150"/>
      <c r="Q117" s="1150"/>
      <c r="R117" s="1150"/>
      <c r="S117" s="1150"/>
      <c r="T117" s="1150"/>
      <c r="U117" s="1150"/>
      <c r="V117" s="1150"/>
      <c r="W117" s="1151"/>
    </row>
    <row r="118" spans="1:23" customFormat="1" ht="16.5" customHeight="1">
      <c r="A118" s="63" t="s">
        <v>156</v>
      </c>
      <c r="B118" s="149">
        <v>15</v>
      </c>
      <c r="C118" s="150">
        <v>46122</v>
      </c>
      <c r="D118" s="151" t="s">
        <v>253</v>
      </c>
      <c r="E118" s="558" t="s">
        <v>259</v>
      </c>
      <c r="F118" s="558" t="s">
        <v>261</v>
      </c>
      <c r="G118" s="558">
        <v>700</v>
      </c>
      <c r="H118" s="153">
        <v>5747049</v>
      </c>
      <c r="I118" s="558" t="s">
        <v>563</v>
      </c>
      <c r="J118" s="558">
        <v>14</v>
      </c>
      <c r="K118" s="558">
        <v>5</v>
      </c>
      <c r="L118" s="558"/>
      <c r="M118" s="558">
        <v>0</v>
      </c>
      <c r="N118" s="558" t="s">
        <v>149</v>
      </c>
      <c r="O118" s="558"/>
      <c r="P118" s="558"/>
      <c r="Q118" s="558"/>
      <c r="R118" s="558"/>
      <c r="S118" s="558"/>
      <c r="T118" s="558"/>
      <c r="U118" s="558"/>
      <c r="V118" s="558"/>
      <c r="W118" s="555"/>
    </row>
    <row r="119" spans="1:23" customFormat="1" ht="16.5" customHeight="1" thickBot="1">
      <c r="A119" s="116" t="s">
        <v>156</v>
      </c>
      <c r="B119" s="141">
        <v>15</v>
      </c>
      <c r="C119" s="142">
        <v>46122</v>
      </c>
      <c r="D119" s="143" t="s">
        <v>253</v>
      </c>
      <c r="E119" s="556" t="s">
        <v>259</v>
      </c>
      <c r="F119" s="556" t="s">
        <v>260</v>
      </c>
      <c r="G119" s="556">
        <v>700</v>
      </c>
      <c r="H119" s="145">
        <v>5747048</v>
      </c>
      <c r="I119" s="556" t="s">
        <v>564</v>
      </c>
      <c r="J119" s="556">
        <v>14</v>
      </c>
      <c r="K119" s="556">
        <v>5</v>
      </c>
      <c r="L119" s="556"/>
      <c r="M119" s="556">
        <v>0</v>
      </c>
      <c r="N119" s="556" t="s">
        <v>149</v>
      </c>
      <c r="O119" s="556"/>
      <c r="P119" s="556"/>
      <c r="Q119" s="556"/>
      <c r="R119" s="556"/>
      <c r="S119" s="556"/>
      <c r="T119" s="556"/>
      <c r="U119" s="556"/>
      <c r="V119" s="556"/>
      <c r="W119" s="557"/>
    </row>
    <row r="120" spans="1:23" customFormat="1" ht="16.5" customHeight="1" thickBot="1">
      <c r="A120" s="158" t="s">
        <v>156</v>
      </c>
      <c r="B120" s="584">
        <v>15</v>
      </c>
      <c r="C120" s="585">
        <v>46123</v>
      </c>
      <c r="D120" s="586" t="s">
        <v>216</v>
      </c>
      <c r="E120" s="571" t="s">
        <v>217</v>
      </c>
      <c r="F120" s="571" t="s">
        <v>222</v>
      </c>
      <c r="G120" s="571" t="s">
        <v>32</v>
      </c>
      <c r="H120" s="565">
        <v>5366523</v>
      </c>
      <c r="I120" s="571" t="s">
        <v>545</v>
      </c>
      <c r="J120" s="571">
        <v>3</v>
      </c>
      <c r="K120" s="568"/>
      <c r="L120" s="568"/>
      <c r="M120" s="568">
        <v>0</v>
      </c>
      <c r="N120" s="568" t="s">
        <v>149</v>
      </c>
      <c r="O120" s="568"/>
      <c r="P120" s="568"/>
      <c r="Q120" s="568"/>
      <c r="R120" s="568"/>
      <c r="S120" s="568"/>
      <c r="T120" s="568"/>
      <c r="U120" s="568"/>
      <c r="V120" s="568"/>
      <c r="W120" s="569"/>
    </row>
    <row r="121" spans="1:23" customFormat="1" ht="16.5" customHeight="1">
      <c r="A121" s="63" t="s">
        <v>156</v>
      </c>
      <c r="B121" s="64">
        <v>16</v>
      </c>
      <c r="C121" s="65">
        <v>46125</v>
      </c>
      <c r="D121" s="66" t="s">
        <v>216</v>
      </c>
      <c r="E121" s="566" t="s">
        <v>217</v>
      </c>
      <c r="F121" s="566" t="s">
        <v>222</v>
      </c>
      <c r="G121" s="566" t="s">
        <v>32</v>
      </c>
      <c r="H121" s="163">
        <v>5366523</v>
      </c>
      <c r="I121" s="566" t="s">
        <v>545</v>
      </c>
      <c r="J121" s="566">
        <v>3</v>
      </c>
      <c r="K121" s="1142">
        <v>1</v>
      </c>
      <c r="L121" s="1142"/>
      <c r="M121" s="1142">
        <v>0</v>
      </c>
      <c r="N121" s="1142" t="s">
        <v>149</v>
      </c>
      <c r="O121" s="1142"/>
      <c r="P121" s="1142"/>
      <c r="Q121" s="1142"/>
      <c r="R121" s="1142"/>
      <c r="S121" s="1142"/>
      <c r="T121" s="1142"/>
      <c r="U121" s="1142"/>
      <c r="V121" s="1142"/>
      <c r="W121" s="1153"/>
    </row>
    <row r="122" spans="1:23" customFormat="1" ht="16.5" customHeight="1">
      <c r="A122" s="134" t="s">
        <v>156</v>
      </c>
      <c r="B122" s="135">
        <v>16</v>
      </c>
      <c r="C122" s="136">
        <v>46125</v>
      </c>
      <c r="D122" s="137" t="s">
        <v>216</v>
      </c>
      <c r="E122" s="570" t="s">
        <v>217</v>
      </c>
      <c r="F122" s="570" t="s">
        <v>222</v>
      </c>
      <c r="G122" s="570" t="s">
        <v>52</v>
      </c>
      <c r="H122" s="139">
        <v>5366527</v>
      </c>
      <c r="I122" s="570" t="s">
        <v>546</v>
      </c>
      <c r="J122" s="570">
        <v>1</v>
      </c>
      <c r="K122" s="1143"/>
      <c r="L122" s="1143"/>
      <c r="M122" s="1143"/>
      <c r="N122" s="1143"/>
      <c r="O122" s="1143"/>
      <c r="P122" s="1143"/>
      <c r="Q122" s="1143"/>
      <c r="R122" s="1143"/>
      <c r="S122" s="1143"/>
      <c r="T122" s="1143"/>
      <c r="U122" s="1143"/>
      <c r="V122" s="1143"/>
      <c r="W122" s="1145"/>
    </row>
    <row r="123" spans="1:23" customFormat="1" ht="16.5" customHeight="1">
      <c r="A123" s="134" t="s">
        <v>156</v>
      </c>
      <c r="B123" s="135">
        <v>16</v>
      </c>
      <c r="C123" s="136">
        <v>46125</v>
      </c>
      <c r="D123" s="137" t="s">
        <v>136</v>
      </c>
      <c r="E123" s="570" t="s">
        <v>242</v>
      </c>
      <c r="F123" s="570" t="s">
        <v>240</v>
      </c>
      <c r="G123" s="570" t="s">
        <v>52</v>
      </c>
      <c r="H123" s="139">
        <v>5366930</v>
      </c>
      <c r="I123" s="570" t="s">
        <v>547</v>
      </c>
      <c r="J123" s="570">
        <v>1</v>
      </c>
      <c r="K123" s="1143">
        <v>1</v>
      </c>
      <c r="L123" s="1143"/>
      <c r="M123" s="1143">
        <v>0</v>
      </c>
      <c r="N123" s="1143" t="s">
        <v>149</v>
      </c>
      <c r="O123" s="1143"/>
      <c r="P123" s="1143"/>
      <c r="Q123" s="1143"/>
      <c r="R123" s="1143"/>
      <c r="S123" s="1143"/>
      <c r="T123" s="1143"/>
      <c r="U123" s="1143"/>
      <c r="V123" s="1143"/>
      <c r="W123" s="1145"/>
    </row>
    <row r="124" spans="1:23" customFormat="1" ht="16.5" customHeight="1">
      <c r="A124" s="134" t="s">
        <v>156</v>
      </c>
      <c r="B124" s="135">
        <v>16</v>
      </c>
      <c r="C124" s="136">
        <v>46125</v>
      </c>
      <c r="D124" s="137" t="s">
        <v>136</v>
      </c>
      <c r="E124" s="570" t="s">
        <v>242</v>
      </c>
      <c r="F124" s="570" t="s">
        <v>240</v>
      </c>
      <c r="G124" s="570" t="s">
        <v>52</v>
      </c>
      <c r="H124" s="139">
        <v>5366930</v>
      </c>
      <c r="I124" s="570" t="s">
        <v>548</v>
      </c>
      <c r="J124" s="570">
        <v>1</v>
      </c>
      <c r="K124" s="1143"/>
      <c r="L124" s="1143"/>
      <c r="M124" s="1143"/>
      <c r="N124" s="1143"/>
      <c r="O124" s="1143"/>
      <c r="P124" s="1143"/>
      <c r="Q124" s="1143"/>
      <c r="R124" s="1143"/>
      <c r="S124" s="1143"/>
      <c r="T124" s="1143"/>
      <c r="U124" s="1143"/>
      <c r="V124" s="1143"/>
      <c r="W124" s="1145"/>
    </row>
    <row r="125" spans="1:23" customFormat="1" ht="16.5" customHeight="1">
      <c r="A125" s="134" t="s">
        <v>156</v>
      </c>
      <c r="B125" s="135">
        <v>16</v>
      </c>
      <c r="C125" s="136">
        <v>46125</v>
      </c>
      <c r="D125" s="137" t="s">
        <v>136</v>
      </c>
      <c r="E125" s="570" t="s">
        <v>242</v>
      </c>
      <c r="F125" s="570" t="s">
        <v>240</v>
      </c>
      <c r="G125" s="570" t="s">
        <v>36</v>
      </c>
      <c r="H125" s="139">
        <v>5366929</v>
      </c>
      <c r="I125" s="570" t="s">
        <v>549</v>
      </c>
      <c r="J125" s="570">
        <v>3</v>
      </c>
      <c r="K125" s="1143"/>
      <c r="L125" s="1143"/>
      <c r="M125" s="1143"/>
      <c r="N125" s="1143"/>
      <c r="O125" s="1143"/>
      <c r="P125" s="1143"/>
      <c r="Q125" s="1143"/>
      <c r="R125" s="1143"/>
      <c r="S125" s="1143"/>
      <c r="T125" s="1143"/>
      <c r="U125" s="1143"/>
      <c r="V125" s="1143"/>
      <c r="W125" s="1145"/>
    </row>
    <row r="126" spans="1:23" customFormat="1" ht="16.5" customHeight="1">
      <c r="A126" s="134" t="s">
        <v>156</v>
      </c>
      <c r="B126" s="135">
        <v>16</v>
      </c>
      <c r="C126" s="136">
        <v>46125</v>
      </c>
      <c r="D126" s="137" t="s">
        <v>136</v>
      </c>
      <c r="E126" s="570" t="s">
        <v>242</v>
      </c>
      <c r="F126" s="570" t="s">
        <v>240</v>
      </c>
      <c r="G126" s="570" t="s">
        <v>36</v>
      </c>
      <c r="H126" s="139">
        <v>5366929</v>
      </c>
      <c r="I126" s="570" t="s">
        <v>550</v>
      </c>
      <c r="J126" s="570">
        <v>2</v>
      </c>
      <c r="K126" s="1143"/>
      <c r="L126" s="1143"/>
      <c r="M126" s="1143"/>
      <c r="N126" s="1143"/>
      <c r="O126" s="1143"/>
      <c r="P126" s="1143"/>
      <c r="Q126" s="1143"/>
      <c r="R126" s="1143"/>
      <c r="S126" s="1143"/>
      <c r="T126" s="1143"/>
      <c r="U126" s="1143"/>
      <c r="V126" s="1143"/>
      <c r="W126" s="1145"/>
    </row>
    <row r="127" spans="1:23" customFormat="1" ht="16.5" customHeight="1">
      <c r="A127" s="134" t="s">
        <v>156</v>
      </c>
      <c r="B127" s="135">
        <v>16</v>
      </c>
      <c r="C127" s="136">
        <v>46125</v>
      </c>
      <c r="D127" s="137" t="s">
        <v>136</v>
      </c>
      <c r="E127" s="570" t="s">
        <v>242</v>
      </c>
      <c r="F127" s="570" t="s">
        <v>240</v>
      </c>
      <c r="G127" s="570" t="s">
        <v>28</v>
      </c>
      <c r="H127" s="139">
        <v>5366928</v>
      </c>
      <c r="I127" s="570" t="s">
        <v>551</v>
      </c>
      <c r="J127" s="570">
        <v>5</v>
      </c>
      <c r="K127" s="1143"/>
      <c r="L127" s="1143"/>
      <c r="M127" s="1143"/>
      <c r="N127" s="1143"/>
      <c r="O127" s="1143"/>
      <c r="P127" s="1143"/>
      <c r="Q127" s="1143"/>
      <c r="R127" s="1143"/>
      <c r="S127" s="1143"/>
      <c r="T127" s="1143"/>
      <c r="U127" s="1143"/>
      <c r="V127" s="1143"/>
      <c r="W127" s="1145"/>
    </row>
    <row r="128" spans="1:23" customFormat="1" ht="16.5" customHeight="1">
      <c r="A128" s="134" t="s">
        <v>156</v>
      </c>
      <c r="B128" s="135">
        <v>16</v>
      </c>
      <c r="C128" s="136">
        <v>46125</v>
      </c>
      <c r="D128" s="137" t="s">
        <v>136</v>
      </c>
      <c r="E128" s="570" t="s">
        <v>242</v>
      </c>
      <c r="F128" s="570" t="s">
        <v>240</v>
      </c>
      <c r="G128" s="570" t="s">
        <v>63</v>
      </c>
      <c r="H128" s="139">
        <v>5366926</v>
      </c>
      <c r="I128" s="570" t="s">
        <v>552</v>
      </c>
      <c r="J128" s="570">
        <v>1</v>
      </c>
      <c r="K128" s="1143"/>
      <c r="L128" s="1143"/>
      <c r="M128" s="1143"/>
      <c r="N128" s="1143"/>
      <c r="O128" s="1143"/>
      <c r="P128" s="1143"/>
      <c r="Q128" s="1143"/>
      <c r="R128" s="1143"/>
      <c r="S128" s="1143"/>
      <c r="T128" s="1143"/>
      <c r="U128" s="1143"/>
      <c r="V128" s="1143"/>
      <c r="W128" s="1145"/>
    </row>
    <row r="129" spans="1:23" customFormat="1" ht="16.5" customHeight="1" thickBot="1">
      <c r="A129" s="116" t="s">
        <v>156</v>
      </c>
      <c r="B129" s="141">
        <v>16</v>
      </c>
      <c r="C129" s="142">
        <v>46125</v>
      </c>
      <c r="D129" s="143" t="s">
        <v>136</v>
      </c>
      <c r="E129" s="567" t="s">
        <v>242</v>
      </c>
      <c r="F129" s="567" t="s">
        <v>240</v>
      </c>
      <c r="G129" s="567" t="s">
        <v>63</v>
      </c>
      <c r="H129" s="145">
        <v>5366926</v>
      </c>
      <c r="I129" s="567" t="s">
        <v>553</v>
      </c>
      <c r="J129" s="567">
        <v>1</v>
      </c>
      <c r="K129" s="1156"/>
      <c r="L129" s="1156"/>
      <c r="M129" s="1156"/>
      <c r="N129" s="1156"/>
      <c r="O129" s="1156"/>
      <c r="P129" s="1156"/>
      <c r="Q129" s="1156"/>
      <c r="R129" s="1156"/>
      <c r="S129" s="1156"/>
      <c r="T129" s="1156"/>
      <c r="U129" s="1156"/>
      <c r="V129" s="1156"/>
      <c r="W129" s="1158"/>
    </row>
    <row r="130" spans="1:23" customFormat="1" ht="16.5" customHeight="1">
      <c r="A130" s="63" t="s">
        <v>156</v>
      </c>
      <c r="B130" s="64">
        <v>16</v>
      </c>
      <c r="C130" s="65">
        <v>46127</v>
      </c>
      <c r="D130" s="66" t="s">
        <v>148</v>
      </c>
      <c r="E130" s="591" t="s">
        <v>263</v>
      </c>
      <c r="F130" s="591" t="s">
        <v>262</v>
      </c>
      <c r="G130" s="591" t="s">
        <v>36</v>
      </c>
      <c r="H130" s="591">
        <v>5572327</v>
      </c>
      <c r="I130" s="594" t="s">
        <v>578</v>
      </c>
      <c r="J130" s="591">
        <v>1</v>
      </c>
      <c r="K130" s="1342">
        <v>1</v>
      </c>
      <c r="L130" s="1342">
        <v>5</v>
      </c>
      <c r="M130" s="1342">
        <v>1</v>
      </c>
      <c r="N130" s="1342" t="s">
        <v>149</v>
      </c>
      <c r="O130" s="1342" t="s">
        <v>61</v>
      </c>
      <c r="P130" s="1342" t="s">
        <v>62</v>
      </c>
      <c r="Q130" s="1342" t="s">
        <v>579</v>
      </c>
      <c r="R130" s="1342" t="s">
        <v>31</v>
      </c>
      <c r="S130" s="1342" t="s">
        <v>184</v>
      </c>
      <c r="T130" s="1342" t="s">
        <v>185</v>
      </c>
      <c r="U130" s="1342"/>
      <c r="V130" s="1342" t="s">
        <v>149</v>
      </c>
      <c r="W130" s="1344">
        <v>1</v>
      </c>
    </row>
    <row r="131" spans="1:23" customFormat="1" ht="16.5" customHeight="1" thickBot="1">
      <c r="A131" s="595" t="s">
        <v>156</v>
      </c>
      <c r="B131" s="596">
        <v>16</v>
      </c>
      <c r="C131" s="597">
        <v>46127</v>
      </c>
      <c r="D131" s="598" t="s">
        <v>148</v>
      </c>
      <c r="E131" s="599" t="s">
        <v>263</v>
      </c>
      <c r="F131" s="599" t="s">
        <v>262</v>
      </c>
      <c r="G131" s="599" t="s">
        <v>28</v>
      </c>
      <c r="H131" s="599">
        <v>5572326</v>
      </c>
      <c r="I131" s="600" t="s">
        <v>578</v>
      </c>
      <c r="J131" s="599">
        <v>16</v>
      </c>
      <c r="K131" s="1150"/>
      <c r="L131" s="1150"/>
      <c r="M131" s="1150"/>
      <c r="N131" s="1150"/>
      <c r="O131" s="1150"/>
      <c r="P131" s="1150"/>
      <c r="Q131" s="1150"/>
      <c r="R131" s="1150"/>
      <c r="S131" s="1150"/>
      <c r="T131" s="1150"/>
      <c r="U131" s="1150"/>
      <c r="V131" s="1150"/>
      <c r="W131" s="1151"/>
    </row>
    <row r="132" spans="1:23" customFormat="1" ht="16.5" customHeight="1" thickBot="1">
      <c r="A132" s="158" t="s">
        <v>156</v>
      </c>
      <c r="B132" s="601">
        <v>16</v>
      </c>
      <c r="C132" s="602">
        <v>46128</v>
      </c>
      <c r="D132" s="603" t="s">
        <v>136</v>
      </c>
      <c r="E132" s="604" t="s">
        <v>173</v>
      </c>
      <c r="F132" s="604" t="s">
        <v>243</v>
      </c>
      <c r="G132" s="604" t="s">
        <v>52</v>
      </c>
      <c r="H132" s="604">
        <v>5491593</v>
      </c>
      <c r="I132" s="605">
        <v>1110172908</v>
      </c>
      <c r="J132" s="604">
        <v>1</v>
      </c>
      <c r="K132" s="604">
        <v>1</v>
      </c>
      <c r="L132" s="604">
        <v>0</v>
      </c>
      <c r="M132" s="604">
        <v>1</v>
      </c>
      <c r="N132" s="604" t="s">
        <v>149</v>
      </c>
      <c r="O132" s="604" t="s">
        <v>97</v>
      </c>
      <c r="P132" s="604" t="s">
        <v>57</v>
      </c>
      <c r="Q132" s="604" t="s">
        <v>582</v>
      </c>
      <c r="R132" s="604" t="s">
        <v>31</v>
      </c>
      <c r="S132" s="604" t="s">
        <v>184</v>
      </c>
      <c r="T132" s="604" t="s">
        <v>185</v>
      </c>
      <c r="U132" s="604"/>
      <c r="V132" s="604" t="s">
        <v>149</v>
      </c>
      <c r="W132" s="606">
        <v>1</v>
      </c>
    </row>
    <row r="133" spans="1:23" customFormat="1" ht="16.5" customHeight="1">
      <c r="A133" s="63" t="s">
        <v>156</v>
      </c>
      <c r="B133" s="149">
        <v>16</v>
      </c>
      <c r="C133" s="150">
        <v>46130</v>
      </c>
      <c r="D133" s="151" t="s">
        <v>136</v>
      </c>
      <c r="E133" s="609" t="s">
        <v>173</v>
      </c>
      <c r="F133" s="609" t="s">
        <v>225</v>
      </c>
      <c r="G133" s="609" t="s">
        <v>36</v>
      </c>
      <c r="H133" s="609">
        <v>5285945</v>
      </c>
      <c r="I133" s="153">
        <v>4524082521</v>
      </c>
      <c r="J133" s="609">
        <v>1</v>
      </c>
      <c r="K133" s="1221">
        <v>1</v>
      </c>
      <c r="L133" s="1221"/>
      <c r="M133" s="1221">
        <v>0</v>
      </c>
      <c r="N133" s="1221" t="s">
        <v>149</v>
      </c>
      <c r="O133" s="1221"/>
      <c r="P133" s="1221"/>
      <c r="Q133" s="1221"/>
      <c r="R133" s="1221"/>
      <c r="S133" s="1221"/>
      <c r="T133" s="1221"/>
      <c r="U133" s="1221"/>
      <c r="V133" s="1221"/>
      <c r="W133" s="1223"/>
    </row>
    <row r="134" spans="1:23" customFormat="1" ht="16.5" customHeight="1">
      <c r="A134" s="134" t="s">
        <v>156</v>
      </c>
      <c r="B134" s="135">
        <v>16</v>
      </c>
      <c r="C134" s="136">
        <v>46130</v>
      </c>
      <c r="D134" s="137" t="s">
        <v>136</v>
      </c>
      <c r="E134" s="608" t="s">
        <v>173</v>
      </c>
      <c r="F134" s="608" t="s">
        <v>225</v>
      </c>
      <c r="G134" s="608" t="s">
        <v>28</v>
      </c>
      <c r="H134" s="608">
        <v>5285944</v>
      </c>
      <c r="I134" s="139">
        <v>4524287768</v>
      </c>
      <c r="J134" s="608">
        <v>2</v>
      </c>
      <c r="K134" s="1150"/>
      <c r="L134" s="1150"/>
      <c r="M134" s="1150"/>
      <c r="N134" s="1150"/>
      <c r="O134" s="1150"/>
      <c r="P134" s="1150"/>
      <c r="Q134" s="1150"/>
      <c r="R134" s="1150"/>
      <c r="S134" s="1150"/>
      <c r="T134" s="1150"/>
      <c r="U134" s="1150"/>
      <c r="V134" s="1150"/>
      <c r="W134" s="1151"/>
    </row>
    <row r="135" spans="1:23" customFormat="1" ht="16.5" customHeight="1">
      <c r="A135" s="134" t="s">
        <v>156</v>
      </c>
      <c r="B135" s="135">
        <v>16</v>
      </c>
      <c r="C135" s="136">
        <v>46130</v>
      </c>
      <c r="D135" s="137" t="s">
        <v>136</v>
      </c>
      <c r="E135" s="608" t="s">
        <v>173</v>
      </c>
      <c r="F135" s="608" t="s">
        <v>225</v>
      </c>
      <c r="G135" s="608" t="s">
        <v>32</v>
      </c>
      <c r="H135" s="608">
        <v>5285943</v>
      </c>
      <c r="I135" s="139">
        <v>4524287768</v>
      </c>
      <c r="J135" s="608">
        <v>2</v>
      </c>
      <c r="K135" s="1150"/>
      <c r="L135" s="1150"/>
      <c r="M135" s="1150"/>
      <c r="N135" s="1150"/>
      <c r="O135" s="1150"/>
      <c r="P135" s="1150"/>
      <c r="Q135" s="1150"/>
      <c r="R135" s="1150"/>
      <c r="S135" s="1150"/>
      <c r="T135" s="1150"/>
      <c r="U135" s="1150"/>
      <c r="V135" s="1150"/>
      <c r="W135" s="1151"/>
    </row>
    <row r="136" spans="1:23" customFormat="1" ht="16.5" customHeight="1">
      <c r="A136" s="134" t="s">
        <v>156</v>
      </c>
      <c r="B136" s="135">
        <v>16</v>
      </c>
      <c r="C136" s="136">
        <v>46130</v>
      </c>
      <c r="D136" s="137" t="s">
        <v>136</v>
      </c>
      <c r="E136" s="608" t="s">
        <v>173</v>
      </c>
      <c r="F136" s="608" t="s">
        <v>225</v>
      </c>
      <c r="G136" s="608" t="s">
        <v>63</v>
      </c>
      <c r="H136" s="608">
        <v>5285942</v>
      </c>
      <c r="I136" s="139">
        <v>4524287768</v>
      </c>
      <c r="J136" s="608">
        <v>1</v>
      </c>
      <c r="K136" s="1150"/>
      <c r="L136" s="1150"/>
      <c r="M136" s="1150"/>
      <c r="N136" s="1150"/>
      <c r="O136" s="1150"/>
      <c r="P136" s="1150"/>
      <c r="Q136" s="1150"/>
      <c r="R136" s="1150"/>
      <c r="S136" s="1150"/>
      <c r="T136" s="1150"/>
      <c r="U136" s="1150"/>
      <c r="V136" s="1150"/>
      <c r="W136" s="1151"/>
    </row>
    <row r="137" spans="1:23" customFormat="1" ht="16.5" customHeight="1">
      <c r="A137" s="134" t="s">
        <v>156</v>
      </c>
      <c r="B137" s="135">
        <v>16</v>
      </c>
      <c r="C137" s="136">
        <v>46130</v>
      </c>
      <c r="D137" s="137" t="s">
        <v>136</v>
      </c>
      <c r="E137" s="608" t="s">
        <v>173</v>
      </c>
      <c r="F137" s="608" t="s">
        <v>225</v>
      </c>
      <c r="G137" s="608" t="s">
        <v>36</v>
      </c>
      <c r="H137" s="139">
        <v>5285945</v>
      </c>
      <c r="I137" s="608">
        <v>4524310808</v>
      </c>
      <c r="J137" s="608">
        <v>4</v>
      </c>
      <c r="K137" s="1150"/>
      <c r="L137" s="1150"/>
      <c r="M137" s="1150"/>
      <c r="N137" s="1150"/>
      <c r="O137" s="1150"/>
      <c r="P137" s="1150"/>
      <c r="Q137" s="1150"/>
      <c r="R137" s="1150"/>
      <c r="S137" s="1150"/>
      <c r="T137" s="1150"/>
      <c r="U137" s="1150"/>
      <c r="V137" s="1150"/>
      <c r="W137" s="1151"/>
    </row>
    <row r="138" spans="1:23" customFormat="1" ht="16.5" customHeight="1">
      <c r="A138" s="134" t="s">
        <v>156</v>
      </c>
      <c r="B138" s="135">
        <v>16</v>
      </c>
      <c r="C138" s="136">
        <v>46130</v>
      </c>
      <c r="D138" s="137" t="s">
        <v>136</v>
      </c>
      <c r="E138" s="608" t="s">
        <v>173</v>
      </c>
      <c r="F138" s="608" t="s">
        <v>225</v>
      </c>
      <c r="G138" s="608" t="s">
        <v>28</v>
      </c>
      <c r="H138" s="139">
        <v>5285944</v>
      </c>
      <c r="I138" s="608">
        <v>4524310808</v>
      </c>
      <c r="J138" s="608">
        <v>6</v>
      </c>
      <c r="K138" s="1150"/>
      <c r="L138" s="1150"/>
      <c r="M138" s="1150"/>
      <c r="N138" s="1150"/>
      <c r="O138" s="1150"/>
      <c r="P138" s="1150"/>
      <c r="Q138" s="1150"/>
      <c r="R138" s="1150"/>
      <c r="S138" s="1150"/>
      <c r="T138" s="1150"/>
      <c r="U138" s="1150"/>
      <c r="V138" s="1150"/>
      <c r="W138" s="1151"/>
    </row>
    <row r="139" spans="1:23" customFormat="1" ht="16.5" customHeight="1" thickBot="1">
      <c r="A139" s="615" t="s">
        <v>156</v>
      </c>
      <c r="B139" s="616">
        <v>16</v>
      </c>
      <c r="C139" s="617">
        <v>46130</v>
      </c>
      <c r="D139" s="618" t="s">
        <v>136</v>
      </c>
      <c r="E139" s="613" t="s">
        <v>173</v>
      </c>
      <c r="F139" s="613" t="s">
        <v>225</v>
      </c>
      <c r="G139" s="613" t="s">
        <v>32</v>
      </c>
      <c r="H139" s="619">
        <v>5285943</v>
      </c>
      <c r="I139" s="613">
        <v>4524310808</v>
      </c>
      <c r="J139" s="613">
        <v>7</v>
      </c>
      <c r="K139" s="1150"/>
      <c r="L139" s="1150"/>
      <c r="M139" s="1150"/>
      <c r="N139" s="1150"/>
      <c r="O139" s="1150"/>
      <c r="P139" s="1150"/>
      <c r="Q139" s="1150"/>
      <c r="R139" s="1150"/>
      <c r="S139" s="1150"/>
      <c r="T139" s="1150"/>
      <c r="U139" s="1150"/>
      <c r="V139" s="1150"/>
      <c r="W139" s="1151"/>
    </row>
    <row r="140" spans="1:23" customFormat="1" ht="16.5" customHeight="1">
      <c r="A140" s="63" t="s">
        <v>156</v>
      </c>
      <c r="B140" s="149">
        <v>17</v>
      </c>
      <c r="C140" s="150">
        <v>46132</v>
      </c>
      <c r="D140" s="151" t="s">
        <v>136</v>
      </c>
      <c r="E140" s="609" t="s">
        <v>173</v>
      </c>
      <c r="F140" s="609" t="s">
        <v>225</v>
      </c>
      <c r="G140" s="609" t="s">
        <v>32</v>
      </c>
      <c r="H140" s="609">
        <v>5285943</v>
      </c>
      <c r="I140" s="610">
        <v>4524310808</v>
      </c>
      <c r="J140" s="609">
        <v>7</v>
      </c>
      <c r="K140" s="1152">
        <v>1</v>
      </c>
      <c r="L140" s="1152"/>
      <c r="M140" s="1152">
        <v>0</v>
      </c>
      <c r="N140" s="1152" t="s">
        <v>149</v>
      </c>
      <c r="O140" s="1152"/>
      <c r="P140" s="1152"/>
      <c r="Q140" s="1152"/>
      <c r="R140" s="1152"/>
      <c r="S140" s="1152"/>
      <c r="T140" s="1152"/>
      <c r="U140" s="1152"/>
      <c r="V140" s="1152"/>
      <c r="W140" s="1153"/>
    </row>
    <row r="141" spans="1:23" customFormat="1" ht="16.5" customHeight="1">
      <c r="A141" s="134" t="s">
        <v>156</v>
      </c>
      <c r="B141" s="135">
        <v>17</v>
      </c>
      <c r="C141" s="136">
        <v>46132</v>
      </c>
      <c r="D141" s="137" t="s">
        <v>136</v>
      </c>
      <c r="E141" s="608" t="s">
        <v>173</v>
      </c>
      <c r="F141" s="608" t="s">
        <v>225</v>
      </c>
      <c r="G141" s="608" t="s">
        <v>63</v>
      </c>
      <c r="H141" s="608">
        <v>5285942</v>
      </c>
      <c r="I141" s="139">
        <v>4524310808</v>
      </c>
      <c r="J141" s="608">
        <v>2</v>
      </c>
      <c r="K141" s="1143"/>
      <c r="L141" s="1143"/>
      <c r="M141" s="1143"/>
      <c r="N141" s="1143"/>
      <c r="O141" s="1143"/>
      <c r="P141" s="1143"/>
      <c r="Q141" s="1143"/>
      <c r="R141" s="1143"/>
      <c r="S141" s="1143"/>
      <c r="T141" s="1143"/>
      <c r="U141" s="1143"/>
      <c r="V141" s="1143"/>
      <c r="W141" s="1145"/>
    </row>
    <row r="142" spans="1:23" customFormat="1" ht="16.5" customHeight="1">
      <c r="A142" s="134" t="s">
        <v>156</v>
      </c>
      <c r="B142" s="135">
        <v>17</v>
      </c>
      <c r="C142" s="136">
        <v>46132</v>
      </c>
      <c r="D142" s="137" t="s">
        <v>216</v>
      </c>
      <c r="E142" s="608" t="s">
        <v>221</v>
      </c>
      <c r="F142" s="608" t="s">
        <v>224</v>
      </c>
      <c r="G142" s="608" t="s">
        <v>32</v>
      </c>
      <c r="H142" s="608">
        <v>5326035</v>
      </c>
      <c r="I142" s="139">
        <v>4524053760</v>
      </c>
      <c r="J142" s="608">
        <v>4</v>
      </c>
      <c r="K142" s="1143">
        <v>1</v>
      </c>
      <c r="L142" s="1143"/>
      <c r="M142" s="1143">
        <v>0</v>
      </c>
      <c r="N142" s="1143" t="s">
        <v>149</v>
      </c>
      <c r="O142" s="1143"/>
      <c r="P142" s="1143"/>
      <c r="Q142" s="1143"/>
      <c r="R142" s="1143"/>
      <c r="S142" s="1143"/>
      <c r="T142" s="1143"/>
      <c r="U142" s="1143"/>
      <c r="V142" s="1143"/>
      <c r="W142" s="1145"/>
    </row>
    <row r="143" spans="1:23" customFormat="1" ht="16.5" customHeight="1">
      <c r="A143" s="134" t="s">
        <v>156</v>
      </c>
      <c r="B143" s="135">
        <v>17</v>
      </c>
      <c r="C143" s="136">
        <v>46132</v>
      </c>
      <c r="D143" s="137" t="s">
        <v>216</v>
      </c>
      <c r="E143" s="608" t="s">
        <v>221</v>
      </c>
      <c r="F143" s="608" t="s">
        <v>224</v>
      </c>
      <c r="G143" s="608" t="s">
        <v>28</v>
      </c>
      <c r="H143" s="608">
        <v>5326036</v>
      </c>
      <c r="I143" s="139">
        <v>4524053760</v>
      </c>
      <c r="J143" s="608">
        <v>8</v>
      </c>
      <c r="K143" s="1143"/>
      <c r="L143" s="1143"/>
      <c r="M143" s="1143"/>
      <c r="N143" s="1143"/>
      <c r="O143" s="1143"/>
      <c r="P143" s="1143"/>
      <c r="Q143" s="1143"/>
      <c r="R143" s="1143"/>
      <c r="S143" s="1143"/>
      <c r="T143" s="1143"/>
      <c r="U143" s="1143"/>
      <c r="V143" s="1143"/>
      <c r="W143" s="1145"/>
    </row>
    <row r="144" spans="1:23" customFormat="1" ht="16.5" customHeight="1">
      <c r="A144" s="134" t="s">
        <v>156</v>
      </c>
      <c r="B144" s="135">
        <v>17</v>
      </c>
      <c r="C144" s="136">
        <v>46132</v>
      </c>
      <c r="D144" s="137" t="s">
        <v>216</v>
      </c>
      <c r="E144" s="608" t="s">
        <v>221</v>
      </c>
      <c r="F144" s="608" t="s">
        <v>224</v>
      </c>
      <c r="G144" s="608" t="s">
        <v>36</v>
      </c>
      <c r="H144" s="608">
        <v>5326037</v>
      </c>
      <c r="I144" s="139">
        <v>4524053760</v>
      </c>
      <c r="J144" s="608">
        <v>2</v>
      </c>
      <c r="K144" s="1143"/>
      <c r="L144" s="1143"/>
      <c r="M144" s="1143"/>
      <c r="N144" s="1143"/>
      <c r="O144" s="1143"/>
      <c r="P144" s="1143"/>
      <c r="Q144" s="1143"/>
      <c r="R144" s="1143"/>
      <c r="S144" s="1143"/>
      <c r="T144" s="1143"/>
      <c r="U144" s="1143"/>
      <c r="V144" s="1143"/>
      <c r="W144" s="1145"/>
    </row>
    <row r="145" spans="1:23" customFormat="1" ht="16.5" customHeight="1">
      <c r="A145" s="134" t="s">
        <v>156</v>
      </c>
      <c r="B145" s="135">
        <v>17</v>
      </c>
      <c r="C145" s="136">
        <v>46132</v>
      </c>
      <c r="D145" s="137" t="s">
        <v>216</v>
      </c>
      <c r="E145" s="608" t="s">
        <v>221</v>
      </c>
      <c r="F145" s="608" t="s">
        <v>917</v>
      </c>
      <c r="G145" s="608" t="s">
        <v>52</v>
      </c>
      <c r="H145" s="139">
        <v>5811817</v>
      </c>
      <c r="I145" s="608">
        <v>4523453875</v>
      </c>
      <c r="J145" s="608">
        <v>1</v>
      </c>
      <c r="K145" s="1143"/>
      <c r="L145" s="1143"/>
      <c r="M145" s="1143"/>
      <c r="N145" s="1143"/>
      <c r="O145" s="1143"/>
      <c r="P145" s="1143"/>
      <c r="Q145" s="1143"/>
      <c r="R145" s="1143"/>
      <c r="S145" s="1143"/>
      <c r="T145" s="1143"/>
      <c r="U145" s="1143"/>
      <c r="V145" s="1143"/>
      <c r="W145" s="1145"/>
    </row>
    <row r="146" spans="1:23" customFormat="1" ht="16.5" customHeight="1">
      <c r="A146" s="134" t="s">
        <v>156</v>
      </c>
      <c r="B146" s="135">
        <v>17</v>
      </c>
      <c r="C146" s="136">
        <v>46132</v>
      </c>
      <c r="D146" s="137" t="s">
        <v>216</v>
      </c>
      <c r="E146" s="608" t="s">
        <v>221</v>
      </c>
      <c r="F146" s="608" t="s">
        <v>917</v>
      </c>
      <c r="G146" s="608" t="s">
        <v>28</v>
      </c>
      <c r="H146" s="139">
        <v>5811815</v>
      </c>
      <c r="I146" s="608">
        <v>4523453875</v>
      </c>
      <c r="J146" s="608">
        <v>5</v>
      </c>
      <c r="K146" s="1143"/>
      <c r="L146" s="1143"/>
      <c r="M146" s="1143"/>
      <c r="N146" s="1143"/>
      <c r="O146" s="1143"/>
      <c r="P146" s="1143"/>
      <c r="Q146" s="1143"/>
      <c r="R146" s="1143"/>
      <c r="S146" s="1143"/>
      <c r="T146" s="1143"/>
      <c r="U146" s="1143"/>
      <c r="V146" s="1143"/>
      <c r="W146" s="1145"/>
    </row>
    <row r="147" spans="1:23" customFormat="1" ht="16.5" customHeight="1">
      <c r="A147" s="134" t="s">
        <v>156</v>
      </c>
      <c r="B147" s="135">
        <v>17</v>
      </c>
      <c r="C147" s="136">
        <v>46132</v>
      </c>
      <c r="D147" s="137" t="s">
        <v>216</v>
      </c>
      <c r="E147" s="608" t="s">
        <v>221</v>
      </c>
      <c r="F147" s="608" t="s">
        <v>917</v>
      </c>
      <c r="G147" s="608" t="s">
        <v>32</v>
      </c>
      <c r="H147" s="139">
        <v>5811814</v>
      </c>
      <c r="I147" s="608" t="s">
        <v>587</v>
      </c>
      <c r="J147" s="608">
        <v>2</v>
      </c>
      <c r="K147" s="1143"/>
      <c r="L147" s="1143"/>
      <c r="M147" s="1143"/>
      <c r="N147" s="1143"/>
      <c r="O147" s="1143"/>
      <c r="P147" s="1143"/>
      <c r="Q147" s="1143"/>
      <c r="R147" s="1143"/>
      <c r="S147" s="1143"/>
      <c r="T147" s="1143"/>
      <c r="U147" s="1143"/>
      <c r="V147" s="1143"/>
      <c r="W147" s="1145"/>
    </row>
    <row r="148" spans="1:23" customFormat="1" ht="16.5" customHeight="1">
      <c r="A148" s="134" t="s">
        <v>156</v>
      </c>
      <c r="B148" s="135">
        <v>17</v>
      </c>
      <c r="C148" s="136">
        <v>46132</v>
      </c>
      <c r="D148" s="137" t="s">
        <v>216</v>
      </c>
      <c r="E148" s="608" t="s">
        <v>221</v>
      </c>
      <c r="F148" s="608" t="s">
        <v>917</v>
      </c>
      <c r="G148" s="608" t="s">
        <v>32</v>
      </c>
      <c r="H148" s="139">
        <v>5811814</v>
      </c>
      <c r="I148" s="608">
        <v>4523453875</v>
      </c>
      <c r="J148" s="608">
        <v>1</v>
      </c>
      <c r="K148" s="1143"/>
      <c r="L148" s="1143"/>
      <c r="M148" s="1143"/>
      <c r="N148" s="1143"/>
      <c r="O148" s="1143"/>
      <c r="P148" s="1143"/>
      <c r="Q148" s="1143"/>
      <c r="R148" s="1143"/>
      <c r="S148" s="1143"/>
      <c r="T148" s="1143"/>
      <c r="U148" s="1143"/>
      <c r="V148" s="1143"/>
      <c r="W148" s="1145"/>
    </row>
    <row r="149" spans="1:23" customFormat="1" ht="16.5" customHeight="1">
      <c r="A149" s="134" t="s">
        <v>156</v>
      </c>
      <c r="B149" s="135">
        <v>17</v>
      </c>
      <c r="C149" s="136">
        <v>46132</v>
      </c>
      <c r="D149" s="137" t="s">
        <v>216</v>
      </c>
      <c r="E149" s="608" t="s">
        <v>221</v>
      </c>
      <c r="F149" s="608" t="s">
        <v>917</v>
      </c>
      <c r="G149" s="608" t="s">
        <v>63</v>
      </c>
      <c r="H149" s="139">
        <v>5811813</v>
      </c>
      <c r="I149" s="608" t="s">
        <v>588</v>
      </c>
      <c r="J149" s="608">
        <v>2</v>
      </c>
      <c r="K149" s="1143"/>
      <c r="L149" s="1143"/>
      <c r="M149" s="1143"/>
      <c r="N149" s="1143"/>
      <c r="O149" s="1143"/>
      <c r="P149" s="1143"/>
      <c r="Q149" s="1143"/>
      <c r="R149" s="1143"/>
      <c r="S149" s="1143"/>
      <c r="T149" s="1143"/>
      <c r="U149" s="1143"/>
      <c r="V149" s="1143"/>
      <c r="W149" s="1145"/>
    </row>
    <row r="150" spans="1:23" customFormat="1" ht="16.5" customHeight="1" thickBot="1">
      <c r="A150" s="116" t="s">
        <v>156</v>
      </c>
      <c r="B150" s="141">
        <v>17</v>
      </c>
      <c r="C150" s="142">
        <v>46132</v>
      </c>
      <c r="D150" s="143" t="s">
        <v>216</v>
      </c>
      <c r="E150" s="607" t="s">
        <v>221</v>
      </c>
      <c r="F150" s="607" t="s">
        <v>917</v>
      </c>
      <c r="G150" s="607" t="s">
        <v>63</v>
      </c>
      <c r="H150" s="145">
        <v>5811813</v>
      </c>
      <c r="I150" s="607">
        <v>4523453875</v>
      </c>
      <c r="J150" s="607">
        <v>1</v>
      </c>
      <c r="K150" s="1156"/>
      <c r="L150" s="1156"/>
      <c r="M150" s="1156"/>
      <c r="N150" s="1156"/>
      <c r="O150" s="1156"/>
      <c r="P150" s="1156"/>
      <c r="Q150" s="1156"/>
      <c r="R150" s="1156"/>
      <c r="S150" s="1156"/>
      <c r="T150" s="1156"/>
      <c r="U150" s="1156"/>
      <c r="V150" s="1156"/>
      <c r="W150" s="1158"/>
    </row>
    <row r="151" spans="1:23" customFormat="1" ht="16.5" customHeight="1">
      <c r="A151" s="63" t="s">
        <v>156</v>
      </c>
      <c r="B151" s="64">
        <v>17</v>
      </c>
      <c r="C151" s="65">
        <v>46135</v>
      </c>
      <c r="D151" s="66" t="s">
        <v>216</v>
      </c>
      <c r="E151" s="632" t="s">
        <v>217</v>
      </c>
      <c r="F151" s="632" t="s">
        <v>222</v>
      </c>
      <c r="G151" s="632" t="s">
        <v>52</v>
      </c>
      <c r="H151" s="163">
        <v>5366527</v>
      </c>
      <c r="I151" s="632" t="s">
        <v>600</v>
      </c>
      <c r="J151" s="632">
        <v>1</v>
      </c>
      <c r="K151" s="1296">
        <v>1</v>
      </c>
      <c r="L151" s="1296"/>
      <c r="M151" s="1296">
        <v>0</v>
      </c>
      <c r="N151" s="1296" t="s">
        <v>149</v>
      </c>
      <c r="O151" s="1296"/>
      <c r="P151" s="1296"/>
      <c r="Q151" s="1296"/>
      <c r="R151" s="1296"/>
      <c r="S151" s="1296"/>
      <c r="T151" s="1296"/>
      <c r="U151" s="1296"/>
      <c r="V151" s="1296"/>
      <c r="W151" s="1297"/>
    </row>
    <row r="152" spans="1:23" customFormat="1" ht="16.5" customHeight="1">
      <c r="A152" s="134" t="s">
        <v>156</v>
      </c>
      <c r="B152" s="135">
        <v>17</v>
      </c>
      <c r="C152" s="136">
        <v>46135</v>
      </c>
      <c r="D152" s="137" t="s">
        <v>216</v>
      </c>
      <c r="E152" s="633" t="s">
        <v>217</v>
      </c>
      <c r="F152" s="633" t="s">
        <v>222</v>
      </c>
      <c r="G152" s="633" t="s">
        <v>36</v>
      </c>
      <c r="H152" s="139">
        <v>5366526</v>
      </c>
      <c r="I152" s="633" t="s">
        <v>601</v>
      </c>
      <c r="J152" s="633">
        <v>4</v>
      </c>
      <c r="K152" s="1150"/>
      <c r="L152" s="1150"/>
      <c r="M152" s="1150"/>
      <c r="N152" s="1150"/>
      <c r="O152" s="1150"/>
      <c r="P152" s="1150"/>
      <c r="Q152" s="1150"/>
      <c r="R152" s="1150"/>
      <c r="S152" s="1150"/>
      <c r="T152" s="1150"/>
      <c r="U152" s="1150"/>
      <c r="V152" s="1150"/>
      <c r="W152" s="1151"/>
    </row>
    <row r="153" spans="1:23" customFormat="1" ht="16.5" customHeight="1">
      <c r="A153" s="134" t="s">
        <v>156</v>
      </c>
      <c r="B153" s="135">
        <v>17</v>
      </c>
      <c r="C153" s="136">
        <v>46135</v>
      </c>
      <c r="D153" s="137" t="s">
        <v>216</v>
      </c>
      <c r="E153" s="633" t="s">
        <v>217</v>
      </c>
      <c r="F153" s="633" t="s">
        <v>222</v>
      </c>
      <c r="G153" s="633" t="s">
        <v>28</v>
      </c>
      <c r="H153" s="139">
        <v>5366525</v>
      </c>
      <c r="I153" s="633" t="s">
        <v>602</v>
      </c>
      <c r="J153" s="633">
        <v>8</v>
      </c>
      <c r="K153" s="1150"/>
      <c r="L153" s="1150"/>
      <c r="M153" s="1150"/>
      <c r="N153" s="1150"/>
      <c r="O153" s="1150"/>
      <c r="P153" s="1150"/>
      <c r="Q153" s="1150"/>
      <c r="R153" s="1150"/>
      <c r="S153" s="1150"/>
      <c r="T153" s="1150"/>
      <c r="U153" s="1150"/>
      <c r="V153" s="1150"/>
      <c r="W153" s="1151"/>
    </row>
    <row r="154" spans="1:23" customFormat="1" ht="16.5" customHeight="1">
      <c r="A154" s="134" t="s">
        <v>156</v>
      </c>
      <c r="B154" s="135">
        <v>17</v>
      </c>
      <c r="C154" s="136">
        <v>46135</v>
      </c>
      <c r="D154" s="137" t="s">
        <v>216</v>
      </c>
      <c r="E154" s="633" t="s">
        <v>217</v>
      </c>
      <c r="F154" s="633" t="s">
        <v>222</v>
      </c>
      <c r="G154" s="633" t="s">
        <v>63</v>
      </c>
      <c r="H154" s="139">
        <v>5366522</v>
      </c>
      <c r="I154" s="633" t="s">
        <v>603</v>
      </c>
      <c r="J154" s="633">
        <v>1</v>
      </c>
      <c r="K154" s="1150"/>
      <c r="L154" s="1150"/>
      <c r="M154" s="1150"/>
      <c r="N154" s="1150"/>
      <c r="O154" s="1150"/>
      <c r="P154" s="1150"/>
      <c r="Q154" s="1150"/>
      <c r="R154" s="1150"/>
      <c r="S154" s="1150"/>
      <c r="T154" s="1150"/>
      <c r="U154" s="1150"/>
      <c r="V154" s="1150"/>
      <c r="W154" s="1151"/>
    </row>
    <row r="155" spans="1:23" customFormat="1" ht="16.5" customHeight="1" thickBot="1">
      <c r="A155" s="116" t="s">
        <v>156</v>
      </c>
      <c r="B155" s="141">
        <v>17</v>
      </c>
      <c r="C155" s="142">
        <v>46135</v>
      </c>
      <c r="D155" s="143" t="s">
        <v>216</v>
      </c>
      <c r="E155" s="634" t="s">
        <v>217</v>
      </c>
      <c r="F155" s="634" t="s">
        <v>222</v>
      </c>
      <c r="G155" s="634" t="s">
        <v>32</v>
      </c>
      <c r="H155" s="145">
        <v>5366523</v>
      </c>
      <c r="I155" s="634" t="s">
        <v>604</v>
      </c>
      <c r="J155" s="634">
        <v>6</v>
      </c>
      <c r="K155" s="1147"/>
      <c r="L155" s="1147"/>
      <c r="M155" s="1147"/>
      <c r="N155" s="1147"/>
      <c r="O155" s="1147"/>
      <c r="P155" s="1147"/>
      <c r="Q155" s="1147"/>
      <c r="R155" s="1147"/>
      <c r="S155" s="1147"/>
      <c r="T155" s="1147"/>
      <c r="U155" s="1147"/>
      <c r="V155" s="1147"/>
      <c r="W155" s="1149"/>
    </row>
    <row r="156" spans="1:23" customFormat="1" ht="16.5" customHeight="1">
      <c r="A156" s="134" t="s">
        <v>156</v>
      </c>
      <c r="B156" s="135">
        <v>18</v>
      </c>
      <c r="C156" s="136">
        <v>46139</v>
      </c>
      <c r="D156" s="137" t="s">
        <v>136</v>
      </c>
      <c r="E156" s="650" t="s">
        <v>173</v>
      </c>
      <c r="F156" s="650" t="s">
        <v>228</v>
      </c>
      <c r="G156" s="650" t="s">
        <v>52</v>
      </c>
      <c r="H156" s="139">
        <v>5366936</v>
      </c>
      <c r="I156" s="650" t="s">
        <v>612</v>
      </c>
      <c r="J156" s="650">
        <v>1</v>
      </c>
      <c r="K156" s="1215">
        <v>1</v>
      </c>
      <c r="L156" s="1215">
        <v>1</v>
      </c>
      <c r="M156" s="1215">
        <v>1</v>
      </c>
      <c r="N156" s="1387" t="s">
        <v>187</v>
      </c>
      <c r="O156" s="1215" t="s">
        <v>29</v>
      </c>
      <c r="P156" s="1215" t="s">
        <v>30</v>
      </c>
      <c r="Q156" s="1215" t="s">
        <v>617</v>
      </c>
      <c r="R156" s="1215" t="s">
        <v>31</v>
      </c>
      <c r="S156" s="1215" t="s">
        <v>184</v>
      </c>
      <c r="T156" s="1215" t="s">
        <v>185</v>
      </c>
      <c r="U156" s="1215" t="s">
        <v>618</v>
      </c>
      <c r="V156" s="1215" t="s">
        <v>149</v>
      </c>
      <c r="W156" s="1298">
        <v>3</v>
      </c>
    </row>
    <row r="157" spans="1:23" customFormat="1" ht="16.5" customHeight="1">
      <c r="A157" s="134" t="s">
        <v>156</v>
      </c>
      <c r="B157" s="135">
        <v>18</v>
      </c>
      <c r="C157" s="136">
        <v>46139</v>
      </c>
      <c r="D157" s="137" t="s">
        <v>136</v>
      </c>
      <c r="E157" s="650" t="s">
        <v>173</v>
      </c>
      <c r="F157" s="650" t="s">
        <v>228</v>
      </c>
      <c r="G157" s="650" t="s">
        <v>28</v>
      </c>
      <c r="H157" s="139">
        <v>5366934</v>
      </c>
      <c r="I157" s="650" t="s">
        <v>613</v>
      </c>
      <c r="J157" s="650">
        <v>8</v>
      </c>
      <c r="K157" s="1150"/>
      <c r="L157" s="1150"/>
      <c r="M157" s="1150"/>
      <c r="N157" s="1204"/>
      <c r="O157" s="1150"/>
      <c r="P157" s="1150"/>
      <c r="Q157" s="1150"/>
      <c r="R157" s="1150"/>
      <c r="S157" s="1150"/>
      <c r="T157" s="1150"/>
      <c r="U157" s="1150"/>
      <c r="V157" s="1150"/>
      <c r="W157" s="1151"/>
    </row>
    <row r="158" spans="1:23" customFormat="1" ht="16.5" customHeight="1">
      <c r="A158" s="134" t="s">
        <v>156</v>
      </c>
      <c r="B158" s="135">
        <v>18</v>
      </c>
      <c r="C158" s="136">
        <v>46139</v>
      </c>
      <c r="D158" s="137" t="s">
        <v>136</v>
      </c>
      <c r="E158" s="650" t="s">
        <v>173</v>
      </c>
      <c r="F158" s="650" t="s">
        <v>228</v>
      </c>
      <c r="G158" s="650" t="s">
        <v>36</v>
      </c>
      <c r="H158" s="139">
        <v>5366935</v>
      </c>
      <c r="I158" s="650" t="s">
        <v>614</v>
      </c>
      <c r="J158" s="650">
        <v>4</v>
      </c>
      <c r="K158" s="1150"/>
      <c r="L158" s="1150"/>
      <c r="M158" s="1150"/>
      <c r="N158" s="1204"/>
      <c r="O158" s="1150"/>
      <c r="P158" s="1150"/>
      <c r="Q158" s="1150"/>
      <c r="R158" s="1150"/>
      <c r="S158" s="1150"/>
      <c r="T158" s="1150"/>
      <c r="U158" s="1150"/>
      <c r="V158" s="1150"/>
      <c r="W158" s="1151"/>
    </row>
    <row r="159" spans="1:23" customFormat="1" ht="16.5" customHeight="1">
      <c r="A159" s="134" t="s">
        <v>156</v>
      </c>
      <c r="B159" s="135">
        <v>18</v>
      </c>
      <c r="C159" s="136">
        <v>46139</v>
      </c>
      <c r="D159" s="137" t="s">
        <v>136</v>
      </c>
      <c r="E159" s="650" t="s">
        <v>173</v>
      </c>
      <c r="F159" s="650" t="s">
        <v>228</v>
      </c>
      <c r="G159" s="650" t="s">
        <v>32</v>
      </c>
      <c r="H159" s="139">
        <v>5366933</v>
      </c>
      <c r="I159" s="650" t="s">
        <v>615</v>
      </c>
      <c r="J159" s="650">
        <v>6</v>
      </c>
      <c r="K159" s="1150"/>
      <c r="L159" s="1150"/>
      <c r="M159" s="1150"/>
      <c r="N159" s="1204"/>
      <c r="O159" s="1150"/>
      <c r="P159" s="1150"/>
      <c r="Q159" s="1150"/>
      <c r="R159" s="1150"/>
      <c r="S159" s="1150"/>
      <c r="T159" s="1150"/>
      <c r="U159" s="1150"/>
      <c r="V159" s="1150"/>
      <c r="W159" s="1151"/>
    </row>
    <row r="160" spans="1:23" customFormat="1" ht="16.5" customHeight="1" thickBot="1">
      <c r="A160" s="705" t="s">
        <v>156</v>
      </c>
      <c r="B160" s="706">
        <v>18</v>
      </c>
      <c r="C160" s="707">
        <v>46139</v>
      </c>
      <c r="D160" s="708" t="s">
        <v>136</v>
      </c>
      <c r="E160" s="709" t="s">
        <v>173</v>
      </c>
      <c r="F160" s="709" t="s">
        <v>238</v>
      </c>
      <c r="G160" s="709" t="s">
        <v>63</v>
      </c>
      <c r="H160" s="710">
        <v>5285952</v>
      </c>
      <c r="I160" s="709">
        <v>4524072875</v>
      </c>
      <c r="J160" s="709">
        <v>2</v>
      </c>
      <c r="K160" s="1150"/>
      <c r="L160" s="1150"/>
      <c r="M160" s="1150"/>
      <c r="N160" s="1204"/>
      <c r="O160" s="1150"/>
      <c r="P160" s="1150"/>
      <c r="Q160" s="1150"/>
      <c r="R160" s="1150"/>
      <c r="S160" s="1150"/>
      <c r="T160" s="1150"/>
      <c r="U160" s="1150"/>
      <c r="V160" s="1150"/>
      <c r="W160" s="1151"/>
    </row>
    <row r="161" spans="1:23" customFormat="1" ht="16.5" customHeight="1">
      <c r="A161" s="63" t="s">
        <v>160</v>
      </c>
      <c r="B161" s="64">
        <v>19</v>
      </c>
      <c r="C161" s="65">
        <v>46149</v>
      </c>
      <c r="D161" s="66" t="s">
        <v>216</v>
      </c>
      <c r="E161" s="697" t="s">
        <v>221</v>
      </c>
      <c r="F161" s="697" t="s">
        <v>218</v>
      </c>
      <c r="G161" s="697" t="s">
        <v>52</v>
      </c>
      <c r="H161" s="163">
        <v>5366533</v>
      </c>
      <c r="I161" s="697" t="s">
        <v>637</v>
      </c>
      <c r="J161" s="697">
        <v>2</v>
      </c>
      <c r="K161" s="1142">
        <v>1</v>
      </c>
      <c r="L161" s="1142"/>
      <c r="M161" s="1142">
        <v>0</v>
      </c>
      <c r="N161" s="1142" t="s">
        <v>149</v>
      </c>
      <c r="O161" s="1142"/>
      <c r="P161" s="1142"/>
      <c r="Q161" s="1142"/>
      <c r="R161" s="1142"/>
      <c r="S161" s="1142"/>
      <c r="T161" s="1142"/>
      <c r="U161" s="1142"/>
      <c r="V161" s="1142"/>
      <c r="W161" s="1153"/>
    </row>
    <row r="162" spans="1:23" customFormat="1" ht="16.5" customHeight="1">
      <c r="A162" s="134" t="s">
        <v>160</v>
      </c>
      <c r="B162" s="135">
        <v>19</v>
      </c>
      <c r="C162" s="136">
        <v>46149</v>
      </c>
      <c r="D162" s="137" t="s">
        <v>216</v>
      </c>
      <c r="E162" s="698" t="s">
        <v>221</v>
      </c>
      <c r="F162" s="698" t="s">
        <v>218</v>
      </c>
      <c r="G162" s="698" t="s">
        <v>36</v>
      </c>
      <c r="H162" s="139">
        <v>5366531</v>
      </c>
      <c r="I162" s="698" t="s">
        <v>638</v>
      </c>
      <c r="J162" s="698">
        <v>7</v>
      </c>
      <c r="K162" s="1143"/>
      <c r="L162" s="1143"/>
      <c r="M162" s="1143"/>
      <c r="N162" s="1143"/>
      <c r="O162" s="1143"/>
      <c r="P162" s="1143"/>
      <c r="Q162" s="1143"/>
      <c r="R162" s="1143"/>
      <c r="S162" s="1143"/>
      <c r="T162" s="1143"/>
      <c r="U162" s="1143"/>
      <c r="V162" s="1143"/>
      <c r="W162" s="1145"/>
    </row>
    <row r="163" spans="1:23" customFormat="1" ht="16.5" customHeight="1" thickBot="1">
      <c r="A163" s="116" t="s">
        <v>160</v>
      </c>
      <c r="B163" s="141">
        <v>19</v>
      </c>
      <c r="C163" s="142">
        <v>46149</v>
      </c>
      <c r="D163" s="143" t="s">
        <v>216</v>
      </c>
      <c r="E163" s="699" t="s">
        <v>221</v>
      </c>
      <c r="F163" s="699" t="s">
        <v>218</v>
      </c>
      <c r="G163" s="699" t="s">
        <v>28</v>
      </c>
      <c r="H163" s="145">
        <v>5366530</v>
      </c>
      <c r="I163" s="699" t="s">
        <v>639</v>
      </c>
      <c r="J163" s="699">
        <v>9</v>
      </c>
      <c r="K163" s="1156"/>
      <c r="L163" s="1156"/>
      <c r="M163" s="1156"/>
      <c r="N163" s="1156"/>
      <c r="O163" s="1156"/>
      <c r="P163" s="1156"/>
      <c r="Q163" s="1156"/>
      <c r="R163" s="1156"/>
      <c r="S163" s="1156"/>
      <c r="T163" s="1156"/>
      <c r="U163" s="1156"/>
      <c r="V163" s="1156"/>
      <c r="W163" s="1158"/>
    </row>
    <row r="164" spans="1:23" customFormat="1" ht="16.5" customHeight="1">
      <c r="A164" s="63" t="s">
        <v>160</v>
      </c>
      <c r="B164" s="64">
        <v>20</v>
      </c>
      <c r="C164" s="65">
        <v>46153</v>
      </c>
      <c r="D164" s="66" t="s">
        <v>216</v>
      </c>
      <c r="E164" s="697" t="s">
        <v>221</v>
      </c>
      <c r="F164" s="697" t="s">
        <v>218</v>
      </c>
      <c r="G164" s="697" t="s">
        <v>32</v>
      </c>
      <c r="H164" s="163">
        <v>5366529</v>
      </c>
      <c r="I164" s="697" t="s">
        <v>640</v>
      </c>
      <c r="J164" s="697">
        <v>9</v>
      </c>
      <c r="K164" s="1142">
        <v>1</v>
      </c>
      <c r="L164" s="1142"/>
      <c r="M164" s="1142">
        <v>0</v>
      </c>
      <c r="N164" s="1142" t="s">
        <v>149</v>
      </c>
      <c r="O164" s="1142"/>
      <c r="P164" s="1142"/>
      <c r="Q164" s="1142"/>
      <c r="R164" s="1142"/>
      <c r="S164" s="1142"/>
      <c r="T164" s="1142"/>
      <c r="U164" s="1142"/>
      <c r="V164" s="1142"/>
      <c r="W164" s="1153"/>
    </row>
    <row r="165" spans="1:23" customFormat="1" ht="16.5" customHeight="1" thickBot="1">
      <c r="A165" s="715" t="s">
        <v>160</v>
      </c>
      <c r="B165" s="716">
        <v>20</v>
      </c>
      <c r="C165" s="717">
        <v>46153</v>
      </c>
      <c r="D165" s="718" t="s">
        <v>216</v>
      </c>
      <c r="E165" s="719" t="s">
        <v>221</v>
      </c>
      <c r="F165" s="719" t="s">
        <v>218</v>
      </c>
      <c r="G165" s="719" t="s">
        <v>63</v>
      </c>
      <c r="H165" s="720">
        <v>5366528</v>
      </c>
      <c r="I165" s="719" t="s">
        <v>641</v>
      </c>
      <c r="J165" s="719">
        <v>2</v>
      </c>
      <c r="K165" s="1339"/>
      <c r="L165" s="1339"/>
      <c r="M165" s="1339"/>
      <c r="N165" s="1339"/>
      <c r="O165" s="1339"/>
      <c r="P165" s="1339"/>
      <c r="Q165" s="1339"/>
      <c r="R165" s="1339"/>
      <c r="S165" s="1339"/>
      <c r="T165" s="1339"/>
      <c r="U165" s="1339"/>
      <c r="V165" s="1339"/>
      <c r="W165" s="1388"/>
    </row>
    <row r="166" spans="1:23" customFormat="1" ht="16.5" customHeight="1">
      <c r="A166" s="63" t="s">
        <v>160</v>
      </c>
      <c r="B166" s="64">
        <v>20</v>
      </c>
      <c r="C166" s="65">
        <v>46154</v>
      </c>
      <c r="D166" s="66" t="s">
        <v>253</v>
      </c>
      <c r="E166" s="700" t="s">
        <v>259</v>
      </c>
      <c r="F166" s="700" t="s">
        <v>261</v>
      </c>
      <c r="G166" s="700">
        <v>700</v>
      </c>
      <c r="H166" s="163">
        <v>5747049</v>
      </c>
      <c r="I166" s="700" t="s">
        <v>663</v>
      </c>
      <c r="J166" s="700">
        <v>19</v>
      </c>
      <c r="K166" s="700">
        <v>5</v>
      </c>
      <c r="L166" s="700"/>
      <c r="M166" s="700">
        <v>0</v>
      </c>
      <c r="N166" s="700" t="s">
        <v>149</v>
      </c>
      <c r="O166" s="700"/>
      <c r="P166" s="700"/>
      <c r="Q166" s="700"/>
      <c r="R166" s="700"/>
      <c r="S166" s="700"/>
      <c r="T166" s="700"/>
      <c r="U166" s="700"/>
      <c r="V166" s="700"/>
      <c r="W166" s="703"/>
    </row>
    <row r="167" spans="1:23" customFormat="1" ht="16.5" customHeight="1">
      <c r="A167" s="134" t="s">
        <v>160</v>
      </c>
      <c r="B167" s="135">
        <v>20</v>
      </c>
      <c r="C167" s="136">
        <v>46154</v>
      </c>
      <c r="D167" s="137" t="s">
        <v>253</v>
      </c>
      <c r="E167" s="701" t="s">
        <v>259</v>
      </c>
      <c r="F167" s="701" t="s">
        <v>260</v>
      </c>
      <c r="G167" s="701">
        <v>700</v>
      </c>
      <c r="H167" s="139">
        <v>5747048</v>
      </c>
      <c r="I167" s="701" t="s">
        <v>664</v>
      </c>
      <c r="J167" s="701">
        <v>19</v>
      </c>
      <c r="K167" s="701">
        <v>5</v>
      </c>
      <c r="L167" s="701"/>
      <c r="M167" s="701">
        <v>0</v>
      </c>
      <c r="N167" s="701" t="s">
        <v>149</v>
      </c>
      <c r="O167" s="701"/>
      <c r="P167" s="701"/>
      <c r="Q167" s="701"/>
      <c r="R167" s="701"/>
      <c r="S167" s="701"/>
      <c r="T167" s="701"/>
      <c r="U167" s="701"/>
      <c r="V167" s="701"/>
      <c r="W167" s="704"/>
    </row>
    <row r="168" spans="1:23" customFormat="1" ht="16.5" customHeight="1">
      <c r="A168" s="134" t="s">
        <v>160</v>
      </c>
      <c r="B168" s="135">
        <v>20</v>
      </c>
      <c r="C168" s="136">
        <v>46154</v>
      </c>
      <c r="D168" s="137" t="s">
        <v>216</v>
      </c>
      <c r="E168" s="701" t="s">
        <v>221</v>
      </c>
      <c r="F168" s="701" t="s">
        <v>223</v>
      </c>
      <c r="G168" s="701" t="s">
        <v>52</v>
      </c>
      <c r="H168" s="139">
        <v>5366544</v>
      </c>
      <c r="I168" s="701" t="s">
        <v>642</v>
      </c>
      <c r="J168" s="701">
        <v>1</v>
      </c>
      <c r="K168" s="1143">
        <v>1</v>
      </c>
      <c r="L168" s="1143"/>
      <c r="M168" s="1143">
        <v>0</v>
      </c>
      <c r="N168" s="1143" t="s">
        <v>149</v>
      </c>
      <c r="O168" s="1143"/>
      <c r="P168" s="1143"/>
      <c r="Q168" s="1143"/>
      <c r="R168" s="1143"/>
      <c r="S168" s="1143"/>
      <c r="T168" s="1143"/>
      <c r="U168" s="1143"/>
      <c r="V168" s="1143"/>
      <c r="W168" s="1145"/>
    </row>
    <row r="169" spans="1:23" customFormat="1" ht="16.5" customHeight="1">
      <c r="A169" s="134" t="s">
        <v>160</v>
      </c>
      <c r="B169" s="135">
        <v>20</v>
      </c>
      <c r="C169" s="136">
        <v>46154</v>
      </c>
      <c r="D169" s="137" t="s">
        <v>216</v>
      </c>
      <c r="E169" s="701" t="s">
        <v>221</v>
      </c>
      <c r="F169" s="701" t="s">
        <v>223</v>
      </c>
      <c r="G169" s="701" t="s">
        <v>52</v>
      </c>
      <c r="H169" s="139">
        <v>5366544</v>
      </c>
      <c r="I169" s="701" t="s">
        <v>643</v>
      </c>
      <c r="J169" s="701">
        <v>1</v>
      </c>
      <c r="K169" s="1143"/>
      <c r="L169" s="1143"/>
      <c r="M169" s="1143"/>
      <c r="N169" s="1143"/>
      <c r="O169" s="1143"/>
      <c r="P169" s="1143"/>
      <c r="Q169" s="1143"/>
      <c r="R169" s="1143"/>
      <c r="S169" s="1143"/>
      <c r="T169" s="1143"/>
      <c r="U169" s="1143"/>
      <c r="V169" s="1143"/>
      <c r="W169" s="1145"/>
    </row>
    <row r="170" spans="1:23" customFormat="1" ht="16.5" customHeight="1">
      <c r="A170" s="134" t="s">
        <v>160</v>
      </c>
      <c r="B170" s="135">
        <v>20</v>
      </c>
      <c r="C170" s="136">
        <v>46154</v>
      </c>
      <c r="D170" s="137" t="s">
        <v>216</v>
      </c>
      <c r="E170" s="701" t="s">
        <v>221</v>
      </c>
      <c r="F170" s="701" t="s">
        <v>223</v>
      </c>
      <c r="G170" s="701" t="s">
        <v>36</v>
      </c>
      <c r="H170" s="139">
        <v>5366543</v>
      </c>
      <c r="I170" s="701" t="s">
        <v>644</v>
      </c>
      <c r="J170" s="701">
        <v>2</v>
      </c>
      <c r="K170" s="1143"/>
      <c r="L170" s="1143"/>
      <c r="M170" s="1143"/>
      <c r="N170" s="1143"/>
      <c r="O170" s="1143"/>
      <c r="P170" s="1143"/>
      <c r="Q170" s="1143"/>
      <c r="R170" s="1143"/>
      <c r="S170" s="1143"/>
      <c r="T170" s="1143"/>
      <c r="U170" s="1143"/>
      <c r="V170" s="1143"/>
      <c r="W170" s="1145"/>
    </row>
    <row r="171" spans="1:23" customFormat="1" ht="16.5" customHeight="1">
      <c r="A171" s="134" t="s">
        <v>160</v>
      </c>
      <c r="B171" s="135">
        <v>20</v>
      </c>
      <c r="C171" s="136">
        <v>46154</v>
      </c>
      <c r="D171" s="137" t="s">
        <v>216</v>
      </c>
      <c r="E171" s="701" t="s">
        <v>221</v>
      </c>
      <c r="F171" s="701" t="s">
        <v>223</v>
      </c>
      <c r="G171" s="701" t="s">
        <v>36</v>
      </c>
      <c r="H171" s="139">
        <v>5366543</v>
      </c>
      <c r="I171" s="701" t="s">
        <v>645</v>
      </c>
      <c r="J171" s="701">
        <v>2</v>
      </c>
      <c r="K171" s="1143"/>
      <c r="L171" s="1143"/>
      <c r="M171" s="1143"/>
      <c r="N171" s="1143"/>
      <c r="O171" s="1143"/>
      <c r="P171" s="1143"/>
      <c r="Q171" s="1143"/>
      <c r="R171" s="1143"/>
      <c r="S171" s="1143"/>
      <c r="T171" s="1143"/>
      <c r="U171" s="1143"/>
      <c r="V171" s="1143"/>
      <c r="W171" s="1145"/>
    </row>
    <row r="172" spans="1:23" customFormat="1" ht="16.5" customHeight="1">
      <c r="A172" s="134" t="s">
        <v>160</v>
      </c>
      <c r="B172" s="135">
        <v>20</v>
      </c>
      <c r="C172" s="136">
        <v>46154</v>
      </c>
      <c r="D172" s="137" t="s">
        <v>216</v>
      </c>
      <c r="E172" s="701" t="s">
        <v>221</v>
      </c>
      <c r="F172" s="701" t="s">
        <v>223</v>
      </c>
      <c r="G172" s="701" t="s">
        <v>28</v>
      </c>
      <c r="H172" s="139">
        <v>5366542</v>
      </c>
      <c r="I172" s="701" t="s">
        <v>646</v>
      </c>
      <c r="J172" s="701">
        <v>4</v>
      </c>
      <c r="K172" s="1143"/>
      <c r="L172" s="1143"/>
      <c r="M172" s="1143"/>
      <c r="N172" s="1143"/>
      <c r="O172" s="1143"/>
      <c r="P172" s="1143"/>
      <c r="Q172" s="1143"/>
      <c r="R172" s="1143"/>
      <c r="S172" s="1143"/>
      <c r="T172" s="1143"/>
      <c r="U172" s="1143"/>
      <c r="V172" s="1143"/>
      <c r="W172" s="1145"/>
    </row>
    <row r="173" spans="1:23" customFormat="1" ht="16.5" customHeight="1">
      <c r="A173" s="134" t="s">
        <v>160</v>
      </c>
      <c r="B173" s="135">
        <v>20</v>
      </c>
      <c r="C173" s="136">
        <v>46154</v>
      </c>
      <c r="D173" s="137" t="s">
        <v>216</v>
      </c>
      <c r="E173" s="701" t="s">
        <v>221</v>
      </c>
      <c r="F173" s="701" t="s">
        <v>223</v>
      </c>
      <c r="G173" s="701" t="s">
        <v>28</v>
      </c>
      <c r="H173" s="139">
        <v>5366542</v>
      </c>
      <c r="I173" s="701" t="s">
        <v>647</v>
      </c>
      <c r="J173" s="701">
        <v>3</v>
      </c>
      <c r="K173" s="1143"/>
      <c r="L173" s="1143"/>
      <c r="M173" s="1143"/>
      <c r="N173" s="1143"/>
      <c r="O173" s="1143"/>
      <c r="P173" s="1143"/>
      <c r="Q173" s="1143"/>
      <c r="R173" s="1143"/>
      <c r="S173" s="1143"/>
      <c r="T173" s="1143"/>
      <c r="U173" s="1143"/>
      <c r="V173" s="1143"/>
      <c r="W173" s="1145"/>
    </row>
    <row r="174" spans="1:23" customFormat="1" ht="16.5" customHeight="1">
      <c r="A174" s="134" t="s">
        <v>160</v>
      </c>
      <c r="B174" s="135">
        <v>20</v>
      </c>
      <c r="C174" s="136">
        <v>46154</v>
      </c>
      <c r="D174" s="137" t="s">
        <v>216</v>
      </c>
      <c r="E174" s="701" t="s">
        <v>221</v>
      </c>
      <c r="F174" s="701" t="s">
        <v>223</v>
      </c>
      <c r="G174" s="701" t="s">
        <v>32</v>
      </c>
      <c r="H174" s="139">
        <v>5366541</v>
      </c>
      <c r="I174" s="701" t="s">
        <v>648</v>
      </c>
      <c r="J174" s="701">
        <v>3</v>
      </c>
      <c r="K174" s="1143"/>
      <c r="L174" s="1143"/>
      <c r="M174" s="1143"/>
      <c r="N174" s="1143"/>
      <c r="O174" s="1143"/>
      <c r="P174" s="1143"/>
      <c r="Q174" s="1143"/>
      <c r="R174" s="1143"/>
      <c r="S174" s="1143"/>
      <c r="T174" s="1143"/>
      <c r="U174" s="1143"/>
      <c r="V174" s="1143"/>
      <c r="W174" s="1145"/>
    </row>
    <row r="175" spans="1:23" customFormat="1" ht="16.5" customHeight="1">
      <c r="A175" s="134" t="s">
        <v>160</v>
      </c>
      <c r="B175" s="135">
        <v>20</v>
      </c>
      <c r="C175" s="136">
        <v>46154</v>
      </c>
      <c r="D175" s="137" t="s">
        <v>216</v>
      </c>
      <c r="E175" s="701" t="s">
        <v>221</v>
      </c>
      <c r="F175" s="701" t="s">
        <v>223</v>
      </c>
      <c r="G175" s="701" t="s">
        <v>32</v>
      </c>
      <c r="H175" s="139">
        <v>5366541</v>
      </c>
      <c r="I175" s="701" t="s">
        <v>649</v>
      </c>
      <c r="J175" s="701">
        <v>3</v>
      </c>
      <c r="K175" s="1143"/>
      <c r="L175" s="1143"/>
      <c r="M175" s="1143"/>
      <c r="N175" s="1143"/>
      <c r="O175" s="1143"/>
      <c r="P175" s="1143"/>
      <c r="Q175" s="1143"/>
      <c r="R175" s="1143"/>
      <c r="S175" s="1143"/>
      <c r="T175" s="1143"/>
      <c r="U175" s="1143"/>
      <c r="V175" s="1143"/>
      <c r="W175" s="1145"/>
    </row>
    <row r="176" spans="1:23" customFormat="1" ht="16.5" customHeight="1">
      <c r="A176" s="134" t="s">
        <v>160</v>
      </c>
      <c r="B176" s="135">
        <v>20</v>
      </c>
      <c r="C176" s="136">
        <v>46154</v>
      </c>
      <c r="D176" s="137" t="s">
        <v>216</v>
      </c>
      <c r="E176" s="701" t="s">
        <v>221</v>
      </c>
      <c r="F176" s="701" t="s">
        <v>223</v>
      </c>
      <c r="G176" s="701" t="s">
        <v>63</v>
      </c>
      <c r="H176" s="139">
        <v>5366539</v>
      </c>
      <c r="I176" s="701" t="s">
        <v>650</v>
      </c>
      <c r="J176" s="701">
        <v>1</v>
      </c>
      <c r="K176" s="1143"/>
      <c r="L176" s="1143"/>
      <c r="M176" s="1143"/>
      <c r="N176" s="1143"/>
      <c r="O176" s="1143"/>
      <c r="P176" s="1143"/>
      <c r="Q176" s="1143"/>
      <c r="R176" s="1143"/>
      <c r="S176" s="1143"/>
      <c r="T176" s="1143"/>
      <c r="U176" s="1143"/>
      <c r="V176" s="1143"/>
      <c r="W176" s="1145"/>
    </row>
    <row r="177" spans="1:23" customFormat="1" ht="16.5" customHeight="1" thickBot="1">
      <c r="A177" s="116" t="s">
        <v>160</v>
      </c>
      <c r="B177" s="141">
        <v>20</v>
      </c>
      <c r="C177" s="142">
        <v>46154</v>
      </c>
      <c r="D177" s="143" t="s">
        <v>216</v>
      </c>
      <c r="E177" s="702" t="s">
        <v>221</v>
      </c>
      <c r="F177" s="702" t="s">
        <v>223</v>
      </c>
      <c r="G177" s="702" t="s">
        <v>63</v>
      </c>
      <c r="H177" s="145">
        <v>5366539</v>
      </c>
      <c r="I177" s="702" t="s">
        <v>651</v>
      </c>
      <c r="J177" s="702">
        <v>1</v>
      </c>
      <c r="K177" s="1156"/>
      <c r="L177" s="1156"/>
      <c r="M177" s="1156"/>
      <c r="N177" s="1156"/>
      <c r="O177" s="1156"/>
      <c r="P177" s="1156"/>
      <c r="Q177" s="1156"/>
      <c r="R177" s="1156"/>
      <c r="S177" s="1156"/>
      <c r="T177" s="1156"/>
      <c r="U177" s="1156"/>
      <c r="V177" s="1156"/>
      <c r="W177" s="1158"/>
    </row>
    <row r="178" spans="1:23" customFormat="1" ht="16.5" customHeight="1">
      <c r="A178" s="63" t="s">
        <v>160</v>
      </c>
      <c r="B178" s="149">
        <v>20</v>
      </c>
      <c r="C178" s="150">
        <v>46157</v>
      </c>
      <c r="D178" s="151" t="s">
        <v>136</v>
      </c>
      <c r="E178" s="725" t="s">
        <v>173</v>
      </c>
      <c r="F178" s="725" t="s">
        <v>225</v>
      </c>
      <c r="G178" s="725" t="s">
        <v>63</v>
      </c>
      <c r="H178" s="153">
        <v>5285942</v>
      </c>
      <c r="I178" s="725">
        <v>4524296078</v>
      </c>
      <c r="J178" s="725">
        <v>1</v>
      </c>
      <c r="K178" s="1209">
        <v>1</v>
      </c>
      <c r="L178" s="1209"/>
      <c r="M178" s="1209">
        <v>0</v>
      </c>
      <c r="N178" s="1209" t="s">
        <v>149</v>
      </c>
      <c r="O178" s="1209"/>
      <c r="P178" s="1209"/>
      <c r="Q178" s="1209"/>
      <c r="R178" s="1209"/>
      <c r="S178" s="1209"/>
      <c r="T178" s="1209"/>
      <c r="U178" s="1209"/>
      <c r="V178" s="1209"/>
      <c r="W178" s="1301"/>
    </row>
    <row r="179" spans="1:23" customFormat="1" ht="16.5" customHeight="1" thickBot="1">
      <c r="A179" s="116" t="s">
        <v>160</v>
      </c>
      <c r="B179" s="141">
        <v>20</v>
      </c>
      <c r="C179" s="142">
        <v>46157</v>
      </c>
      <c r="D179" s="143" t="s">
        <v>136</v>
      </c>
      <c r="E179" s="722" t="s">
        <v>173</v>
      </c>
      <c r="F179" s="722" t="s">
        <v>225</v>
      </c>
      <c r="G179" s="722" t="s">
        <v>63</v>
      </c>
      <c r="H179" s="145">
        <v>5285942</v>
      </c>
      <c r="I179" s="722">
        <v>4524317373</v>
      </c>
      <c r="J179" s="722">
        <v>2</v>
      </c>
      <c r="K179" s="1147"/>
      <c r="L179" s="1147"/>
      <c r="M179" s="1147"/>
      <c r="N179" s="1147"/>
      <c r="O179" s="1147"/>
      <c r="P179" s="1147"/>
      <c r="Q179" s="1147"/>
      <c r="R179" s="1147"/>
      <c r="S179" s="1147"/>
      <c r="T179" s="1147"/>
      <c r="U179" s="1147"/>
      <c r="V179" s="1147"/>
      <c r="W179" s="1149"/>
    </row>
    <row r="180" spans="1:23" customFormat="1" ht="16.5" customHeight="1">
      <c r="A180" s="63" t="s">
        <v>160</v>
      </c>
      <c r="B180" s="64">
        <v>20</v>
      </c>
      <c r="C180" s="65">
        <v>46158</v>
      </c>
      <c r="D180" s="66" t="s">
        <v>143</v>
      </c>
      <c r="E180" s="728" t="s">
        <v>182</v>
      </c>
      <c r="F180" s="728" t="s">
        <v>181</v>
      </c>
      <c r="G180" s="728" t="s">
        <v>36</v>
      </c>
      <c r="H180" s="163">
        <v>4561832</v>
      </c>
      <c r="I180" s="728">
        <v>4524021901</v>
      </c>
      <c r="J180" s="728">
        <v>1</v>
      </c>
      <c r="K180" s="728">
        <v>1</v>
      </c>
      <c r="L180" s="728"/>
      <c r="M180" s="728">
        <v>0</v>
      </c>
      <c r="N180" s="728" t="s">
        <v>149</v>
      </c>
      <c r="O180" s="728"/>
      <c r="P180" s="728"/>
      <c r="Q180" s="728"/>
      <c r="R180" s="728"/>
      <c r="S180" s="728"/>
      <c r="T180" s="728"/>
      <c r="U180" s="728"/>
      <c r="V180" s="728"/>
      <c r="W180" s="731"/>
    </row>
    <row r="181" spans="1:23" customFormat="1" ht="16.5" customHeight="1">
      <c r="A181" s="134" t="s">
        <v>160</v>
      </c>
      <c r="B181" s="135">
        <v>20</v>
      </c>
      <c r="C181" s="136">
        <v>46158</v>
      </c>
      <c r="D181" s="137" t="s">
        <v>136</v>
      </c>
      <c r="E181" s="729" t="s">
        <v>242</v>
      </c>
      <c r="F181" s="729" t="s">
        <v>249</v>
      </c>
      <c r="G181" s="729" t="s">
        <v>32</v>
      </c>
      <c r="H181" s="139">
        <v>5491595</v>
      </c>
      <c r="I181" s="729">
        <v>4524069638</v>
      </c>
      <c r="J181" s="729">
        <v>2</v>
      </c>
      <c r="K181" s="1338">
        <v>1</v>
      </c>
      <c r="L181" s="1338"/>
      <c r="M181" s="1338">
        <v>0</v>
      </c>
      <c r="N181" s="1338" t="s">
        <v>149</v>
      </c>
      <c r="O181" s="1338"/>
      <c r="P181" s="1338"/>
      <c r="Q181" s="1338"/>
      <c r="R181" s="1338"/>
      <c r="S181" s="1338"/>
      <c r="T181" s="1338"/>
      <c r="U181" s="1338"/>
      <c r="V181" s="1338"/>
      <c r="W181" s="1340"/>
    </row>
    <row r="182" spans="1:23" customFormat="1" ht="16.5" customHeight="1">
      <c r="A182" s="134" t="s">
        <v>160</v>
      </c>
      <c r="B182" s="135">
        <v>20</v>
      </c>
      <c r="C182" s="136">
        <v>46158</v>
      </c>
      <c r="D182" s="137" t="s">
        <v>136</v>
      </c>
      <c r="E182" s="729" t="s">
        <v>242</v>
      </c>
      <c r="F182" s="729" t="s">
        <v>249</v>
      </c>
      <c r="G182" s="729" t="s">
        <v>28</v>
      </c>
      <c r="H182" s="139">
        <v>5502851</v>
      </c>
      <c r="I182" s="729">
        <v>4524069638</v>
      </c>
      <c r="J182" s="729">
        <v>2</v>
      </c>
      <c r="K182" s="1150"/>
      <c r="L182" s="1150"/>
      <c r="M182" s="1150"/>
      <c r="N182" s="1150"/>
      <c r="O182" s="1150"/>
      <c r="P182" s="1150"/>
      <c r="Q182" s="1150"/>
      <c r="R182" s="1150"/>
      <c r="S182" s="1150"/>
      <c r="T182" s="1150"/>
      <c r="U182" s="1150"/>
      <c r="V182" s="1150"/>
      <c r="W182" s="1151"/>
    </row>
    <row r="183" spans="1:23" customFormat="1" ht="16.5" customHeight="1">
      <c r="A183" s="134" t="s">
        <v>160</v>
      </c>
      <c r="B183" s="135">
        <v>20</v>
      </c>
      <c r="C183" s="136">
        <v>46158</v>
      </c>
      <c r="D183" s="137" t="s">
        <v>136</v>
      </c>
      <c r="E183" s="729" t="s">
        <v>242</v>
      </c>
      <c r="F183" s="729" t="s">
        <v>249</v>
      </c>
      <c r="G183" s="729" t="s">
        <v>36</v>
      </c>
      <c r="H183" s="139">
        <v>5491596</v>
      </c>
      <c r="I183" s="729">
        <v>4524069638</v>
      </c>
      <c r="J183" s="729">
        <v>2</v>
      </c>
      <c r="K183" s="1150"/>
      <c r="L183" s="1150"/>
      <c r="M183" s="1150"/>
      <c r="N183" s="1150"/>
      <c r="O183" s="1150"/>
      <c r="P183" s="1150"/>
      <c r="Q183" s="1150"/>
      <c r="R183" s="1150"/>
      <c r="S183" s="1150"/>
      <c r="T183" s="1150"/>
      <c r="U183" s="1150"/>
      <c r="V183" s="1150"/>
      <c r="W183" s="1151"/>
    </row>
    <row r="184" spans="1:23" customFormat="1" ht="16.5" customHeight="1">
      <c r="A184" s="134" t="s">
        <v>160</v>
      </c>
      <c r="B184" s="135">
        <v>20</v>
      </c>
      <c r="C184" s="136">
        <v>46158</v>
      </c>
      <c r="D184" s="137" t="s">
        <v>136</v>
      </c>
      <c r="E184" s="729" t="s">
        <v>242</v>
      </c>
      <c r="F184" s="729" t="s">
        <v>240</v>
      </c>
      <c r="G184" s="729" t="s">
        <v>32</v>
      </c>
      <c r="H184" s="139">
        <v>5366927</v>
      </c>
      <c r="I184" s="729" t="s">
        <v>679</v>
      </c>
      <c r="J184" s="729">
        <v>5</v>
      </c>
      <c r="K184" s="1150"/>
      <c r="L184" s="1150"/>
      <c r="M184" s="1150"/>
      <c r="N184" s="1150"/>
      <c r="O184" s="1150"/>
      <c r="P184" s="1150"/>
      <c r="Q184" s="1150"/>
      <c r="R184" s="1150"/>
      <c r="S184" s="1150"/>
      <c r="T184" s="1150"/>
      <c r="U184" s="1150"/>
      <c r="V184" s="1150"/>
      <c r="W184" s="1151"/>
    </row>
    <row r="185" spans="1:23" customFormat="1" ht="16.5" customHeight="1">
      <c r="A185" s="134" t="s">
        <v>160</v>
      </c>
      <c r="B185" s="135">
        <v>20</v>
      </c>
      <c r="C185" s="136">
        <v>46158</v>
      </c>
      <c r="D185" s="137" t="s">
        <v>136</v>
      </c>
      <c r="E185" s="729" t="s">
        <v>242</v>
      </c>
      <c r="F185" s="729" t="s">
        <v>240</v>
      </c>
      <c r="G185" s="729" t="s">
        <v>28</v>
      </c>
      <c r="H185" s="139">
        <v>5366928</v>
      </c>
      <c r="I185" s="729" t="s">
        <v>680</v>
      </c>
      <c r="J185" s="729">
        <v>6</v>
      </c>
      <c r="K185" s="1150"/>
      <c r="L185" s="1150"/>
      <c r="M185" s="1150"/>
      <c r="N185" s="1150"/>
      <c r="O185" s="1150"/>
      <c r="P185" s="1150"/>
      <c r="Q185" s="1150"/>
      <c r="R185" s="1150"/>
      <c r="S185" s="1150"/>
      <c r="T185" s="1150"/>
      <c r="U185" s="1150"/>
      <c r="V185" s="1150"/>
      <c r="W185" s="1151"/>
    </row>
    <row r="186" spans="1:23" customFormat="1" ht="16.5" customHeight="1" thickBot="1">
      <c r="A186" s="743" t="s">
        <v>160</v>
      </c>
      <c r="B186" s="744">
        <v>20</v>
      </c>
      <c r="C186" s="745">
        <v>46158</v>
      </c>
      <c r="D186" s="746" t="s">
        <v>136</v>
      </c>
      <c r="E186" s="747" t="s">
        <v>242</v>
      </c>
      <c r="F186" s="747" t="s">
        <v>240</v>
      </c>
      <c r="G186" s="747" t="s">
        <v>36</v>
      </c>
      <c r="H186" s="748">
        <v>5366929</v>
      </c>
      <c r="I186" s="747" t="s">
        <v>681</v>
      </c>
      <c r="J186" s="747">
        <v>2</v>
      </c>
      <c r="K186" s="1150"/>
      <c r="L186" s="1150"/>
      <c r="M186" s="1150"/>
      <c r="N186" s="1150"/>
      <c r="O186" s="1150"/>
      <c r="P186" s="1150"/>
      <c r="Q186" s="1150"/>
      <c r="R186" s="1150"/>
      <c r="S186" s="1150"/>
      <c r="T186" s="1150"/>
      <c r="U186" s="1150"/>
      <c r="V186" s="1150"/>
      <c r="W186" s="1151"/>
    </row>
    <row r="187" spans="1:23" customFormat="1" ht="16.5" customHeight="1">
      <c r="A187" s="63" t="s">
        <v>160</v>
      </c>
      <c r="B187" s="64">
        <v>21</v>
      </c>
      <c r="C187" s="65">
        <v>46160</v>
      </c>
      <c r="D187" s="66" t="s">
        <v>136</v>
      </c>
      <c r="E187" s="728" t="s">
        <v>173</v>
      </c>
      <c r="F187" s="728" t="s">
        <v>239</v>
      </c>
      <c r="G187" s="728" t="s">
        <v>32</v>
      </c>
      <c r="H187" s="163">
        <v>5448966</v>
      </c>
      <c r="I187" s="728" t="s">
        <v>682</v>
      </c>
      <c r="J187" s="728">
        <v>4</v>
      </c>
      <c r="K187" s="1194">
        <v>1</v>
      </c>
      <c r="L187" s="1194"/>
      <c r="M187" s="1194">
        <v>0</v>
      </c>
      <c r="N187" s="1194" t="s">
        <v>149</v>
      </c>
      <c r="O187" s="1194"/>
      <c r="P187" s="1194"/>
      <c r="Q187" s="1194"/>
      <c r="R187" s="1194"/>
      <c r="S187" s="1194"/>
      <c r="T187" s="1194"/>
      <c r="U187" s="1194"/>
      <c r="V187" s="1194"/>
      <c r="W187" s="1195"/>
    </row>
    <row r="188" spans="1:23" customFormat="1" ht="16.5" customHeight="1">
      <c r="A188" s="134" t="s">
        <v>160</v>
      </c>
      <c r="B188" s="135">
        <v>21</v>
      </c>
      <c r="C188" s="136">
        <v>46160</v>
      </c>
      <c r="D188" s="137" t="s">
        <v>136</v>
      </c>
      <c r="E188" s="729" t="s">
        <v>173</v>
      </c>
      <c r="F188" s="729" t="s">
        <v>239</v>
      </c>
      <c r="G188" s="729" t="s">
        <v>28</v>
      </c>
      <c r="H188" s="139">
        <v>5448967</v>
      </c>
      <c r="I188" s="729" t="s">
        <v>683</v>
      </c>
      <c r="J188" s="729">
        <v>4</v>
      </c>
      <c r="K188" s="1150"/>
      <c r="L188" s="1150"/>
      <c r="M188" s="1150"/>
      <c r="N188" s="1150"/>
      <c r="O188" s="1150"/>
      <c r="P188" s="1150"/>
      <c r="Q188" s="1150"/>
      <c r="R188" s="1150"/>
      <c r="S188" s="1150"/>
      <c r="T188" s="1150"/>
      <c r="U188" s="1150"/>
      <c r="V188" s="1150"/>
      <c r="W188" s="1151"/>
    </row>
    <row r="189" spans="1:23" customFormat="1" ht="16.5" customHeight="1">
      <c r="A189" s="134" t="s">
        <v>160</v>
      </c>
      <c r="B189" s="135">
        <v>21</v>
      </c>
      <c r="C189" s="136">
        <v>46160</v>
      </c>
      <c r="D189" s="137" t="s">
        <v>136</v>
      </c>
      <c r="E189" s="729" t="s">
        <v>173</v>
      </c>
      <c r="F189" s="729" t="s">
        <v>239</v>
      </c>
      <c r="G189" s="729" t="s">
        <v>36</v>
      </c>
      <c r="H189" s="139">
        <v>5448968</v>
      </c>
      <c r="I189" s="729" t="s">
        <v>684</v>
      </c>
      <c r="J189" s="729">
        <v>3</v>
      </c>
      <c r="K189" s="1150"/>
      <c r="L189" s="1150"/>
      <c r="M189" s="1150"/>
      <c r="N189" s="1150"/>
      <c r="O189" s="1150"/>
      <c r="P189" s="1150"/>
      <c r="Q189" s="1150"/>
      <c r="R189" s="1150"/>
      <c r="S189" s="1150"/>
      <c r="T189" s="1150"/>
      <c r="U189" s="1150"/>
      <c r="V189" s="1150"/>
      <c r="W189" s="1151"/>
    </row>
    <row r="190" spans="1:23" customFormat="1" ht="16.5" customHeight="1">
      <c r="A190" s="134" t="s">
        <v>160</v>
      </c>
      <c r="B190" s="135">
        <v>21</v>
      </c>
      <c r="C190" s="136">
        <v>46160</v>
      </c>
      <c r="D190" s="137" t="s">
        <v>136</v>
      </c>
      <c r="E190" s="729" t="s">
        <v>173</v>
      </c>
      <c r="F190" s="729" t="s">
        <v>243</v>
      </c>
      <c r="G190" s="729" t="s">
        <v>63</v>
      </c>
      <c r="H190" s="139">
        <v>5491591</v>
      </c>
      <c r="I190" s="729">
        <v>1110171430</v>
      </c>
      <c r="J190" s="729">
        <v>1</v>
      </c>
      <c r="K190" s="1150"/>
      <c r="L190" s="1150"/>
      <c r="M190" s="1150"/>
      <c r="N190" s="1150"/>
      <c r="O190" s="1150"/>
      <c r="P190" s="1150"/>
      <c r="Q190" s="1150"/>
      <c r="R190" s="1150"/>
      <c r="S190" s="1150"/>
      <c r="T190" s="1150"/>
      <c r="U190" s="1150"/>
      <c r="V190" s="1150"/>
      <c r="W190" s="1151"/>
    </row>
    <row r="191" spans="1:23" customFormat="1" ht="16.5" customHeight="1">
      <c r="A191" s="134" t="s">
        <v>160</v>
      </c>
      <c r="B191" s="135">
        <v>21</v>
      </c>
      <c r="C191" s="136">
        <v>46160</v>
      </c>
      <c r="D191" s="137" t="s">
        <v>136</v>
      </c>
      <c r="E191" s="729" t="s">
        <v>173</v>
      </c>
      <c r="F191" s="729" t="s">
        <v>243</v>
      </c>
      <c r="G191" s="729" t="s">
        <v>28</v>
      </c>
      <c r="H191" s="139">
        <v>5503502</v>
      </c>
      <c r="I191" s="729">
        <v>1110171430</v>
      </c>
      <c r="J191" s="729">
        <v>2</v>
      </c>
      <c r="K191" s="1150"/>
      <c r="L191" s="1150"/>
      <c r="M191" s="1150"/>
      <c r="N191" s="1150"/>
      <c r="O191" s="1150"/>
      <c r="P191" s="1150"/>
      <c r="Q191" s="1150"/>
      <c r="R191" s="1150"/>
      <c r="S191" s="1150"/>
      <c r="T191" s="1150"/>
      <c r="U191" s="1150"/>
      <c r="V191" s="1150"/>
      <c r="W191" s="1151"/>
    </row>
    <row r="192" spans="1:23" customFormat="1" ht="16.5" customHeight="1" thickBot="1">
      <c r="A192" s="116" t="s">
        <v>160</v>
      </c>
      <c r="B192" s="141">
        <v>21</v>
      </c>
      <c r="C192" s="142">
        <v>46160</v>
      </c>
      <c r="D192" s="143" t="s">
        <v>136</v>
      </c>
      <c r="E192" s="730" t="s">
        <v>173</v>
      </c>
      <c r="F192" s="730" t="s">
        <v>243</v>
      </c>
      <c r="G192" s="730" t="s">
        <v>36</v>
      </c>
      <c r="H192" s="145">
        <v>5491592</v>
      </c>
      <c r="I192" s="730">
        <v>1110171430</v>
      </c>
      <c r="J192" s="730">
        <v>2</v>
      </c>
      <c r="K192" s="1147"/>
      <c r="L192" s="1147"/>
      <c r="M192" s="1147"/>
      <c r="N192" s="1147"/>
      <c r="O192" s="1147"/>
      <c r="P192" s="1147"/>
      <c r="Q192" s="1147"/>
      <c r="R192" s="1147"/>
      <c r="S192" s="1147"/>
      <c r="T192" s="1147"/>
      <c r="U192" s="1147"/>
      <c r="V192" s="1147"/>
      <c r="W192" s="1149"/>
    </row>
    <row r="193" spans="1:23" customFormat="1" ht="16.5" customHeight="1">
      <c r="A193" s="63" t="s">
        <v>160</v>
      </c>
      <c r="B193" s="64">
        <v>21</v>
      </c>
      <c r="C193" s="65">
        <v>46161</v>
      </c>
      <c r="D193" s="66" t="s">
        <v>136</v>
      </c>
      <c r="E193" s="751" t="s">
        <v>178</v>
      </c>
      <c r="F193" s="751" t="s">
        <v>508</v>
      </c>
      <c r="G193" s="751" t="s">
        <v>36</v>
      </c>
      <c r="H193" s="163">
        <v>5513547</v>
      </c>
      <c r="I193" s="751" t="s">
        <v>692</v>
      </c>
      <c r="J193" s="751">
        <v>11</v>
      </c>
      <c r="K193" s="1194">
        <v>1</v>
      </c>
      <c r="L193" s="1194"/>
      <c r="M193" s="1194">
        <v>0</v>
      </c>
      <c r="N193" s="1194" t="s">
        <v>149</v>
      </c>
      <c r="O193" s="1194"/>
      <c r="P193" s="1194"/>
      <c r="Q193" s="1194"/>
      <c r="R193" s="1194"/>
      <c r="S193" s="1194"/>
      <c r="T193" s="1194"/>
      <c r="U193" s="1194"/>
      <c r="V193" s="1194"/>
      <c r="W193" s="1195"/>
    </row>
    <row r="194" spans="1:23" customFormat="1" ht="16.5" customHeight="1">
      <c r="A194" s="134" t="s">
        <v>160</v>
      </c>
      <c r="B194" s="135">
        <v>21</v>
      </c>
      <c r="C194" s="136">
        <v>46161</v>
      </c>
      <c r="D194" s="137" t="s">
        <v>136</v>
      </c>
      <c r="E194" s="752" t="s">
        <v>178</v>
      </c>
      <c r="F194" s="752" t="s">
        <v>508</v>
      </c>
      <c r="G194" s="752" t="s">
        <v>28</v>
      </c>
      <c r="H194" s="139">
        <v>5513546</v>
      </c>
      <c r="I194" s="752" t="s">
        <v>693</v>
      </c>
      <c r="J194" s="752">
        <v>21</v>
      </c>
      <c r="K194" s="1150"/>
      <c r="L194" s="1150"/>
      <c r="M194" s="1150"/>
      <c r="N194" s="1150"/>
      <c r="O194" s="1150"/>
      <c r="P194" s="1150"/>
      <c r="Q194" s="1150"/>
      <c r="R194" s="1150"/>
      <c r="S194" s="1150"/>
      <c r="T194" s="1150"/>
      <c r="U194" s="1150"/>
      <c r="V194" s="1150"/>
      <c r="W194" s="1151"/>
    </row>
    <row r="195" spans="1:23" customFormat="1" ht="16.5" customHeight="1">
      <c r="A195" s="134" t="s">
        <v>160</v>
      </c>
      <c r="B195" s="135">
        <v>21</v>
      </c>
      <c r="C195" s="136">
        <v>46161</v>
      </c>
      <c r="D195" s="137" t="s">
        <v>136</v>
      </c>
      <c r="E195" s="752" t="s">
        <v>178</v>
      </c>
      <c r="F195" s="752" t="s">
        <v>508</v>
      </c>
      <c r="G195" s="752" t="s">
        <v>32</v>
      </c>
      <c r="H195" s="139">
        <v>5513545</v>
      </c>
      <c r="I195" s="752" t="s">
        <v>694</v>
      </c>
      <c r="J195" s="752">
        <v>21</v>
      </c>
      <c r="K195" s="1150"/>
      <c r="L195" s="1150"/>
      <c r="M195" s="1150"/>
      <c r="N195" s="1150"/>
      <c r="O195" s="1150"/>
      <c r="P195" s="1150"/>
      <c r="Q195" s="1150"/>
      <c r="R195" s="1150"/>
      <c r="S195" s="1150"/>
      <c r="T195" s="1150"/>
      <c r="U195" s="1150"/>
      <c r="V195" s="1150"/>
      <c r="W195" s="1151"/>
    </row>
    <row r="196" spans="1:23" customFormat="1" ht="16.5" customHeight="1">
      <c r="A196" s="134" t="s">
        <v>160</v>
      </c>
      <c r="B196" s="135">
        <v>21</v>
      </c>
      <c r="C196" s="136">
        <v>46161</v>
      </c>
      <c r="D196" s="137" t="s">
        <v>136</v>
      </c>
      <c r="E196" s="752" t="s">
        <v>178</v>
      </c>
      <c r="F196" s="752" t="s">
        <v>508</v>
      </c>
      <c r="G196" s="752" t="s">
        <v>52</v>
      </c>
      <c r="H196" s="139">
        <v>5513548</v>
      </c>
      <c r="I196" s="752" t="s">
        <v>695</v>
      </c>
      <c r="J196" s="752">
        <v>3</v>
      </c>
      <c r="K196" s="1150"/>
      <c r="L196" s="1150"/>
      <c r="M196" s="1150"/>
      <c r="N196" s="1150"/>
      <c r="O196" s="1150"/>
      <c r="P196" s="1150"/>
      <c r="Q196" s="1150"/>
      <c r="R196" s="1150"/>
      <c r="S196" s="1150"/>
      <c r="T196" s="1150"/>
      <c r="U196" s="1150"/>
      <c r="V196" s="1150"/>
      <c r="W196" s="1151"/>
    </row>
    <row r="197" spans="1:23" customFormat="1" ht="16.5" customHeight="1">
      <c r="A197" s="134" t="s">
        <v>160</v>
      </c>
      <c r="B197" s="135">
        <v>21</v>
      </c>
      <c r="C197" s="136">
        <v>46161</v>
      </c>
      <c r="D197" s="137" t="s">
        <v>136</v>
      </c>
      <c r="E197" s="752" t="s">
        <v>178</v>
      </c>
      <c r="F197" s="752" t="s">
        <v>508</v>
      </c>
      <c r="G197" s="752" t="s">
        <v>36</v>
      </c>
      <c r="H197" s="139">
        <v>5513547</v>
      </c>
      <c r="I197" s="752" t="s">
        <v>696</v>
      </c>
      <c r="J197" s="752">
        <v>4</v>
      </c>
      <c r="K197" s="1150"/>
      <c r="L197" s="1150"/>
      <c r="M197" s="1150"/>
      <c r="N197" s="1150"/>
      <c r="O197" s="1150"/>
      <c r="P197" s="1150"/>
      <c r="Q197" s="1150"/>
      <c r="R197" s="1150"/>
      <c r="S197" s="1150"/>
      <c r="T197" s="1150"/>
      <c r="U197" s="1150"/>
      <c r="V197" s="1150"/>
      <c r="W197" s="1151"/>
    </row>
    <row r="198" spans="1:23" customFormat="1" ht="16.5" customHeight="1">
      <c r="A198" s="134" t="s">
        <v>160</v>
      </c>
      <c r="B198" s="135">
        <v>21</v>
      </c>
      <c r="C198" s="136">
        <v>46161</v>
      </c>
      <c r="D198" s="137" t="s">
        <v>136</v>
      </c>
      <c r="E198" s="752" t="s">
        <v>178</v>
      </c>
      <c r="F198" s="752" t="s">
        <v>508</v>
      </c>
      <c r="G198" s="752" t="s">
        <v>36</v>
      </c>
      <c r="H198" s="139">
        <v>5513547</v>
      </c>
      <c r="I198" s="752">
        <v>4524067137</v>
      </c>
      <c r="J198" s="752">
        <v>1</v>
      </c>
      <c r="K198" s="1150"/>
      <c r="L198" s="1150"/>
      <c r="M198" s="1150"/>
      <c r="N198" s="1150"/>
      <c r="O198" s="1150"/>
      <c r="P198" s="1150"/>
      <c r="Q198" s="1150"/>
      <c r="R198" s="1150"/>
      <c r="S198" s="1150"/>
      <c r="T198" s="1150"/>
      <c r="U198" s="1150"/>
      <c r="V198" s="1150"/>
      <c r="W198" s="1151"/>
    </row>
    <row r="199" spans="1:23" customFormat="1" ht="16.5" customHeight="1" thickBot="1">
      <c r="A199" s="779" t="s">
        <v>160</v>
      </c>
      <c r="B199" s="780">
        <v>21</v>
      </c>
      <c r="C199" s="781">
        <v>46161</v>
      </c>
      <c r="D199" s="782" t="s">
        <v>136</v>
      </c>
      <c r="E199" s="783" t="s">
        <v>178</v>
      </c>
      <c r="F199" s="783" t="s">
        <v>508</v>
      </c>
      <c r="G199" s="783" t="s">
        <v>32</v>
      </c>
      <c r="H199" s="784">
        <v>5513545</v>
      </c>
      <c r="I199" s="783" t="s">
        <v>697</v>
      </c>
      <c r="J199" s="783">
        <v>3</v>
      </c>
      <c r="K199" s="1150"/>
      <c r="L199" s="1150"/>
      <c r="M199" s="1150"/>
      <c r="N199" s="1150"/>
      <c r="O199" s="1150"/>
      <c r="P199" s="1150"/>
      <c r="Q199" s="1150"/>
      <c r="R199" s="1150"/>
      <c r="S199" s="1150"/>
      <c r="T199" s="1150"/>
      <c r="U199" s="1150"/>
      <c r="V199" s="1150"/>
      <c r="W199" s="1151"/>
    </row>
    <row r="200" spans="1:23" customFormat="1" ht="16.5" customHeight="1">
      <c r="A200" s="63" t="s">
        <v>160</v>
      </c>
      <c r="B200" s="149">
        <v>21</v>
      </c>
      <c r="C200" s="150">
        <v>46165</v>
      </c>
      <c r="D200" s="151" t="s">
        <v>253</v>
      </c>
      <c r="E200" s="765" t="s">
        <v>259</v>
      </c>
      <c r="F200" s="765" t="s">
        <v>261</v>
      </c>
      <c r="G200" s="765">
        <v>700</v>
      </c>
      <c r="H200" s="153">
        <v>5747049</v>
      </c>
      <c r="I200" s="785" t="s">
        <v>725</v>
      </c>
      <c r="J200" s="765">
        <v>30</v>
      </c>
      <c r="K200" s="765">
        <v>5</v>
      </c>
      <c r="L200" s="765"/>
      <c r="M200" s="765">
        <v>0</v>
      </c>
      <c r="N200" s="765" t="s">
        <v>149</v>
      </c>
      <c r="O200" s="765"/>
      <c r="P200" s="765"/>
      <c r="Q200" s="765"/>
      <c r="R200" s="765"/>
      <c r="S200" s="765"/>
      <c r="T200" s="765"/>
      <c r="U200" s="765"/>
      <c r="V200" s="765"/>
      <c r="W200" s="767"/>
    </row>
    <row r="201" spans="1:23" customFormat="1" ht="16.5" customHeight="1">
      <c r="A201" s="134" t="s">
        <v>160</v>
      </c>
      <c r="B201" s="135">
        <v>21</v>
      </c>
      <c r="C201" s="136">
        <v>46165</v>
      </c>
      <c r="D201" s="137" t="s">
        <v>253</v>
      </c>
      <c r="E201" s="768" t="s">
        <v>259</v>
      </c>
      <c r="F201" s="768" t="s">
        <v>260</v>
      </c>
      <c r="G201" s="768">
        <v>700</v>
      </c>
      <c r="H201" s="139">
        <v>5747048</v>
      </c>
      <c r="I201" s="188" t="s">
        <v>726</v>
      </c>
      <c r="J201" s="768">
        <v>30</v>
      </c>
      <c r="K201" s="768">
        <v>5</v>
      </c>
      <c r="L201" s="768"/>
      <c r="M201" s="768">
        <v>0</v>
      </c>
      <c r="N201" s="768" t="s">
        <v>149</v>
      </c>
      <c r="O201" s="768"/>
      <c r="P201" s="768"/>
      <c r="Q201" s="768"/>
      <c r="R201" s="768"/>
      <c r="S201" s="768"/>
      <c r="T201" s="768"/>
      <c r="U201" s="768"/>
      <c r="V201" s="768"/>
      <c r="W201" s="769"/>
    </row>
    <row r="202" spans="1:23" customFormat="1" ht="16.5" customHeight="1">
      <c r="A202" s="134" t="s">
        <v>160</v>
      </c>
      <c r="B202" s="135">
        <v>21</v>
      </c>
      <c r="C202" s="136">
        <v>46165</v>
      </c>
      <c r="D202" s="137" t="s">
        <v>244</v>
      </c>
      <c r="E202" s="768" t="s">
        <v>245</v>
      </c>
      <c r="F202" s="768" t="s">
        <v>246</v>
      </c>
      <c r="G202" s="768" t="s">
        <v>52</v>
      </c>
      <c r="H202" s="139">
        <v>5683221</v>
      </c>
      <c r="I202" s="768">
        <v>4522310976</v>
      </c>
      <c r="J202" s="768">
        <v>4</v>
      </c>
      <c r="K202" s="1143">
        <v>1</v>
      </c>
      <c r="L202" s="1143"/>
      <c r="M202" s="1143">
        <v>0</v>
      </c>
      <c r="N202" s="1143" t="s">
        <v>149</v>
      </c>
      <c r="O202" s="1143"/>
      <c r="P202" s="1143"/>
      <c r="Q202" s="1143"/>
      <c r="R202" s="1143"/>
      <c r="S202" s="1143"/>
      <c r="T202" s="1143"/>
      <c r="U202" s="1143"/>
      <c r="V202" s="1143"/>
      <c r="W202" s="1145"/>
    </row>
    <row r="203" spans="1:23" customFormat="1" ht="16.5" customHeight="1">
      <c r="A203" s="134" t="s">
        <v>160</v>
      </c>
      <c r="B203" s="135">
        <v>21</v>
      </c>
      <c r="C203" s="136">
        <v>46165</v>
      </c>
      <c r="D203" s="137" t="s">
        <v>244</v>
      </c>
      <c r="E203" s="768" t="s">
        <v>245</v>
      </c>
      <c r="F203" s="768" t="s">
        <v>246</v>
      </c>
      <c r="G203" s="768" t="s">
        <v>36</v>
      </c>
      <c r="H203" s="139">
        <v>4879037</v>
      </c>
      <c r="I203" s="768">
        <v>1110164757</v>
      </c>
      <c r="J203" s="768">
        <v>3</v>
      </c>
      <c r="K203" s="1143"/>
      <c r="L203" s="1143"/>
      <c r="M203" s="1143"/>
      <c r="N203" s="1143"/>
      <c r="O203" s="1143"/>
      <c r="P203" s="1143"/>
      <c r="Q203" s="1143"/>
      <c r="R203" s="1143"/>
      <c r="S203" s="1143"/>
      <c r="T203" s="1143"/>
      <c r="U203" s="1143"/>
      <c r="V203" s="1143"/>
      <c r="W203" s="1145"/>
    </row>
    <row r="204" spans="1:23" customFormat="1" ht="16.5" customHeight="1">
      <c r="A204" s="134" t="s">
        <v>160</v>
      </c>
      <c r="B204" s="135">
        <v>21</v>
      </c>
      <c r="C204" s="136">
        <v>46165</v>
      </c>
      <c r="D204" s="137" t="s">
        <v>244</v>
      </c>
      <c r="E204" s="768" t="s">
        <v>245</v>
      </c>
      <c r="F204" s="768" t="s">
        <v>246</v>
      </c>
      <c r="G204" s="768" t="s">
        <v>36</v>
      </c>
      <c r="H204" s="139">
        <v>4879037</v>
      </c>
      <c r="I204" s="768">
        <v>1110169557</v>
      </c>
      <c r="J204" s="768">
        <v>1</v>
      </c>
      <c r="K204" s="1143"/>
      <c r="L204" s="1143"/>
      <c r="M204" s="1143"/>
      <c r="N204" s="1143"/>
      <c r="O204" s="1143"/>
      <c r="P204" s="1143"/>
      <c r="Q204" s="1143"/>
      <c r="R204" s="1143"/>
      <c r="S204" s="1143"/>
      <c r="T204" s="1143"/>
      <c r="U204" s="1143"/>
      <c r="V204" s="1143"/>
      <c r="W204" s="1145"/>
    </row>
    <row r="205" spans="1:23" customFormat="1" ht="16.5" customHeight="1" thickBot="1">
      <c r="A205" s="116" t="s">
        <v>160</v>
      </c>
      <c r="B205" s="141">
        <v>21</v>
      </c>
      <c r="C205" s="142">
        <v>46165</v>
      </c>
      <c r="D205" s="143" t="s">
        <v>244</v>
      </c>
      <c r="E205" s="766" t="s">
        <v>245</v>
      </c>
      <c r="F205" s="766" t="s">
        <v>246</v>
      </c>
      <c r="G205" s="766" t="s">
        <v>28</v>
      </c>
      <c r="H205" s="145">
        <v>4879036</v>
      </c>
      <c r="I205" s="766">
        <v>1110169557</v>
      </c>
      <c r="J205" s="766">
        <v>3</v>
      </c>
      <c r="K205" s="1156"/>
      <c r="L205" s="1156"/>
      <c r="M205" s="1156"/>
      <c r="N205" s="1156"/>
      <c r="O205" s="1156"/>
      <c r="P205" s="1156"/>
      <c r="Q205" s="1156"/>
      <c r="R205" s="1156"/>
      <c r="S205" s="1156"/>
      <c r="T205" s="1156"/>
      <c r="U205" s="1156"/>
      <c r="V205" s="1156"/>
      <c r="W205" s="1158"/>
    </row>
    <row r="206" spans="1:23" customFormat="1" ht="16.5" customHeight="1">
      <c r="A206" s="63" t="s">
        <v>160</v>
      </c>
      <c r="B206" s="149">
        <v>22</v>
      </c>
      <c r="C206" s="150">
        <v>46167</v>
      </c>
      <c r="D206" s="151" t="s">
        <v>244</v>
      </c>
      <c r="E206" s="778" t="s">
        <v>245</v>
      </c>
      <c r="F206" s="778" t="s">
        <v>246</v>
      </c>
      <c r="G206" s="778" t="s">
        <v>28</v>
      </c>
      <c r="H206" s="153">
        <v>4879036</v>
      </c>
      <c r="I206" s="778">
        <v>1110169557</v>
      </c>
      <c r="J206" s="778">
        <v>5</v>
      </c>
      <c r="K206" s="1198">
        <v>1</v>
      </c>
      <c r="L206" s="1198"/>
      <c r="M206" s="1198">
        <v>0</v>
      </c>
      <c r="N206" s="1198" t="s">
        <v>149</v>
      </c>
      <c r="O206" s="1198"/>
      <c r="P206" s="1198"/>
      <c r="Q206" s="1198"/>
      <c r="R206" s="1198"/>
      <c r="S206" s="1198"/>
      <c r="T206" s="1198"/>
      <c r="U206" s="1198"/>
      <c r="V206" s="1198"/>
      <c r="W206" s="1197"/>
    </row>
    <row r="207" spans="1:23" customFormat="1" ht="16.5" customHeight="1">
      <c r="A207" s="134" t="s">
        <v>160</v>
      </c>
      <c r="B207" s="135">
        <v>22</v>
      </c>
      <c r="C207" s="136">
        <v>46167</v>
      </c>
      <c r="D207" s="137" t="s">
        <v>244</v>
      </c>
      <c r="E207" s="776" t="s">
        <v>245</v>
      </c>
      <c r="F207" s="776" t="s">
        <v>246</v>
      </c>
      <c r="G207" s="776" t="s">
        <v>28</v>
      </c>
      <c r="H207" s="139">
        <v>4879036</v>
      </c>
      <c r="I207" s="776">
        <v>1110169559</v>
      </c>
      <c r="J207" s="776">
        <v>3</v>
      </c>
      <c r="K207" s="1150"/>
      <c r="L207" s="1150"/>
      <c r="M207" s="1150"/>
      <c r="N207" s="1150"/>
      <c r="O207" s="1150"/>
      <c r="P207" s="1150"/>
      <c r="Q207" s="1150"/>
      <c r="R207" s="1150"/>
      <c r="S207" s="1150"/>
      <c r="T207" s="1150"/>
      <c r="U207" s="1150"/>
      <c r="V207" s="1150"/>
      <c r="W207" s="1151"/>
    </row>
    <row r="208" spans="1:23" customFormat="1" ht="16.5" customHeight="1">
      <c r="A208" s="134" t="s">
        <v>160</v>
      </c>
      <c r="B208" s="135">
        <v>22</v>
      </c>
      <c r="C208" s="136">
        <v>46167</v>
      </c>
      <c r="D208" s="137" t="s">
        <v>244</v>
      </c>
      <c r="E208" s="776" t="s">
        <v>245</v>
      </c>
      <c r="F208" s="776" t="s">
        <v>246</v>
      </c>
      <c r="G208" s="776" t="s">
        <v>32</v>
      </c>
      <c r="H208" s="139">
        <v>4879035</v>
      </c>
      <c r="I208" s="776">
        <v>1110164757</v>
      </c>
      <c r="J208" s="776">
        <v>3</v>
      </c>
      <c r="K208" s="1150"/>
      <c r="L208" s="1150"/>
      <c r="M208" s="1150"/>
      <c r="N208" s="1150"/>
      <c r="O208" s="1150"/>
      <c r="P208" s="1150"/>
      <c r="Q208" s="1150"/>
      <c r="R208" s="1150"/>
      <c r="S208" s="1150"/>
      <c r="T208" s="1150"/>
      <c r="U208" s="1150"/>
      <c r="V208" s="1150"/>
      <c r="W208" s="1151"/>
    </row>
    <row r="209" spans="1:23" customFormat="1" ht="16.5" customHeight="1" thickBot="1">
      <c r="A209" s="116" t="s">
        <v>160</v>
      </c>
      <c r="B209" s="141">
        <v>22</v>
      </c>
      <c r="C209" s="142">
        <v>46167</v>
      </c>
      <c r="D209" s="143" t="s">
        <v>244</v>
      </c>
      <c r="E209" s="777" t="s">
        <v>245</v>
      </c>
      <c r="F209" s="777" t="s">
        <v>246</v>
      </c>
      <c r="G209" s="777" t="s">
        <v>63</v>
      </c>
      <c r="H209" s="145">
        <v>5683222</v>
      </c>
      <c r="I209" s="777">
        <v>4522310976</v>
      </c>
      <c r="J209" s="777">
        <v>3</v>
      </c>
      <c r="K209" s="1147"/>
      <c r="L209" s="1147"/>
      <c r="M209" s="1147"/>
      <c r="N209" s="1147"/>
      <c r="O209" s="1147"/>
      <c r="P209" s="1147"/>
      <c r="Q209" s="1147"/>
      <c r="R209" s="1147"/>
      <c r="S209" s="1147"/>
      <c r="T209" s="1147"/>
      <c r="U209" s="1147"/>
      <c r="V209" s="1147"/>
      <c r="W209" s="1149"/>
    </row>
    <row r="210" spans="1:23" customFormat="1" ht="16.5" customHeight="1">
      <c r="A210" s="63" t="s">
        <v>160</v>
      </c>
      <c r="B210" s="64">
        <v>22</v>
      </c>
      <c r="C210" s="65">
        <v>46169</v>
      </c>
      <c r="D210" s="66" t="s">
        <v>136</v>
      </c>
      <c r="E210" s="803" t="s">
        <v>242</v>
      </c>
      <c r="F210" s="803" t="s">
        <v>240</v>
      </c>
      <c r="G210" s="803" t="s">
        <v>36</v>
      </c>
      <c r="H210" s="163">
        <v>5366929</v>
      </c>
      <c r="I210" s="803" t="s">
        <v>706</v>
      </c>
      <c r="J210" s="803">
        <v>1</v>
      </c>
      <c r="K210" s="1198">
        <v>1</v>
      </c>
      <c r="L210" s="1198">
        <v>5</v>
      </c>
      <c r="M210" s="1198">
        <v>1</v>
      </c>
      <c r="N210" s="1198" t="s">
        <v>149</v>
      </c>
      <c r="O210" s="1198" t="s">
        <v>48</v>
      </c>
      <c r="P210" s="1198" t="s">
        <v>47</v>
      </c>
      <c r="Q210" s="1198" t="s">
        <v>734</v>
      </c>
      <c r="R210" s="1198" t="s">
        <v>31</v>
      </c>
      <c r="S210" s="1198" t="s">
        <v>184</v>
      </c>
      <c r="T210" s="1198" t="s">
        <v>185</v>
      </c>
      <c r="U210" s="1198"/>
      <c r="V210" s="1198" t="s">
        <v>149</v>
      </c>
      <c r="W210" s="1197">
        <v>1</v>
      </c>
    </row>
    <row r="211" spans="1:23" customFormat="1" ht="16.5" customHeight="1">
      <c r="A211" s="134" t="s">
        <v>160</v>
      </c>
      <c r="B211" s="135">
        <v>22</v>
      </c>
      <c r="C211" s="136">
        <v>46169</v>
      </c>
      <c r="D211" s="137" t="s">
        <v>136</v>
      </c>
      <c r="E211" s="806" t="s">
        <v>242</v>
      </c>
      <c r="F211" s="806" t="s">
        <v>240</v>
      </c>
      <c r="G211" s="806" t="s">
        <v>36</v>
      </c>
      <c r="H211" s="139">
        <v>5366929</v>
      </c>
      <c r="I211" s="806" t="s">
        <v>707</v>
      </c>
      <c r="J211" s="806">
        <v>6</v>
      </c>
      <c r="K211" s="1150"/>
      <c r="L211" s="1150"/>
      <c r="M211" s="1150"/>
      <c r="N211" s="1150"/>
      <c r="O211" s="1150"/>
      <c r="P211" s="1150"/>
      <c r="Q211" s="1150"/>
      <c r="R211" s="1150"/>
      <c r="S211" s="1150"/>
      <c r="T211" s="1150"/>
      <c r="U211" s="1150"/>
      <c r="V211" s="1150"/>
      <c r="W211" s="1151"/>
    </row>
    <row r="212" spans="1:23" customFormat="1" ht="16.5" customHeight="1">
      <c r="A212" s="134" t="s">
        <v>160</v>
      </c>
      <c r="B212" s="135">
        <v>22</v>
      </c>
      <c r="C212" s="136">
        <v>46169</v>
      </c>
      <c r="D212" s="137" t="s">
        <v>136</v>
      </c>
      <c r="E212" s="806" t="s">
        <v>242</v>
      </c>
      <c r="F212" s="806" t="s">
        <v>240</v>
      </c>
      <c r="G212" s="806" t="s">
        <v>28</v>
      </c>
      <c r="H212" s="139">
        <v>5366928</v>
      </c>
      <c r="I212" s="806" t="s">
        <v>708</v>
      </c>
      <c r="J212" s="806">
        <v>12</v>
      </c>
      <c r="K212" s="1150"/>
      <c r="L212" s="1150"/>
      <c r="M212" s="1150"/>
      <c r="N212" s="1150"/>
      <c r="O212" s="1150"/>
      <c r="P212" s="1150"/>
      <c r="Q212" s="1150"/>
      <c r="R212" s="1150"/>
      <c r="S212" s="1150"/>
      <c r="T212" s="1150"/>
      <c r="U212" s="1150"/>
      <c r="V212" s="1150"/>
      <c r="W212" s="1151"/>
    </row>
    <row r="213" spans="1:23" customFormat="1" ht="16.5" customHeight="1">
      <c r="A213" s="134" t="s">
        <v>160</v>
      </c>
      <c r="B213" s="135">
        <v>22</v>
      </c>
      <c r="C213" s="136">
        <v>46169</v>
      </c>
      <c r="D213" s="137" t="s">
        <v>136</v>
      </c>
      <c r="E213" s="806" t="s">
        <v>242</v>
      </c>
      <c r="F213" s="806" t="s">
        <v>240</v>
      </c>
      <c r="G213" s="806" t="s">
        <v>32</v>
      </c>
      <c r="H213" s="139">
        <v>5366927</v>
      </c>
      <c r="I213" s="806" t="s">
        <v>709</v>
      </c>
      <c r="J213" s="806">
        <v>9</v>
      </c>
      <c r="K213" s="1150"/>
      <c r="L213" s="1150"/>
      <c r="M213" s="1150"/>
      <c r="N213" s="1150"/>
      <c r="O213" s="1150"/>
      <c r="P213" s="1150"/>
      <c r="Q213" s="1150"/>
      <c r="R213" s="1150"/>
      <c r="S213" s="1150"/>
      <c r="T213" s="1150"/>
      <c r="U213" s="1150"/>
      <c r="V213" s="1150"/>
      <c r="W213" s="1151"/>
    </row>
    <row r="214" spans="1:23" customFormat="1" ht="16.5" customHeight="1">
      <c r="A214" s="134" t="s">
        <v>160</v>
      </c>
      <c r="B214" s="135">
        <v>22</v>
      </c>
      <c r="C214" s="136">
        <v>46169</v>
      </c>
      <c r="D214" s="137" t="s">
        <v>136</v>
      </c>
      <c r="E214" s="806" t="s">
        <v>242</v>
      </c>
      <c r="F214" s="806" t="s">
        <v>240</v>
      </c>
      <c r="G214" s="806" t="s">
        <v>63</v>
      </c>
      <c r="H214" s="139">
        <v>5366926</v>
      </c>
      <c r="I214" s="806" t="s">
        <v>710</v>
      </c>
      <c r="J214" s="806">
        <v>1</v>
      </c>
      <c r="K214" s="1150"/>
      <c r="L214" s="1150"/>
      <c r="M214" s="1150"/>
      <c r="N214" s="1150"/>
      <c r="O214" s="1150"/>
      <c r="P214" s="1150"/>
      <c r="Q214" s="1150"/>
      <c r="R214" s="1150"/>
      <c r="S214" s="1150"/>
      <c r="T214" s="1150"/>
      <c r="U214" s="1150"/>
      <c r="V214" s="1150"/>
      <c r="W214" s="1151"/>
    </row>
    <row r="215" spans="1:23" customFormat="1" ht="16.5" customHeight="1" thickBot="1">
      <c r="A215" s="116" t="s">
        <v>160</v>
      </c>
      <c r="B215" s="141">
        <v>22</v>
      </c>
      <c r="C215" s="142">
        <v>46169</v>
      </c>
      <c r="D215" s="143" t="s">
        <v>136</v>
      </c>
      <c r="E215" s="804" t="s">
        <v>242</v>
      </c>
      <c r="F215" s="804" t="s">
        <v>240</v>
      </c>
      <c r="G215" s="804" t="s">
        <v>241</v>
      </c>
      <c r="H215" s="145">
        <v>5366925</v>
      </c>
      <c r="I215" s="804" t="s">
        <v>711</v>
      </c>
      <c r="J215" s="804">
        <v>1</v>
      </c>
      <c r="K215" s="1147"/>
      <c r="L215" s="1147"/>
      <c r="M215" s="1147"/>
      <c r="N215" s="1147"/>
      <c r="O215" s="1147"/>
      <c r="P215" s="1147"/>
      <c r="Q215" s="1147"/>
      <c r="R215" s="1147"/>
      <c r="S215" s="1147"/>
      <c r="T215" s="1147"/>
      <c r="U215" s="1147"/>
      <c r="V215" s="1147"/>
      <c r="W215" s="1149"/>
    </row>
    <row r="216" spans="1:23" customFormat="1" ht="16.5" customHeight="1">
      <c r="A216" s="63" t="s">
        <v>160</v>
      </c>
      <c r="B216" s="64">
        <v>22</v>
      </c>
      <c r="C216" s="65">
        <v>46170</v>
      </c>
      <c r="D216" s="66" t="s">
        <v>216</v>
      </c>
      <c r="E216" s="803" t="s">
        <v>217</v>
      </c>
      <c r="F216" s="803" t="s">
        <v>222</v>
      </c>
      <c r="G216" s="803" t="s">
        <v>28</v>
      </c>
      <c r="H216" s="163">
        <v>5366525</v>
      </c>
      <c r="I216" s="803" t="s">
        <v>712</v>
      </c>
      <c r="J216" s="803">
        <v>8</v>
      </c>
      <c r="K216" s="1198">
        <v>1</v>
      </c>
      <c r="L216" s="1198"/>
      <c r="M216" s="1198">
        <v>0</v>
      </c>
      <c r="N216" s="1198" t="s">
        <v>149</v>
      </c>
      <c r="O216" s="1198"/>
      <c r="P216" s="1198"/>
      <c r="Q216" s="1198"/>
      <c r="R216" s="1198"/>
      <c r="S216" s="1198"/>
      <c r="T216" s="1198"/>
      <c r="U216" s="1198"/>
      <c r="V216" s="1198"/>
      <c r="W216" s="1197"/>
    </row>
    <row r="217" spans="1:23" customFormat="1" ht="16.5" customHeight="1">
      <c r="A217" s="134" t="s">
        <v>160</v>
      </c>
      <c r="B217" s="135">
        <v>22</v>
      </c>
      <c r="C217" s="136">
        <v>46170</v>
      </c>
      <c r="D217" s="137" t="s">
        <v>216</v>
      </c>
      <c r="E217" s="806" t="s">
        <v>217</v>
      </c>
      <c r="F217" s="806" t="s">
        <v>222</v>
      </c>
      <c r="G217" s="806" t="s">
        <v>63</v>
      </c>
      <c r="H217" s="139">
        <v>5366522</v>
      </c>
      <c r="I217" s="806" t="s">
        <v>713</v>
      </c>
      <c r="J217" s="806">
        <v>1</v>
      </c>
      <c r="K217" s="1150"/>
      <c r="L217" s="1150"/>
      <c r="M217" s="1150"/>
      <c r="N217" s="1150"/>
      <c r="O217" s="1150"/>
      <c r="P217" s="1150"/>
      <c r="Q217" s="1150"/>
      <c r="R217" s="1150"/>
      <c r="S217" s="1150"/>
      <c r="T217" s="1150"/>
      <c r="U217" s="1150"/>
      <c r="V217" s="1150"/>
      <c r="W217" s="1151"/>
    </row>
    <row r="218" spans="1:23" customFormat="1" ht="16.5" customHeight="1">
      <c r="A218" s="134" t="s">
        <v>160</v>
      </c>
      <c r="B218" s="135">
        <v>22</v>
      </c>
      <c r="C218" s="136">
        <v>46170</v>
      </c>
      <c r="D218" s="137" t="s">
        <v>216</v>
      </c>
      <c r="E218" s="806" t="s">
        <v>217</v>
      </c>
      <c r="F218" s="806" t="s">
        <v>222</v>
      </c>
      <c r="G218" s="806" t="s">
        <v>36</v>
      </c>
      <c r="H218" s="139">
        <v>5366526</v>
      </c>
      <c r="I218" s="806" t="s">
        <v>714</v>
      </c>
      <c r="J218" s="806">
        <v>4</v>
      </c>
      <c r="K218" s="1150"/>
      <c r="L218" s="1150"/>
      <c r="M218" s="1150"/>
      <c r="N218" s="1150"/>
      <c r="O218" s="1150"/>
      <c r="P218" s="1150"/>
      <c r="Q218" s="1150"/>
      <c r="R218" s="1150"/>
      <c r="S218" s="1150"/>
      <c r="T218" s="1150"/>
      <c r="U218" s="1150"/>
      <c r="V218" s="1150"/>
      <c r="W218" s="1151"/>
    </row>
    <row r="219" spans="1:23" customFormat="1" ht="16.5" customHeight="1">
      <c r="A219" s="134" t="s">
        <v>160</v>
      </c>
      <c r="B219" s="135">
        <v>22</v>
      </c>
      <c r="C219" s="136">
        <v>46170</v>
      </c>
      <c r="D219" s="137" t="s">
        <v>216</v>
      </c>
      <c r="E219" s="806" t="s">
        <v>217</v>
      </c>
      <c r="F219" s="806" t="s">
        <v>222</v>
      </c>
      <c r="G219" s="806" t="s">
        <v>52</v>
      </c>
      <c r="H219" s="139">
        <v>5366527</v>
      </c>
      <c r="I219" s="806" t="s">
        <v>715</v>
      </c>
      <c r="J219" s="806">
        <v>1</v>
      </c>
      <c r="K219" s="1150"/>
      <c r="L219" s="1150"/>
      <c r="M219" s="1150"/>
      <c r="N219" s="1150"/>
      <c r="O219" s="1150"/>
      <c r="P219" s="1150"/>
      <c r="Q219" s="1150"/>
      <c r="R219" s="1150"/>
      <c r="S219" s="1150"/>
      <c r="T219" s="1150"/>
      <c r="U219" s="1150"/>
      <c r="V219" s="1150"/>
      <c r="W219" s="1151"/>
    </row>
    <row r="220" spans="1:23" customFormat="1" ht="16.5" customHeight="1" thickBot="1">
      <c r="A220" s="809" t="s">
        <v>160</v>
      </c>
      <c r="B220" s="810">
        <v>22</v>
      </c>
      <c r="C220" s="811">
        <v>46170</v>
      </c>
      <c r="D220" s="812" t="s">
        <v>216</v>
      </c>
      <c r="E220" s="813" t="s">
        <v>217</v>
      </c>
      <c r="F220" s="813" t="s">
        <v>222</v>
      </c>
      <c r="G220" s="813" t="s">
        <v>32</v>
      </c>
      <c r="H220" s="814">
        <v>5366523</v>
      </c>
      <c r="I220" s="813" t="s">
        <v>716</v>
      </c>
      <c r="J220" s="813">
        <v>6</v>
      </c>
      <c r="K220" s="1150"/>
      <c r="L220" s="1150"/>
      <c r="M220" s="1150"/>
      <c r="N220" s="1150"/>
      <c r="O220" s="1150"/>
      <c r="P220" s="1150"/>
      <c r="Q220" s="1150"/>
      <c r="R220" s="1150"/>
      <c r="S220" s="1150"/>
      <c r="T220" s="1150"/>
      <c r="U220" s="1150"/>
      <c r="V220" s="1150"/>
      <c r="W220" s="1151"/>
    </row>
    <row r="221" spans="1:23" customFormat="1" ht="16.5" customHeight="1">
      <c r="A221" s="63" t="s">
        <v>160</v>
      </c>
      <c r="B221" s="64">
        <v>22</v>
      </c>
      <c r="C221" s="65">
        <v>46171</v>
      </c>
      <c r="D221" s="66" t="s">
        <v>253</v>
      </c>
      <c r="E221" s="803" t="s">
        <v>259</v>
      </c>
      <c r="F221" s="803" t="s">
        <v>738</v>
      </c>
      <c r="G221" s="803">
        <v>700</v>
      </c>
      <c r="H221" s="163">
        <v>5871504</v>
      </c>
      <c r="I221" s="803" t="s">
        <v>735</v>
      </c>
      <c r="J221" s="803">
        <v>14</v>
      </c>
      <c r="K221" s="803">
        <v>2</v>
      </c>
      <c r="L221" s="803"/>
      <c r="M221" s="803">
        <v>0</v>
      </c>
      <c r="N221" s="803" t="s">
        <v>149</v>
      </c>
      <c r="O221" s="803"/>
      <c r="P221" s="803"/>
      <c r="Q221" s="803"/>
      <c r="R221" s="803"/>
      <c r="S221" s="803"/>
      <c r="T221" s="803"/>
      <c r="U221" s="803"/>
      <c r="V221" s="803"/>
      <c r="W221" s="805"/>
    </row>
    <row r="222" spans="1:23" customFormat="1" ht="16.5" customHeight="1">
      <c r="A222" s="134" t="s">
        <v>160</v>
      </c>
      <c r="B222" s="135">
        <v>22</v>
      </c>
      <c r="C222" s="136">
        <v>46171</v>
      </c>
      <c r="D222" s="137" t="s">
        <v>253</v>
      </c>
      <c r="E222" s="806" t="s">
        <v>259</v>
      </c>
      <c r="F222" s="806" t="s">
        <v>739</v>
      </c>
      <c r="G222" s="806">
        <v>700</v>
      </c>
      <c r="H222" s="139">
        <v>5871502</v>
      </c>
      <c r="I222" s="806" t="s">
        <v>736</v>
      </c>
      <c r="J222" s="806">
        <v>6</v>
      </c>
      <c r="K222" s="806">
        <v>2</v>
      </c>
      <c r="L222" s="806"/>
      <c r="M222" s="806">
        <v>0</v>
      </c>
      <c r="N222" s="806" t="s">
        <v>149</v>
      </c>
      <c r="O222" s="806"/>
      <c r="P222" s="806"/>
      <c r="Q222" s="806"/>
      <c r="R222" s="806"/>
      <c r="S222" s="806"/>
      <c r="T222" s="806"/>
      <c r="U222" s="806"/>
      <c r="V222" s="806"/>
      <c r="W222" s="807"/>
    </row>
    <row r="223" spans="1:23" customFormat="1" ht="16.5" customHeight="1">
      <c r="A223" s="134" t="s">
        <v>160</v>
      </c>
      <c r="B223" s="135">
        <v>22</v>
      </c>
      <c r="C223" s="136">
        <v>46171</v>
      </c>
      <c r="D223" s="137" t="s">
        <v>253</v>
      </c>
      <c r="E223" s="806" t="s">
        <v>259</v>
      </c>
      <c r="F223" s="806" t="s">
        <v>740</v>
      </c>
      <c r="G223" s="806">
        <v>700</v>
      </c>
      <c r="H223" s="139">
        <v>5871503</v>
      </c>
      <c r="I223" s="806" t="s">
        <v>737</v>
      </c>
      <c r="J223" s="806">
        <v>8</v>
      </c>
      <c r="K223" s="806">
        <v>2</v>
      </c>
      <c r="L223" s="806"/>
      <c r="M223" s="806">
        <v>0</v>
      </c>
      <c r="N223" s="806" t="s">
        <v>149</v>
      </c>
      <c r="O223" s="806"/>
      <c r="P223" s="806"/>
      <c r="Q223" s="806"/>
      <c r="R223" s="806"/>
      <c r="S223" s="806"/>
      <c r="T223" s="806"/>
      <c r="U223" s="806"/>
      <c r="V223" s="806"/>
      <c r="W223" s="807"/>
    </row>
    <row r="224" spans="1:23" customFormat="1" ht="16.5" customHeight="1">
      <c r="A224" s="134" t="s">
        <v>160</v>
      </c>
      <c r="B224" s="135">
        <v>22</v>
      </c>
      <c r="C224" s="136">
        <v>46171</v>
      </c>
      <c r="D224" s="137" t="s">
        <v>136</v>
      </c>
      <c r="E224" s="806" t="s">
        <v>173</v>
      </c>
      <c r="F224" s="806" t="s">
        <v>239</v>
      </c>
      <c r="G224" s="806" t="s">
        <v>63</v>
      </c>
      <c r="H224" s="139">
        <v>5448965</v>
      </c>
      <c r="I224" s="806" t="s">
        <v>717</v>
      </c>
      <c r="J224" s="806">
        <v>1</v>
      </c>
      <c r="K224" s="1143">
        <v>1</v>
      </c>
      <c r="L224" s="1143"/>
      <c r="M224" s="1143">
        <v>0</v>
      </c>
      <c r="N224" s="1143" t="s">
        <v>149</v>
      </c>
      <c r="O224" s="1143"/>
      <c r="P224" s="1143"/>
      <c r="Q224" s="1143"/>
      <c r="R224" s="1143"/>
      <c r="S224" s="1143"/>
      <c r="T224" s="1143"/>
      <c r="U224" s="1143"/>
      <c r="V224" s="1143"/>
      <c r="W224" s="1145"/>
    </row>
    <row r="225" spans="1:23" customFormat="1" ht="16.5" customHeight="1">
      <c r="A225" s="134" t="s">
        <v>160</v>
      </c>
      <c r="B225" s="135">
        <v>22</v>
      </c>
      <c r="C225" s="136">
        <v>46171</v>
      </c>
      <c r="D225" s="137" t="s">
        <v>136</v>
      </c>
      <c r="E225" s="806" t="s">
        <v>173</v>
      </c>
      <c r="F225" s="806" t="s">
        <v>239</v>
      </c>
      <c r="G225" s="806" t="s">
        <v>32</v>
      </c>
      <c r="H225" s="139">
        <v>5448966</v>
      </c>
      <c r="I225" s="806" t="s">
        <v>718</v>
      </c>
      <c r="J225" s="806">
        <v>3</v>
      </c>
      <c r="K225" s="1143"/>
      <c r="L225" s="1143"/>
      <c r="M225" s="1143"/>
      <c r="N225" s="1143"/>
      <c r="O225" s="1143"/>
      <c r="P225" s="1143"/>
      <c r="Q225" s="1143"/>
      <c r="R225" s="1143"/>
      <c r="S225" s="1143"/>
      <c r="T225" s="1143"/>
      <c r="U225" s="1143"/>
      <c r="V225" s="1143"/>
      <c r="W225" s="1145"/>
    </row>
    <row r="226" spans="1:23" customFormat="1" ht="16.5" customHeight="1">
      <c r="A226" s="134" t="s">
        <v>160</v>
      </c>
      <c r="B226" s="135">
        <v>22</v>
      </c>
      <c r="C226" s="136">
        <v>46171</v>
      </c>
      <c r="D226" s="137" t="s">
        <v>136</v>
      </c>
      <c r="E226" s="806" t="s">
        <v>173</v>
      </c>
      <c r="F226" s="806" t="s">
        <v>239</v>
      </c>
      <c r="G226" s="806" t="s">
        <v>36</v>
      </c>
      <c r="H226" s="139">
        <v>5448968</v>
      </c>
      <c r="I226" s="806" t="s">
        <v>719</v>
      </c>
      <c r="J226" s="806">
        <v>4</v>
      </c>
      <c r="K226" s="1143"/>
      <c r="L226" s="1143"/>
      <c r="M226" s="1143"/>
      <c r="N226" s="1143"/>
      <c r="O226" s="1143"/>
      <c r="P226" s="1143"/>
      <c r="Q226" s="1143"/>
      <c r="R226" s="1143"/>
      <c r="S226" s="1143"/>
      <c r="T226" s="1143"/>
      <c r="U226" s="1143"/>
      <c r="V226" s="1143"/>
      <c r="W226" s="1145"/>
    </row>
    <row r="227" spans="1:23" customFormat="1" ht="16.5" customHeight="1">
      <c r="A227" s="134" t="s">
        <v>160</v>
      </c>
      <c r="B227" s="135">
        <v>22</v>
      </c>
      <c r="C227" s="136">
        <v>46171</v>
      </c>
      <c r="D227" s="137" t="s">
        <v>136</v>
      </c>
      <c r="E227" s="806" t="s">
        <v>173</v>
      </c>
      <c r="F227" s="806" t="s">
        <v>239</v>
      </c>
      <c r="G227" s="806" t="s">
        <v>63</v>
      </c>
      <c r="H227" s="139">
        <v>5448965</v>
      </c>
      <c r="I227" s="806" t="s">
        <v>720</v>
      </c>
      <c r="J227" s="806">
        <v>1</v>
      </c>
      <c r="K227" s="1143"/>
      <c r="L227" s="1143"/>
      <c r="M227" s="1143"/>
      <c r="N227" s="1143"/>
      <c r="O227" s="1143"/>
      <c r="P227" s="1143"/>
      <c r="Q227" s="1143"/>
      <c r="R227" s="1143"/>
      <c r="S227" s="1143"/>
      <c r="T227" s="1143"/>
      <c r="U227" s="1143"/>
      <c r="V227" s="1143"/>
      <c r="W227" s="1145"/>
    </row>
    <row r="228" spans="1:23" customFormat="1" ht="16.5" customHeight="1">
      <c r="A228" s="134" t="s">
        <v>160</v>
      </c>
      <c r="B228" s="135">
        <v>22</v>
      </c>
      <c r="C228" s="136">
        <v>46171</v>
      </c>
      <c r="D228" s="137" t="s">
        <v>136</v>
      </c>
      <c r="E228" s="806" t="s">
        <v>173</v>
      </c>
      <c r="F228" s="806" t="s">
        <v>239</v>
      </c>
      <c r="G228" s="806" t="s">
        <v>28</v>
      </c>
      <c r="H228" s="139">
        <v>5448967</v>
      </c>
      <c r="I228" s="806" t="s">
        <v>721</v>
      </c>
      <c r="J228" s="806">
        <v>9</v>
      </c>
      <c r="K228" s="1143"/>
      <c r="L228" s="1143"/>
      <c r="M228" s="1143"/>
      <c r="N228" s="1143"/>
      <c r="O228" s="1143"/>
      <c r="P228" s="1143"/>
      <c r="Q228" s="1143"/>
      <c r="R228" s="1143"/>
      <c r="S228" s="1143"/>
      <c r="T228" s="1143"/>
      <c r="U228" s="1143"/>
      <c r="V228" s="1143"/>
      <c r="W228" s="1145"/>
    </row>
    <row r="229" spans="1:23" customFormat="1" ht="16.5" customHeight="1">
      <c r="A229" s="134" t="s">
        <v>160</v>
      </c>
      <c r="B229" s="135">
        <v>22</v>
      </c>
      <c r="C229" s="136">
        <v>46171</v>
      </c>
      <c r="D229" s="137" t="s">
        <v>136</v>
      </c>
      <c r="E229" s="806" t="s">
        <v>173</v>
      </c>
      <c r="F229" s="806" t="s">
        <v>239</v>
      </c>
      <c r="G229" s="806" t="s">
        <v>28</v>
      </c>
      <c r="H229" s="139">
        <v>5448967</v>
      </c>
      <c r="I229" s="806" t="s">
        <v>722</v>
      </c>
      <c r="J229" s="806">
        <v>11</v>
      </c>
      <c r="K229" s="1143"/>
      <c r="L229" s="1143"/>
      <c r="M229" s="1143"/>
      <c r="N229" s="1143"/>
      <c r="O229" s="1143"/>
      <c r="P229" s="1143"/>
      <c r="Q229" s="1143"/>
      <c r="R229" s="1143"/>
      <c r="S229" s="1143"/>
      <c r="T229" s="1143"/>
      <c r="U229" s="1143"/>
      <c r="V229" s="1143"/>
      <c r="W229" s="1145"/>
    </row>
    <row r="230" spans="1:23" customFormat="1" ht="16.5" customHeight="1" thickBot="1">
      <c r="A230" s="828" t="s">
        <v>160</v>
      </c>
      <c r="B230" s="829">
        <v>22</v>
      </c>
      <c r="C230" s="830">
        <v>46171</v>
      </c>
      <c r="D230" s="831" t="s">
        <v>136</v>
      </c>
      <c r="E230" s="827" t="s">
        <v>173</v>
      </c>
      <c r="F230" s="827" t="s">
        <v>239</v>
      </c>
      <c r="G230" s="827" t="s">
        <v>36</v>
      </c>
      <c r="H230" s="832">
        <v>5448968</v>
      </c>
      <c r="I230" s="827" t="s">
        <v>723</v>
      </c>
      <c r="J230" s="827">
        <v>5</v>
      </c>
      <c r="K230" s="1302"/>
      <c r="L230" s="1302"/>
      <c r="M230" s="1302"/>
      <c r="N230" s="1302"/>
      <c r="O230" s="1302"/>
      <c r="P230" s="1302"/>
      <c r="Q230" s="1302"/>
      <c r="R230" s="1302"/>
      <c r="S230" s="1302"/>
      <c r="T230" s="1302"/>
      <c r="U230" s="1302"/>
      <c r="V230" s="1302"/>
      <c r="W230" s="1303"/>
    </row>
    <row r="231" spans="1:23" customFormat="1" ht="16.5" customHeight="1">
      <c r="A231" s="63" t="s">
        <v>165</v>
      </c>
      <c r="B231" s="64">
        <v>23</v>
      </c>
      <c r="C231" s="65">
        <v>46174</v>
      </c>
      <c r="D231" s="66" t="s">
        <v>136</v>
      </c>
      <c r="E231" s="815" t="s">
        <v>173</v>
      </c>
      <c r="F231" s="815" t="s">
        <v>239</v>
      </c>
      <c r="G231" s="815" t="s">
        <v>32</v>
      </c>
      <c r="H231" s="163">
        <v>5448966</v>
      </c>
      <c r="I231" s="815" t="s">
        <v>718</v>
      </c>
      <c r="J231" s="815">
        <v>3</v>
      </c>
      <c r="K231" s="1142">
        <v>1</v>
      </c>
      <c r="L231" s="1142"/>
      <c r="M231" s="1142">
        <v>0</v>
      </c>
      <c r="N231" s="1142" t="s">
        <v>149</v>
      </c>
      <c r="O231" s="1142"/>
      <c r="P231" s="1142"/>
      <c r="Q231" s="1142"/>
      <c r="R231" s="1142"/>
      <c r="S231" s="1142"/>
      <c r="T231" s="1142"/>
      <c r="U231" s="1142"/>
      <c r="V231" s="1142"/>
      <c r="W231" s="1153"/>
    </row>
    <row r="232" spans="1:23" customFormat="1" ht="16.5" customHeight="1">
      <c r="A232" s="134" t="s">
        <v>165</v>
      </c>
      <c r="B232" s="135">
        <v>23</v>
      </c>
      <c r="C232" s="136">
        <v>46174</v>
      </c>
      <c r="D232" s="137" t="s">
        <v>136</v>
      </c>
      <c r="E232" s="819" t="s">
        <v>173</v>
      </c>
      <c r="F232" s="819" t="s">
        <v>239</v>
      </c>
      <c r="G232" s="819" t="s">
        <v>32</v>
      </c>
      <c r="H232" s="139">
        <v>5448966</v>
      </c>
      <c r="I232" s="819" t="s">
        <v>724</v>
      </c>
      <c r="J232" s="819">
        <v>10</v>
      </c>
      <c r="K232" s="1143"/>
      <c r="L232" s="1143"/>
      <c r="M232" s="1143"/>
      <c r="N232" s="1143"/>
      <c r="O232" s="1143"/>
      <c r="P232" s="1143"/>
      <c r="Q232" s="1143"/>
      <c r="R232" s="1143"/>
      <c r="S232" s="1143"/>
      <c r="T232" s="1143"/>
      <c r="U232" s="1143"/>
      <c r="V232" s="1143"/>
      <c r="W232" s="1145"/>
    </row>
    <row r="233" spans="1:23" customFormat="1" ht="16.5" customHeight="1">
      <c r="A233" s="134" t="s">
        <v>165</v>
      </c>
      <c r="B233" s="135">
        <v>23</v>
      </c>
      <c r="C233" s="136">
        <v>46174</v>
      </c>
      <c r="D233" s="137" t="s">
        <v>136</v>
      </c>
      <c r="E233" s="819" t="s">
        <v>178</v>
      </c>
      <c r="F233" s="819" t="s">
        <v>508</v>
      </c>
      <c r="G233" s="819" t="s">
        <v>52</v>
      </c>
      <c r="H233" s="139">
        <v>5513548</v>
      </c>
      <c r="I233" s="819" t="s">
        <v>747</v>
      </c>
      <c r="J233" s="139">
        <v>4</v>
      </c>
      <c r="K233" s="1143">
        <v>1</v>
      </c>
      <c r="L233" s="1143"/>
      <c r="M233" s="1143">
        <v>0</v>
      </c>
      <c r="N233" s="1143" t="s">
        <v>149</v>
      </c>
      <c r="O233" s="1143"/>
      <c r="P233" s="1143"/>
      <c r="Q233" s="1143"/>
      <c r="R233" s="1143"/>
      <c r="S233" s="1143"/>
      <c r="T233" s="1143"/>
      <c r="U233" s="1143"/>
      <c r="V233" s="1143"/>
      <c r="W233" s="1145"/>
    </row>
    <row r="234" spans="1:23" customFormat="1" ht="16.5" customHeight="1">
      <c r="A234" s="134" t="s">
        <v>165</v>
      </c>
      <c r="B234" s="135">
        <v>23</v>
      </c>
      <c r="C234" s="136">
        <v>46174</v>
      </c>
      <c r="D234" s="137" t="s">
        <v>136</v>
      </c>
      <c r="E234" s="819" t="s">
        <v>178</v>
      </c>
      <c r="F234" s="819" t="s">
        <v>508</v>
      </c>
      <c r="G234" s="819" t="s">
        <v>28</v>
      </c>
      <c r="H234" s="139">
        <v>5513546</v>
      </c>
      <c r="I234" s="819" t="s">
        <v>748</v>
      </c>
      <c r="J234" s="139">
        <v>10</v>
      </c>
      <c r="K234" s="1143"/>
      <c r="L234" s="1143"/>
      <c r="M234" s="1143"/>
      <c r="N234" s="1143"/>
      <c r="O234" s="1143"/>
      <c r="P234" s="1143"/>
      <c r="Q234" s="1143"/>
      <c r="R234" s="1143"/>
      <c r="S234" s="1143"/>
      <c r="T234" s="1143"/>
      <c r="U234" s="1143"/>
      <c r="V234" s="1143"/>
      <c r="W234" s="1145"/>
    </row>
    <row r="235" spans="1:23" customFormat="1" ht="16.5" customHeight="1">
      <c r="A235" s="134" t="s">
        <v>165</v>
      </c>
      <c r="B235" s="135">
        <v>23</v>
      </c>
      <c r="C235" s="136">
        <v>46174</v>
      </c>
      <c r="D235" s="137" t="s">
        <v>136</v>
      </c>
      <c r="E235" s="819" t="s">
        <v>178</v>
      </c>
      <c r="F235" s="819" t="s">
        <v>508</v>
      </c>
      <c r="G235" s="819" t="s">
        <v>28</v>
      </c>
      <c r="H235" s="139">
        <v>5513546</v>
      </c>
      <c r="I235" s="819" t="s">
        <v>749</v>
      </c>
      <c r="J235" s="139">
        <v>13</v>
      </c>
      <c r="K235" s="1143"/>
      <c r="L235" s="1143"/>
      <c r="M235" s="1143"/>
      <c r="N235" s="1143"/>
      <c r="O235" s="1143"/>
      <c r="P235" s="1143"/>
      <c r="Q235" s="1143"/>
      <c r="R235" s="1143"/>
      <c r="S235" s="1143"/>
      <c r="T235" s="1143"/>
      <c r="U235" s="1143"/>
      <c r="V235" s="1143"/>
      <c r="W235" s="1145"/>
    </row>
    <row r="236" spans="1:23" customFormat="1" ht="16.5" customHeight="1">
      <c r="A236" s="134" t="s">
        <v>165</v>
      </c>
      <c r="B236" s="135">
        <v>23</v>
      </c>
      <c r="C236" s="136">
        <v>46174</v>
      </c>
      <c r="D236" s="137" t="s">
        <v>136</v>
      </c>
      <c r="E236" s="819" t="s">
        <v>178</v>
      </c>
      <c r="F236" s="819" t="s">
        <v>508</v>
      </c>
      <c r="G236" s="819" t="s">
        <v>32</v>
      </c>
      <c r="H236" s="139">
        <v>5513545</v>
      </c>
      <c r="I236" s="819" t="s">
        <v>750</v>
      </c>
      <c r="J236" s="139">
        <v>8</v>
      </c>
      <c r="K236" s="1143"/>
      <c r="L236" s="1143"/>
      <c r="M236" s="1143"/>
      <c r="N236" s="1143"/>
      <c r="O236" s="1143"/>
      <c r="P236" s="1143"/>
      <c r="Q236" s="1143"/>
      <c r="R236" s="1143"/>
      <c r="S236" s="1143"/>
      <c r="T236" s="1143"/>
      <c r="U236" s="1143"/>
      <c r="V236" s="1143"/>
      <c r="W236" s="1145"/>
    </row>
    <row r="237" spans="1:23" customFormat="1" ht="16.5" customHeight="1" thickBot="1">
      <c r="A237" s="116" t="s">
        <v>165</v>
      </c>
      <c r="B237" s="141">
        <v>23</v>
      </c>
      <c r="C237" s="142">
        <v>46174</v>
      </c>
      <c r="D237" s="143" t="s">
        <v>136</v>
      </c>
      <c r="E237" s="816" t="s">
        <v>178</v>
      </c>
      <c r="F237" s="816" t="s">
        <v>508</v>
      </c>
      <c r="G237" s="816" t="s">
        <v>32</v>
      </c>
      <c r="H237" s="145">
        <v>5513545</v>
      </c>
      <c r="I237" s="816" t="s">
        <v>751</v>
      </c>
      <c r="J237" s="145">
        <v>17</v>
      </c>
      <c r="K237" s="1156"/>
      <c r="L237" s="1156"/>
      <c r="M237" s="1156"/>
      <c r="N237" s="1156"/>
      <c r="O237" s="1156"/>
      <c r="P237" s="1156"/>
      <c r="Q237" s="1156"/>
      <c r="R237" s="1156"/>
      <c r="S237" s="1156"/>
      <c r="T237" s="1156"/>
      <c r="U237" s="1156"/>
      <c r="V237" s="1156"/>
      <c r="W237" s="1158"/>
    </row>
    <row r="238" spans="1:23" customFormat="1" ht="16.5" customHeight="1">
      <c r="A238" s="63" t="s">
        <v>165</v>
      </c>
      <c r="B238" s="149">
        <v>23</v>
      </c>
      <c r="C238" s="150">
        <v>46176</v>
      </c>
      <c r="D238" s="151" t="s">
        <v>216</v>
      </c>
      <c r="E238" s="833" t="s">
        <v>221</v>
      </c>
      <c r="F238" s="833" t="s">
        <v>218</v>
      </c>
      <c r="G238" s="833" t="s">
        <v>52</v>
      </c>
      <c r="H238" s="153">
        <v>5366533</v>
      </c>
      <c r="I238" s="833" t="s">
        <v>752</v>
      </c>
      <c r="J238" s="833">
        <v>2</v>
      </c>
      <c r="K238" s="1304">
        <v>1</v>
      </c>
      <c r="L238" s="1304"/>
      <c r="M238" s="1304">
        <v>0</v>
      </c>
      <c r="N238" s="1304" t="s">
        <v>149</v>
      </c>
      <c r="O238" s="1304"/>
      <c r="P238" s="1304"/>
      <c r="Q238" s="1304"/>
      <c r="R238" s="1304"/>
      <c r="S238" s="1304"/>
      <c r="T238" s="1304"/>
      <c r="U238" s="1304"/>
      <c r="V238" s="1304"/>
      <c r="W238" s="1199"/>
    </row>
    <row r="239" spans="1:23" customFormat="1" ht="16.5" customHeight="1">
      <c r="A239" s="134" t="s">
        <v>165</v>
      </c>
      <c r="B239" s="135">
        <v>23</v>
      </c>
      <c r="C239" s="136">
        <v>46176</v>
      </c>
      <c r="D239" s="137" t="s">
        <v>216</v>
      </c>
      <c r="E239" s="834" t="s">
        <v>221</v>
      </c>
      <c r="F239" s="834" t="s">
        <v>218</v>
      </c>
      <c r="G239" s="834" t="s">
        <v>36</v>
      </c>
      <c r="H239" s="139">
        <v>5366531</v>
      </c>
      <c r="I239" s="834" t="s">
        <v>753</v>
      </c>
      <c r="J239" s="834">
        <v>7</v>
      </c>
      <c r="K239" s="1150"/>
      <c r="L239" s="1150"/>
      <c r="M239" s="1150"/>
      <c r="N239" s="1150"/>
      <c r="O239" s="1150"/>
      <c r="P239" s="1150"/>
      <c r="Q239" s="1150"/>
      <c r="R239" s="1150"/>
      <c r="S239" s="1150"/>
      <c r="T239" s="1150"/>
      <c r="U239" s="1150"/>
      <c r="V239" s="1150"/>
      <c r="W239" s="1151"/>
    </row>
    <row r="240" spans="1:23" customFormat="1" ht="16.5" customHeight="1">
      <c r="A240" s="134" t="s">
        <v>165</v>
      </c>
      <c r="B240" s="135">
        <v>23</v>
      </c>
      <c r="C240" s="136">
        <v>46176</v>
      </c>
      <c r="D240" s="137" t="s">
        <v>216</v>
      </c>
      <c r="E240" s="834" t="s">
        <v>221</v>
      </c>
      <c r="F240" s="834" t="s">
        <v>218</v>
      </c>
      <c r="G240" s="834" t="s">
        <v>28</v>
      </c>
      <c r="H240" s="139">
        <v>5366530</v>
      </c>
      <c r="I240" s="834" t="s">
        <v>754</v>
      </c>
      <c r="J240" s="834">
        <v>14</v>
      </c>
      <c r="K240" s="1150"/>
      <c r="L240" s="1150"/>
      <c r="M240" s="1150"/>
      <c r="N240" s="1150"/>
      <c r="O240" s="1150"/>
      <c r="P240" s="1150"/>
      <c r="Q240" s="1150"/>
      <c r="R240" s="1150"/>
      <c r="S240" s="1150"/>
      <c r="T240" s="1150"/>
      <c r="U240" s="1150"/>
      <c r="V240" s="1150"/>
      <c r="W240" s="1151"/>
    </row>
    <row r="241" spans="1:23" customFormat="1" ht="16.5" customHeight="1">
      <c r="A241" s="134" t="s">
        <v>165</v>
      </c>
      <c r="B241" s="135">
        <v>23</v>
      </c>
      <c r="C241" s="136">
        <v>46176</v>
      </c>
      <c r="D241" s="137" t="s">
        <v>216</v>
      </c>
      <c r="E241" s="834" t="s">
        <v>221</v>
      </c>
      <c r="F241" s="834" t="s">
        <v>917</v>
      </c>
      <c r="G241" s="834" t="s">
        <v>28</v>
      </c>
      <c r="H241" s="139">
        <v>5811815</v>
      </c>
      <c r="I241" s="834">
        <v>4523356271</v>
      </c>
      <c r="J241" s="834">
        <v>9</v>
      </c>
      <c r="K241" s="1150"/>
      <c r="L241" s="1150"/>
      <c r="M241" s="1150"/>
      <c r="N241" s="1150"/>
      <c r="O241" s="1150"/>
      <c r="P241" s="1150"/>
      <c r="Q241" s="1150"/>
      <c r="R241" s="1150"/>
      <c r="S241" s="1150"/>
      <c r="T241" s="1150"/>
      <c r="U241" s="1150"/>
      <c r="V241" s="1150"/>
      <c r="W241" s="1151"/>
    </row>
    <row r="242" spans="1:23" customFormat="1" ht="16.5" customHeight="1">
      <c r="A242" s="134" t="s">
        <v>165</v>
      </c>
      <c r="B242" s="135">
        <v>23</v>
      </c>
      <c r="C242" s="136">
        <v>46176</v>
      </c>
      <c r="D242" s="137" t="s">
        <v>216</v>
      </c>
      <c r="E242" s="834" t="s">
        <v>221</v>
      </c>
      <c r="F242" s="834" t="s">
        <v>218</v>
      </c>
      <c r="G242" s="834" t="s">
        <v>32</v>
      </c>
      <c r="H242" s="139">
        <v>5366529</v>
      </c>
      <c r="I242" s="834" t="s">
        <v>755</v>
      </c>
      <c r="J242" s="834">
        <v>9</v>
      </c>
      <c r="K242" s="1150"/>
      <c r="L242" s="1150"/>
      <c r="M242" s="1150"/>
      <c r="N242" s="1150"/>
      <c r="O242" s="1150"/>
      <c r="P242" s="1150"/>
      <c r="Q242" s="1150"/>
      <c r="R242" s="1150"/>
      <c r="S242" s="1150"/>
      <c r="T242" s="1150"/>
      <c r="U242" s="1150"/>
      <c r="V242" s="1150"/>
      <c r="W242" s="1151"/>
    </row>
    <row r="243" spans="1:23" customFormat="1" ht="16.5" customHeight="1">
      <c r="A243" s="134" t="s">
        <v>165</v>
      </c>
      <c r="B243" s="135">
        <v>23</v>
      </c>
      <c r="C243" s="136">
        <v>46176</v>
      </c>
      <c r="D243" s="137" t="s">
        <v>216</v>
      </c>
      <c r="E243" s="834" t="s">
        <v>221</v>
      </c>
      <c r="F243" s="834" t="s">
        <v>917</v>
      </c>
      <c r="G243" s="834" t="s">
        <v>32</v>
      </c>
      <c r="H243" s="139">
        <v>5811814</v>
      </c>
      <c r="I243" s="834">
        <v>4523356271</v>
      </c>
      <c r="J243" s="834">
        <v>5</v>
      </c>
      <c r="K243" s="1150"/>
      <c r="L243" s="1150"/>
      <c r="M243" s="1150"/>
      <c r="N243" s="1150"/>
      <c r="O243" s="1150"/>
      <c r="P243" s="1150"/>
      <c r="Q243" s="1150"/>
      <c r="R243" s="1150"/>
      <c r="S243" s="1150"/>
      <c r="T243" s="1150"/>
      <c r="U243" s="1150"/>
      <c r="V243" s="1150"/>
      <c r="W243" s="1151"/>
    </row>
    <row r="244" spans="1:23" customFormat="1" ht="16.5" customHeight="1">
      <c r="A244" s="134" t="s">
        <v>165</v>
      </c>
      <c r="B244" s="135">
        <v>23</v>
      </c>
      <c r="C244" s="136">
        <v>46176</v>
      </c>
      <c r="D244" s="137" t="s">
        <v>216</v>
      </c>
      <c r="E244" s="834" t="s">
        <v>221</v>
      </c>
      <c r="F244" s="834" t="s">
        <v>218</v>
      </c>
      <c r="G244" s="834" t="s">
        <v>63</v>
      </c>
      <c r="H244" s="139">
        <v>5366528</v>
      </c>
      <c r="I244" s="834" t="s">
        <v>756</v>
      </c>
      <c r="J244" s="834">
        <v>2</v>
      </c>
      <c r="K244" s="1150"/>
      <c r="L244" s="1150"/>
      <c r="M244" s="1150"/>
      <c r="N244" s="1150"/>
      <c r="O244" s="1150"/>
      <c r="P244" s="1150"/>
      <c r="Q244" s="1150"/>
      <c r="R244" s="1150"/>
      <c r="S244" s="1150"/>
      <c r="T244" s="1150"/>
      <c r="U244" s="1150"/>
      <c r="V244" s="1150"/>
      <c r="W244" s="1151"/>
    </row>
    <row r="245" spans="1:23" customFormat="1" ht="16.5" customHeight="1" thickBot="1">
      <c r="A245" s="116" t="s">
        <v>165</v>
      </c>
      <c r="B245" s="141">
        <v>23</v>
      </c>
      <c r="C245" s="142">
        <v>46176</v>
      </c>
      <c r="D245" s="143" t="s">
        <v>216</v>
      </c>
      <c r="E245" s="835" t="s">
        <v>221</v>
      </c>
      <c r="F245" s="835" t="s">
        <v>917</v>
      </c>
      <c r="G245" s="835" t="s">
        <v>63</v>
      </c>
      <c r="H245" s="145">
        <v>5811813</v>
      </c>
      <c r="I245" s="835">
        <v>4523356271</v>
      </c>
      <c r="J245" s="835">
        <v>3</v>
      </c>
      <c r="K245" s="1147"/>
      <c r="L245" s="1147"/>
      <c r="M245" s="1147"/>
      <c r="N245" s="1147"/>
      <c r="O245" s="1147"/>
      <c r="P245" s="1147"/>
      <c r="Q245" s="1147"/>
      <c r="R245" s="1147"/>
      <c r="S245" s="1147"/>
      <c r="T245" s="1147"/>
      <c r="U245" s="1147"/>
      <c r="V245" s="1147"/>
      <c r="W245" s="1149"/>
    </row>
    <row r="246" spans="1:23" customFormat="1" ht="16.5" customHeight="1">
      <c r="A246" s="840" t="s">
        <v>165</v>
      </c>
      <c r="B246" s="214">
        <v>23</v>
      </c>
      <c r="C246" s="215">
        <v>46178</v>
      </c>
      <c r="D246" s="216" t="s">
        <v>136</v>
      </c>
      <c r="E246" s="836" t="s">
        <v>173</v>
      </c>
      <c r="F246" s="836" t="s">
        <v>228</v>
      </c>
      <c r="G246" s="836" t="s">
        <v>52</v>
      </c>
      <c r="H246" s="217">
        <v>5366936</v>
      </c>
      <c r="I246" s="836" t="s">
        <v>757</v>
      </c>
      <c r="J246" s="836">
        <v>1</v>
      </c>
      <c r="K246" s="1150">
        <v>1</v>
      </c>
      <c r="L246" s="1150"/>
      <c r="M246" s="1150">
        <v>0</v>
      </c>
      <c r="N246" s="1150" t="s">
        <v>149</v>
      </c>
      <c r="O246" s="1150"/>
      <c r="P246" s="1150"/>
      <c r="Q246" s="1150"/>
      <c r="R246" s="1150"/>
      <c r="S246" s="1150"/>
      <c r="T246" s="1150"/>
      <c r="U246" s="1150"/>
      <c r="V246" s="1150"/>
      <c r="W246" s="1150"/>
    </row>
    <row r="247" spans="1:23" customFormat="1" ht="16.5" customHeight="1">
      <c r="A247" s="85" t="s">
        <v>165</v>
      </c>
      <c r="B247" s="45">
        <v>23</v>
      </c>
      <c r="C247" s="46">
        <v>46178</v>
      </c>
      <c r="D247" s="47" t="s">
        <v>136</v>
      </c>
      <c r="E247" s="95" t="s">
        <v>173</v>
      </c>
      <c r="F247" s="95" t="s">
        <v>228</v>
      </c>
      <c r="G247" s="95" t="s">
        <v>36</v>
      </c>
      <c r="H247" s="73">
        <v>5366935</v>
      </c>
      <c r="I247" s="95" t="s">
        <v>758</v>
      </c>
      <c r="J247" s="95">
        <v>3</v>
      </c>
      <c r="K247" s="1150"/>
      <c r="L247" s="1150"/>
      <c r="M247" s="1150"/>
      <c r="N247" s="1150"/>
      <c r="O247" s="1150"/>
      <c r="P247" s="1150"/>
      <c r="Q247" s="1150"/>
      <c r="R247" s="1150"/>
      <c r="S247" s="1150"/>
      <c r="T247" s="1150"/>
      <c r="U247" s="1150"/>
      <c r="V247" s="1150"/>
      <c r="W247" s="1150"/>
    </row>
    <row r="248" spans="1:23" customFormat="1" ht="16.5" customHeight="1">
      <c r="A248" s="85" t="s">
        <v>165</v>
      </c>
      <c r="B248" s="45">
        <v>23</v>
      </c>
      <c r="C248" s="46">
        <v>46178</v>
      </c>
      <c r="D248" s="47" t="s">
        <v>136</v>
      </c>
      <c r="E248" s="95" t="s">
        <v>173</v>
      </c>
      <c r="F248" s="95" t="s">
        <v>228</v>
      </c>
      <c r="G248" s="95" t="s">
        <v>28</v>
      </c>
      <c r="H248" s="73">
        <v>5366934</v>
      </c>
      <c r="I248" s="95" t="s">
        <v>759</v>
      </c>
      <c r="J248" s="95">
        <v>6</v>
      </c>
      <c r="K248" s="1150"/>
      <c r="L248" s="1150"/>
      <c r="M248" s="1150"/>
      <c r="N248" s="1150"/>
      <c r="O248" s="1150"/>
      <c r="P248" s="1150"/>
      <c r="Q248" s="1150"/>
      <c r="R248" s="1150"/>
      <c r="S248" s="1150"/>
      <c r="T248" s="1150"/>
      <c r="U248" s="1150"/>
      <c r="V248" s="1150"/>
      <c r="W248" s="1150"/>
    </row>
    <row r="249" spans="1:23" customFormat="1" ht="16.5" customHeight="1">
      <c r="A249" s="85" t="s">
        <v>165</v>
      </c>
      <c r="B249" s="45">
        <v>23</v>
      </c>
      <c r="C249" s="46">
        <v>46178</v>
      </c>
      <c r="D249" s="47" t="s">
        <v>136</v>
      </c>
      <c r="E249" s="95" t="s">
        <v>173</v>
      </c>
      <c r="F249" s="95" t="s">
        <v>228</v>
      </c>
      <c r="G249" s="95" t="s">
        <v>32</v>
      </c>
      <c r="H249" s="73">
        <v>5366933</v>
      </c>
      <c r="I249" s="95" t="s">
        <v>760</v>
      </c>
      <c r="J249" s="95">
        <v>5</v>
      </c>
      <c r="K249" s="1150"/>
      <c r="L249" s="1150"/>
      <c r="M249" s="1150"/>
      <c r="N249" s="1150"/>
      <c r="O249" s="1150"/>
      <c r="P249" s="1150"/>
      <c r="Q249" s="1150"/>
      <c r="R249" s="1150"/>
      <c r="S249" s="1150"/>
      <c r="T249" s="1150"/>
      <c r="U249" s="1150"/>
      <c r="V249" s="1150"/>
      <c r="W249" s="1150"/>
    </row>
    <row r="250" spans="1:23" customFormat="1" ht="16.5" customHeight="1" thickBot="1">
      <c r="A250" s="841" t="s">
        <v>165</v>
      </c>
      <c r="B250" s="842">
        <v>23</v>
      </c>
      <c r="C250" s="843">
        <v>46178</v>
      </c>
      <c r="D250" s="844" t="s">
        <v>136</v>
      </c>
      <c r="E250" s="845" t="s">
        <v>173</v>
      </c>
      <c r="F250" s="845" t="s">
        <v>228</v>
      </c>
      <c r="G250" s="845" t="s">
        <v>63</v>
      </c>
      <c r="H250" s="846">
        <v>5366932</v>
      </c>
      <c r="I250" s="845" t="s">
        <v>761</v>
      </c>
      <c r="J250" s="845">
        <v>1</v>
      </c>
      <c r="K250" s="1150"/>
      <c r="L250" s="1150"/>
      <c r="M250" s="1150"/>
      <c r="N250" s="1150"/>
      <c r="O250" s="1150"/>
      <c r="P250" s="1150"/>
      <c r="Q250" s="1150"/>
      <c r="R250" s="1150"/>
      <c r="S250" s="1150"/>
      <c r="T250" s="1150"/>
      <c r="U250" s="1150"/>
      <c r="V250" s="1150"/>
      <c r="W250" s="1150"/>
    </row>
    <row r="251" spans="1:23" customFormat="1" ht="16.5" customHeight="1">
      <c r="A251" s="63" t="s">
        <v>165</v>
      </c>
      <c r="B251" s="64">
        <v>23</v>
      </c>
      <c r="C251" s="65">
        <v>46179</v>
      </c>
      <c r="D251" s="66" t="s">
        <v>216</v>
      </c>
      <c r="E251" s="837" t="s">
        <v>217</v>
      </c>
      <c r="F251" s="837" t="s">
        <v>222</v>
      </c>
      <c r="G251" s="837" t="s">
        <v>52</v>
      </c>
      <c r="H251" s="163">
        <v>5366527</v>
      </c>
      <c r="I251" s="837" t="s">
        <v>762</v>
      </c>
      <c r="J251" s="163">
        <v>1</v>
      </c>
      <c r="K251" s="1192">
        <v>1</v>
      </c>
      <c r="L251" s="1192"/>
      <c r="M251" s="1192">
        <v>0</v>
      </c>
      <c r="N251" s="1192" t="s">
        <v>149</v>
      </c>
      <c r="O251" s="1192"/>
      <c r="P251" s="1192"/>
      <c r="Q251" s="1192"/>
      <c r="R251" s="1192"/>
      <c r="S251" s="1192"/>
      <c r="T251" s="1192"/>
      <c r="U251" s="1192"/>
      <c r="V251" s="1192"/>
      <c r="W251" s="1305"/>
    </row>
    <row r="252" spans="1:23" customFormat="1" ht="16.5" customHeight="1">
      <c r="A252" s="134" t="s">
        <v>165</v>
      </c>
      <c r="B252" s="135">
        <v>23</v>
      </c>
      <c r="C252" s="136">
        <v>46179</v>
      </c>
      <c r="D252" s="137" t="s">
        <v>216</v>
      </c>
      <c r="E252" s="839" t="s">
        <v>217</v>
      </c>
      <c r="F252" s="839" t="s">
        <v>222</v>
      </c>
      <c r="G252" s="839" t="s">
        <v>36</v>
      </c>
      <c r="H252" s="139">
        <v>5366526</v>
      </c>
      <c r="I252" s="839" t="s">
        <v>763</v>
      </c>
      <c r="J252" s="139">
        <v>4</v>
      </c>
      <c r="K252" s="1150"/>
      <c r="L252" s="1150"/>
      <c r="M252" s="1150"/>
      <c r="N252" s="1150"/>
      <c r="O252" s="1150"/>
      <c r="P252" s="1150"/>
      <c r="Q252" s="1150"/>
      <c r="R252" s="1150"/>
      <c r="S252" s="1150"/>
      <c r="T252" s="1150"/>
      <c r="U252" s="1150"/>
      <c r="V252" s="1150"/>
      <c r="W252" s="1151"/>
    </row>
    <row r="253" spans="1:23" customFormat="1" ht="16.5" customHeight="1">
      <c r="A253" s="134" t="s">
        <v>165</v>
      </c>
      <c r="B253" s="135">
        <v>23</v>
      </c>
      <c r="C253" s="136">
        <v>46179</v>
      </c>
      <c r="D253" s="137" t="s">
        <v>216</v>
      </c>
      <c r="E253" s="839" t="s">
        <v>217</v>
      </c>
      <c r="F253" s="839" t="s">
        <v>222</v>
      </c>
      <c r="G253" s="839" t="s">
        <v>28</v>
      </c>
      <c r="H253" s="139">
        <v>5366525</v>
      </c>
      <c r="I253" s="839" t="s">
        <v>764</v>
      </c>
      <c r="J253" s="139">
        <v>8</v>
      </c>
      <c r="K253" s="1150"/>
      <c r="L253" s="1150"/>
      <c r="M253" s="1150"/>
      <c r="N253" s="1150"/>
      <c r="O253" s="1150"/>
      <c r="P253" s="1150"/>
      <c r="Q253" s="1150"/>
      <c r="R253" s="1150"/>
      <c r="S253" s="1150"/>
      <c r="T253" s="1150"/>
      <c r="U253" s="1150"/>
      <c r="V253" s="1150"/>
      <c r="W253" s="1151"/>
    </row>
    <row r="254" spans="1:23" customFormat="1" ht="16.5" customHeight="1">
      <c r="A254" s="134" t="s">
        <v>165</v>
      </c>
      <c r="B254" s="135">
        <v>23</v>
      </c>
      <c r="C254" s="136">
        <v>46179</v>
      </c>
      <c r="D254" s="137" t="s">
        <v>216</v>
      </c>
      <c r="E254" s="839" t="s">
        <v>217</v>
      </c>
      <c r="F254" s="839" t="s">
        <v>222</v>
      </c>
      <c r="G254" s="839" t="s">
        <v>32</v>
      </c>
      <c r="H254" s="139">
        <v>5366523</v>
      </c>
      <c r="I254" s="839" t="s">
        <v>765</v>
      </c>
      <c r="J254" s="139">
        <v>6</v>
      </c>
      <c r="K254" s="1150"/>
      <c r="L254" s="1150"/>
      <c r="M254" s="1150"/>
      <c r="N254" s="1150"/>
      <c r="O254" s="1150"/>
      <c r="P254" s="1150"/>
      <c r="Q254" s="1150"/>
      <c r="R254" s="1150"/>
      <c r="S254" s="1150"/>
      <c r="T254" s="1150"/>
      <c r="U254" s="1150"/>
      <c r="V254" s="1150"/>
      <c r="W254" s="1151"/>
    </row>
    <row r="255" spans="1:23" customFormat="1" ht="16.5" customHeight="1" thickBot="1">
      <c r="A255" s="116" t="s">
        <v>165</v>
      </c>
      <c r="B255" s="141">
        <v>23</v>
      </c>
      <c r="C255" s="142">
        <v>46179</v>
      </c>
      <c r="D255" s="143" t="s">
        <v>216</v>
      </c>
      <c r="E255" s="838" t="s">
        <v>217</v>
      </c>
      <c r="F255" s="838" t="s">
        <v>222</v>
      </c>
      <c r="G255" s="838" t="s">
        <v>63</v>
      </c>
      <c r="H255" s="145">
        <v>5366522</v>
      </c>
      <c r="I255" s="838" t="s">
        <v>766</v>
      </c>
      <c r="J255" s="145">
        <v>1</v>
      </c>
      <c r="K255" s="1147"/>
      <c r="L255" s="1147"/>
      <c r="M255" s="1147"/>
      <c r="N255" s="1147"/>
      <c r="O255" s="1147"/>
      <c r="P255" s="1147"/>
      <c r="Q255" s="1147"/>
      <c r="R255" s="1147"/>
      <c r="S255" s="1147"/>
      <c r="T255" s="1147"/>
      <c r="U255" s="1147"/>
      <c r="V255" s="1147"/>
      <c r="W255" s="1149"/>
    </row>
    <row r="256" spans="1:23" customFormat="1" ht="16.5" customHeight="1">
      <c r="A256" s="134" t="s">
        <v>165</v>
      </c>
      <c r="B256" s="135">
        <v>25</v>
      </c>
      <c r="C256" s="136">
        <v>46190</v>
      </c>
      <c r="D256" s="137" t="s">
        <v>136</v>
      </c>
      <c r="E256" s="906" t="s">
        <v>242</v>
      </c>
      <c r="F256" s="906" t="s">
        <v>240</v>
      </c>
      <c r="G256" s="906" t="s">
        <v>52</v>
      </c>
      <c r="H256" s="139">
        <v>5366930</v>
      </c>
      <c r="I256" s="906" t="s">
        <v>796</v>
      </c>
      <c r="J256" s="906">
        <v>1</v>
      </c>
      <c r="K256" s="1336">
        <v>1</v>
      </c>
      <c r="L256" s="1336"/>
      <c r="M256" s="1336">
        <v>0</v>
      </c>
      <c r="N256" s="1336" t="s">
        <v>149</v>
      </c>
      <c r="O256" s="1336"/>
      <c r="P256" s="1336"/>
      <c r="Q256" s="1336"/>
      <c r="R256" s="1336"/>
      <c r="S256" s="1336"/>
      <c r="T256" s="1336"/>
      <c r="U256" s="1336"/>
      <c r="V256" s="1336"/>
      <c r="W256" s="1337"/>
    </row>
    <row r="257" spans="1:23" customFormat="1" ht="16.5" customHeight="1">
      <c r="A257" s="134" t="s">
        <v>165</v>
      </c>
      <c r="B257" s="135">
        <v>25</v>
      </c>
      <c r="C257" s="136">
        <v>46190</v>
      </c>
      <c r="D257" s="137" t="s">
        <v>136</v>
      </c>
      <c r="E257" s="906" t="s">
        <v>242</v>
      </c>
      <c r="F257" s="906" t="s">
        <v>240</v>
      </c>
      <c r="G257" s="906" t="s">
        <v>28</v>
      </c>
      <c r="H257" s="139">
        <v>5366928</v>
      </c>
      <c r="I257" s="906" t="s">
        <v>797</v>
      </c>
      <c r="J257" s="906">
        <v>5</v>
      </c>
      <c r="K257" s="1150"/>
      <c r="L257" s="1150"/>
      <c r="M257" s="1150"/>
      <c r="N257" s="1150"/>
      <c r="O257" s="1150"/>
      <c r="P257" s="1150"/>
      <c r="Q257" s="1150"/>
      <c r="R257" s="1150"/>
      <c r="S257" s="1150"/>
      <c r="T257" s="1150"/>
      <c r="U257" s="1150"/>
      <c r="V257" s="1150"/>
      <c r="W257" s="1151"/>
    </row>
    <row r="258" spans="1:23" customFormat="1" ht="16.5" customHeight="1">
      <c r="A258" s="134" t="s">
        <v>165</v>
      </c>
      <c r="B258" s="135">
        <v>25</v>
      </c>
      <c r="C258" s="136">
        <v>46190</v>
      </c>
      <c r="D258" s="137" t="s">
        <v>136</v>
      </c>
      <c r="E258" s="906" t="s">
        <v>242</v>
      </c>
      <c r="F258" s="906" t="s">
        <v>240</v>
      </c>
      <c r="G258" s="906" t="s">
        <v>28</v>
      </c>
      <c r="H258" s="139">
        <v>5366928</v>
      </c>
      <c r="I258" s="906" t="s">
        <v>798</v>
      </c>
      <c r="J258" s="906">
        <v>2</v>
      </c>
      <c r="K258" s="1150"/>
      <c r="L258" s="1150"/>
      <c r="M258" s="1150"/>
      <c r="N258" s="1150"/>
      <c r="O258" s="1150"/>
      <c r="P258" s="1150"/>
      <c r="Q258" s="1150"/>
      <c r="R258" s="1150"/>
      <c r="S258" s="1150"/>
      <c r="T258" s="1150"/>
      <c r="U258" s="1150"/>
      <c r="V258" s="1150"/>
      <c r="W258" s="1151"/>
    </row>
    <row r="259" spans="1:23" customFormat="1" ht="16.5" customHeight="1" thickBot="1">
      <c r="A259" s="116" t="s">
        <v>165</v>
      </c>
      <c r="B259" s="141">
        <v>25</v>
      </c>
      <c r="C259" s="142">
        <v>46190</v>
      </c>
      <c r="D259" s="143" t="s">
        <v>136</v>
      </c>
      <c r="E259" s="907" t="s">
        <v>242</v>
      </c>
      <c r="F259" s="907" t="s">
        <v>240</v>
      </c>
      <c r="G259" s="907" t="s">
        <v>32</v>
      </c>
      <c r="H259" s="145">
        <v>5366927</v>
      </c>
      <c r="I259" s="907" t="s">
        <v>799</v>
      </c>
      <c r="J259" s="907">
        <v>9</v>
      </c>
      <c r="K259" s="1147"/>
      <c r="L259" s="1147"/>
      <c r="M259" s="1147"/>
      <c r="N259" s="1147"/>
      <c r="O259" s="1147"/>
      <c r="P259" s="1147"/>
      <c r="Q259" s="1147"/>
      <c r="R259" s="1147"/>
      <c r="S259" s="1147"/>
      <c r="T259" s="1147"/>
      <c r="U259" s="1147"/>
      <c r="V259" s="1147"/>
      <c r="W259" s="1149"/>
    </row>
    <row r="260" spans="1:23" customFormat="1" ht="16.5" customHeight="1">
      <c r="A260" s="63" t="s">
        <v>165</v>
      </c>
      <c r="B260" s="64">
        <v>26</v>
      </c>
      <c r="C260" s="65">
        <v>46196</v>
      </c>
      <c r="D260" s="66" t="s">
        <v>216</v>
      </c>
      <c r="E260" s="923" t="s">
        <v>217</v>
      </c>
      <c r="F260" s="923" t="s">
        <v>222</v>
      </c>
      <c r="G260" s="923" t="s">
        <v>52</v>
      </c>
      <c r="H260" s="163">
        <v>5366527</v>
      </c>
      <c r="I260" s="923" t="s">
        <v>808</v>
      </c>
      <c r="J260" s="923">
        <v>5</v>
      </c>
      <c r="K260" s="1187">
        <v>1</v>
      </c>
      <c r="L260" s="1187"/>
      <c r="M260" s="1187">
        <v>0</v>
      </c>
      <c r="N260" s="1187" t="s">
        <v>149</v>
      </c>
      <c r="O260" s="1187"/>
      <c r="P260" s="1187"/>
      <c r="Q260" s="1187"/>
      <c r="R260" s="1187"/>
      <c r="S260" s="1187"/>
      <c r="T260" s="1187"/>
      <c r="U260" s="1187"/>
      <c r="V260" s="1187"/>
      <c r="W260" s="1310"/>
    </row>
    <row r="261" spans="1:23" customFormat="1" ht="16.5" customHeight="1">
      <c r="A261" s="134" t="s">
        <v>165</v>
      </c>
      <c r="B261" s="135">
        <v>26</v>
      </c>
      <c r="C261" s="136">
        <v>46196</v>
      </c>
      <c r="D261" s="137" t="s">
        <v>216</v>
      </c>
      <c r="E261" s="922" t="s">
        <v>217</v>
      </c>
      <c r="F261" s="922" t="s">
        <v>222</v>
      </c>
      <c r="G261" s="922" t="s">
        <v>36</v>
      </c>
      <c r="H261" s="139">
        <v>5366526</v>
      </c>
      <c r="I261" s="922" t="s">
        <v>809</v>
      </c>
      <c r="J261" s="922">
        <v>17</v>
      </c>
      <c r="K261" s="1150"/>
      <c r="L261" s="1150"/>
      <c r="M261" s="1150"/>
      <c r="N261" s="1150"/>
      <c r="O261" s="1150"/>
      <c r="P261" s="1150"/>
      <c r="Q261" s="1150"/>
      <c r="R261" s="1150"/>
      <c r="S261" s="1150"/>
      <c r="T261" s="1150"/>
      <c r="U261" s="1150"/>
      <c r="V261" s="1150"/>
      <c r="W261" s="1151"/>
    </row>
    <row r="262" spans="1:23" customFormat="1" ht="16.5" customHeight="1">
      <c r="A262" s="134" t="s">
        <v>165</v>
      </c>
      <c r="B262" s="135">
        <v>26</v>
      </c>
      <c r="C262" s="136">
        <v>46196</v>
      </c>
      <c r="D262" s="137" t="s">
        <v>216</v>
      </c>
      <c r="E262" s="922" t="s">
        <v>217</v>
      </c>
      <c r="F262" s="922" t="s">
        <v>222</v>
      </c>
      <c r="G262" s="922" t="s">
        <v>28</v>
      </c>
      <c r="H262" s="139">
        <v>5366525</v>
      </c>
      <c r="I262" s="922" t="s">
        <v>810</v>
      </c>
      <c r="J262" s="922">
        <v>31</v>
      </c>
      <c r="K262" s="1150"/>
      <c r="L262" s="1150"/>
      <c r="M262" s="1150"/>
      <c r="N262" s="1150"/>
      <c r="O262" s="1150"/>
      <c r="P262" s="1150"/>
      <c r="Q262" s="1150"/>
      <c r="R262" s="1150"/>
      <c r="S262" s="1150"/>
      <c r="T262" s="1150"/>
      <c r="U262" s="1150"/>
      <c r="V262" s="1150"/>
      <c r="W262" s="1151"/>
    </row>
    <row r="263" spans="1:23" customFormat="1" ht="16.5" customHeight="1">
      <c r="A263" s="134" t="s">
        <v>165</v>
      </c>
      <c r="B263" s="135">
        <v>26</v>
      </c>
      <c r="C263" s="136">
        <v>46196</v>
      </c>
      <c r="D263" s="137" t="s">
        <v>216</v>
      </c>
      <c r="E263" s="922" t="s">
        <v>217</v>
      </c>
      <c r="F263" s="922" t="s">
        <v>222</v>
      </c>
      <c r="G263" s="922" t="s">
        <v>32</v>
      </c>
      <c r="H263" s="139">
        <v>5366523</v>
      </c>
      <c r="I263" s="922" t="s">
        <v>811</v>
      </c>
      <c r="J263" s="922">
        <v>20</v>
      </c>
      <c r="K263" s="1150"/>
      <c r="L263" s="1150"/>
      <c r="M263" s="1150"/>
      <c r="N263" s="1150"/>
      <c r="O263" s="1150"/>
      <c r="P263" s="1150"/>
      <c r="Q263" s="1150"/>
      <c r="R263" s="1150"/>
      <c r="S263" s="1150"/>
      <c r="T263" s="1150"/>
      <c r="U263" s="1150"/>
      <c r="V263" s="1150"/>
      <c r="W263" s="1151"/>
    </row>
    <row r="264" spans="1:23" customFormat="1" ht="16.5" customHeight="1" thickBot="1">
      <c r="A264" s="116" t="s">
        <v>165</v>
      </c>
      <c r="B264" s="141">
        <v>26</v>
      </c>
      <c r="C264" s="142">
        <v>46196</v>
      </c>
      <c r="D264" s="143" t="s">
        <v>216</v>
      </c>
      <c r="E264" s="924" t="s">
        <v>217</v>
      </c>
      <c r="F264" s="924" t="s">
        <v>222</v>
      </c>
      <c r="G264" s="924" t="s">
        <v>63</v>
      </c>
      <c r="H264" s="145">
        <v>5366522</v>
      </c>
      <c r="I264" s="924" t="s">
        <v>812</v>
      </c>
      <c r="J264" s="924">
        <v>5</v>
      </c>
      <c r="K264" s="1147"/>
      <c r="L264" s="1147"/>
      <c r="M264" s="1147"/>
      <c r="N264" s="1147"/>
      <c r="O264" s="1147"/>
      <c r="P264" s="1147"/>
      <c r="Q264" s="1147"/>
      <c r="R264" s="1147"/>
      <c r="S264" s="1147"/>
      <c r="T264" s="1147"/>
      <c r="U264" s="1147"/>
      <c r="V264" s="1147"/>
      <c r="W264" s="1149"/>
    </row>
    <row r="265" spans="1:23" customFormat="1" ht="16.5" customHeight="1">
      <c r="A265" s="63" t="s">
        <v>165</v>
      </c>
      <c r="B265" s="64">
        <v>26</v>
      </c>
      <c r="C265" s="65">
        <v>46199</v>
      </c>
      <c r="D265" s="66" t="s">
        <v>216</v>
      </c>
      <c r="E265" s="923" t="s">
        <v>221</v>
      </c>
      <c r="F265" s="923" t="s">
        <v>218</v>
      </c>
      <c r="G265" s="923" t="s">
        <v>52</v>
      </c>
      <c r="H265" s="163">
        <v>5366533</v>
      </c>
      <c r="I265" s="923" t="s">
        <v>813</v>
      </c>
      <c r="J265" s="923">
        <v>2</v>
      </c>
      <c r="K265" s="1187">
        <v>1</v>
      </c>
      <c r="L265" s="1187"/>
      <c r="M265" s="1187">
        <v>0</v>
      </c>
      <c r="N265" s="1187" t="s">
        <v>149</v>
      </c>
      <c r="O265" s="1187"/>
      <c r="P265" s="1187"/>
      <c r="Q265" s="1187"/>
      <c r="R265" s="1187"/>
      <c r="S265" s="1187"/>
      <c r="T265" s="1187"/>
      <c r="U265" s="1187"/>
      <c r="V265" s="1187"/>
      <c r="W265" s="1310"/>
    </row>
    <row r="266" spans="1:23" customFormat="1" ht="16.5" customHeight="1">
      <c r="A266" s="134" t="s">
        <v>165</v>
      </c>
      <c r="B266" s="135">
        <v>26</v>
      </c>
      <c r="C266" s="136">
        <v>46199</v>
      </c>
      <c r="D266" s="137" t="s">
        <v>216</v>
      </c>
      <c r="E266" s="922" t="s">
        <v>221</v>
      </c>
      <c r="F266" s="922" t="s">
        <v>218</v>
      </c>
      <c r="G266" s="922" t="s">
        <v>36</v>
      </c>
      <c r="H266" s="139">
        <v>5366531</v>
      </c>
      <c r="I266" s="922" t="s">
        <v>814</v>
      </c>
      <c r="J266" s="922">
        <v>7</v>
      </c>
      <c r="K266" s="1150"/>
      <c r="L266" s="1150"/>
      <c r="M266" s="1150"/>
      <c r="N266" s="1150"/>
      <c r="O266" s="1150"/>
      <c r="P266" s="1150"/>
      <c r="Q266" s="1150"/>
      <c r="R266" s="1150"/>
      <c r="S266" s="1150"/>
      <c r="T266" s="1150"/>
      <c r="U266" s="1150"/>
      <c r="V266" s="1150"/>
      <c r="W266" s="1151"/>
    </row>
    <row r="267" spans="1:23" customFormat="1" ht="16.5" customHeight="1">
      <c r="A267" s="134" t="s">
        <v>165</v>
      </c>
      <c r="B267" s="135">
        <v>26</v>
      </c>
      <c r="C267" s="136">
        <v>46199</v>
      </c>
      <c r="D267" s="137" t="s">
        <v>216</v>
      </c>
      <c r="E267" s="922" t="s">
        <v>221</v>
      </c>
      <c r="F267" s="922" t="s">
        <v>218</v>
      </c>
      <c r="G267" s="922" t="s">
        <v>28</v>
      </c>
      <c r="H267" s="139">
        <v>5366530</v>
      </c>
      <c r="I267" s="922" t="s">
        <v>815</v>
      </c>
      <c r="J267" s="922">
        <v>13</v>
      </c>
      <c r="K267" s="1150"/>
      <c r="L267" s="1150"/>
      <c r="M267" s="1150"/>
      <c r="N267" s="1150"/>
      <c r="O267" s="1150"/>
      <c r="P267" s="1150"/>
      <c r="Q267" s="1150"/>
      <c r="R267" s="1150"/>
      <c r="S267" s="1150"/>
      <c r="T267" s="1150"/>
      <c r="U267" s="1150"/>
      <c r="V267" s="1150"/>
      <c r="W267" s="1151"/>
    </row>
    <row r="268" spans="1:23" customFormat="1" ht="16.5" customHeight="1">
      <c r="A268" s="134" t="s">
        <v>165</v>
      </c>
      <c r="B268" s="135">
        <v>26</v>
      </c>
      <c r="C268" s="136">
        <v>46199</v>
      </c>
      <c r="D268" s="137" t="s">
        <v>216</v>
      </c>
      <c r="E268" s="922" t="s">
        <v>221</v>
      </c>
      <c r="F268" s="922" t="s">
        <v>218</v>
      </c>
      <c r="G268" s="922" t="s">
        <v>32</v>
      </c>
      <c r="H268" s="139">
        <v>5366529</v>
      </c>
      <c r="I268" s="922" t="s">
        <v>816</v>
      </c>
      <c r="J268" s="922">
        <v>9</v>
      </c>
      <c r="K268" s="1150"/>
      <c r="L268" s="1150"/>
      <c r="M268" s="1150"/>
      <c r="N268" s="1150"/>
      <c r="O268" s="1150"/>
      <c r="P268" s="1150"/>
      <c r="Q268" s="1150"/>
      <c r="R268" s="1150"/>
      <c r="S268" s="1150"/>
      <c r="T268" s="1150"/>
      <c r="U268" s="1150"/>
      <c r="V268" s="1150"/>
      <c r="W268" s="1151"/>
    </row>
    <row r="269" spans="1:23" customFormat="1" ht="16.5" customHeight="1" thickBot="1">
      <c r="A269" s="116" t="s">
        <v>165</v>
      </c>
      <c r="B269" s="141">
        <v>26</v>
      </c>
      <c r="C269" s="142">
        <v>46199</v>
      </c>
      <c r="D269" s="143" t="s">
        <v>216</v>
      </c>
      <c r="E269" s="924" t="s">
        <v>221</v>
      </c>
      <c r="F269" s="924" t="s">
        <v>218</v>
      </c>
      <c r="G269" s="924" t="s">
        <v>63</v>
      </c>
      <c r="H269" s="145">
        <v>5366528</v>
      </c>
      <c r="I269" s="924" t="s">
        <v>817</v>
      </c>
      <c r="J269" s="924">
        <v>2</v>
      </c>
      <c r="K269" s="1147"/>
      <c r="L269" s="1147"/>
      <c r="M269" s="1147"/>
      <c r="N269" s="1147"/>
      <c r="O269" s="1147"/>
      <c r="P269" s="1147"/>
      <c r="Q269" s="1147"/>
      <c r="R269" s="1147"/>
      <c r="S269" s="1147"/>
      <c r="T269" s="1147"/>
      <c r="U269" s="1147"/>
      <c r="V269" s="1147"/>
      <c r="W269" s="1149"/>
    </row>
    <row r="270" spans="1:23" customFormat="1" ht="16.5" customHeight="1">
      <c r="A270" s="63" t="s">
        <v>165</v>
      </c>
      <c r="B270" s="149">
        <v>26</v>
      </c>
      <c r="C270" s="150">
        <v>46200</v>
      </c>
      <c r="D270" s="151" t="s">
        <v>136</v>
      </c>
      <c r="E270" s="928" t="s">
        <v>173</v>
      </c>
      <c r="F270" s="928" t="s">
        <v>226</v>
      </c>
      <c r="G270" s="928" t="s">
        <v>52</v>
      </c>
      <c r="H270" s="153">
        <v>5448977</v>
      </c>
      <c r="I270" s="928" t="s">
        <v>818</v>
      </c>
      <c r="J270" s="928">
        <v>1</v>
      </c>
      <c r="K270" s="1175">
        <v>1</v>
      </c>
      <c r="L270" s="1175"/>
      <c r="M270" s="1175">
        <v>0</v>
      </c>
      <c r="N270" s="1175" t="s">
        <v>149</v>
      </c>
      <c r="O270" s="1175"/>
      <c r="P270" s="1175"/>
      <c r="Q270" s="1175"/>
      <c r="R270" s="1175"/>
      <c r="S270" s="1175"/>
      <c r="T270" s="1175"/>
      <c r="U270" s="1175"/>
      <c r="V270" s="1175"/>
      <c r="W270" s="1316"/>
    </row>
    <row r="271" spans="1:23" customFormat="1" ht="16.5" customHeight="1">
      <c r="A271" s="134" t="s">
        <v>165</v>
      </c>
      <c r="B271" s="135">
        <v>26</v>
      </c>
      <c r="C271" s="136">
        <v>46200</v>
      </c>
      <c r="D271" s="137" t="s">
        <v>136</v>
      </c>
      <c r="E271" s="926" t="s">
        <v>173</v>
      </c>
      <c r="F271" s="926" t="s">
        <v>226</v>
      </c>
      <c r="G271" s="926" t="s">
        <v>36</v>
      </c>
      <c r="H271" s="139">
        <v>5448976</v>
      </c>
      <c r="I271" s="926" t="s">
        <v>819</v>
      </c>
      <c r="J271" s="926">
        <v>3</v>
      </c>
      <c r="K271" s="1150"/>
      <c r="L271" s="1150"/>
      <c r="M271" s="1150"/>
      <c r="N271" s="1150"/>
      <c r="O271" s="1150"/>
      <c r="P271" s="1150"/>
      <c r="Q271" s="1150"/>
      <c r="R271" s="1150"/>
      <c r="S271" s="1150"/>
      <c r="T271" s="1150"/>
      <c r="U271" s="1150"/>
      <c r="V271" s="1150"/>
      <c r="W271" s="1151"/>
    </row>
    <row r="272" spans="1:23" customFormat="1" ht="16.5" customHeight="1">
      <c r="A272" s="134" t="s">
        <v>165</v>
      </c>
      <c r="B272" s="135">
        <v>26</v>
      </c>
      <c r="C272" s="136">
        <v>46200</v>
      </c>
      <c r="D272" s="137" t="s">
        <v>136</v>
      </c>
      <c r="E272" s="926" t="s">
        <v>173</v>
      </c>
      <c r="F272" s="926" t="s">
        <v>226</v>
      </c>
      <c r="G272" s="926" t="s">
        <v>36</v>
      </c>
      <c r="H272" s="139">
        <v>5448976</v>
      </c>
      <c r="I272" s="926" t="s">
        <v>820</v>
      </c>
      <c r="J272" s="926">
        <v>5</v>
      </c>
      <c r="K272" s="1150"/>
      <c r="L272" s="1150"/>
      <c r="M272" s="1150"/>
      <c r="N272" s="1150"/>
      <c r="O272" s="1150"/>
      <c r="P272" s="1150"/>
      <c r="Q272" s="1150"/>
      <c r="R272" s="1150"/>
      <c r="S272" s="1150"/>
      <c r="T272" s="1150"/>
      <c r="U272" s="1150"/>
      <c r="V272" s="1150"/>
      <c r="W272" s="1151"/>
    </row>
    <row r="273" spans="1:23" customFormat="1" ht="16.5" customHeight="1">
      <c r="A273" s="134" t="s">
        <v>165</v>
      </c>
      <c r="B273" s="135">
        <v>26</v>
      </c>
      <c r="C273" s="136">
        <v>46200</v>
      </c>
      <c r="D273" s="137" t="s">
        <v>136</v>
      </c>
      <c r="E273" s="926" t="s">
        <v>173</v>
      </c>
      <c r="F273" s="926" t="s">
        <v>226</v>
      </c>
      <c r="G273" s="926" t="s">
        <v>36</v>
      </c>
      <c r="H273" s="139">
        <v>5448976</v>
      </c>
      <c r="I273" s="926" t="s">
        <v>821</v>
      </c>
      <c r="J273" s="926">
        <v>7</v>
      </c>
      <c r="K273" s="1150"/>
      <c r="L273" s="1150"/>
      <c r="M273" s="1150"/>
      <c r="N273" s="1150"/>
      <c r="O273" s="1150"/>
      <c r="P273" s="1150"/>
      <c r="Q273" s="1150"/>
      <c r="R273" s="1150"/>
      <c r="S273" s="1150"/>
      <c r="T273" s="1150"/>
      <c r="U273" s="1150"/>
      <c r="V273" s="1150"/>
      <c r="W273" s="1151"/>
    </row>
    <row r="274" spans="1:23" customFormat="1" ht="16.5" customHeight="1">
      <c r="A274" s="134" t="s">
        <v>165</v>
      </c>
      <c r="B274" s="135">
        <v>26</v>
      </c>
      <c r="C274" s="136">
        <v>46200</v>
      </c>
      <c r="D274" s="137" t="s">
        <v>136</v>
      </c>
      <c r="E274" s="926" t="s">
        <v>173</v>
      </c>
      <c r="F274" s="926" t="s">
        <v>226</v>
      </c>
      <c r="G274" s="926" t="s">
        <v>28</v>
      </c>
      <c r="H274" s="139">
        <v>5448975</v>
      </c>
      <c r="I274" s="926" t="s">
        <v>822</v>
      </c>
      <c r="J274" s="926">
        <v>7</v>
      </c>
      <c r="K274" s="1150"/>
      <c r="L274" s="1150"/>
      <c r="M274" s="1150"/>
      <c r="N274" s="1150"/>
      <c r="O274" s="1150"/>
      <c r="P274" s="1150"/>
      <c r="Q274" s="1150"/>
      <c r="R274" s="1150"/>
      <c r="S274" s="1150"/>
      <c r="T274" s="1150"/>
      <c r="U274" s="1150"/>
      <c r="V274" s="1150"/>
      <c r="W274" s="1151"/>
    </row>
    <row r="275" spans="1:23" customFormat="1" ht="16.5" customHeight="1">
      <c r="A275" s="134" t="s">
        <v>165</v>
      </c>
      <c r="B275" s="135">
        <v>26</v>
      </c>
      <c r="C275" s="136">
        <v>46200</v>
      </c>
      <c r="D275" s="137" t="s">
        <v>136</v>
      </c>
      <c r="E275" s="926" t="s">
        <v>173</v>
      </c>
      <c r="F275" s="926" t="s">
        <v>226</v>
      </c>
      <c r="G275" s="926" t="s">
        <v>28</v>
      </c>
      <c r="H275" s="139">
        <v>5448975</v>
      </c>
      <c r="I275" s="926" t="s">
        <v>823</v>
      </c>
      <c r="J275" s="926">
        <v>10</v>
      </c>
      <c r="K275" s="1150"/>
      <c r="L275" s="1150"/>
      <c r="M275" s="1150"/>
      <c r="N275" s="1150"/>
      <c r="O275" s="1150"/>
      <c r="P275" s="1150"/>
      <c r="Q275" s="1150"/>
      <c r="R275" s="1150"/>
      <c r="S275" s="1150"/>
      <c r="T275" s="1150"/>
      <c r="U275" s="1150"/>
      <c r="V275" s="1150"/>
      <c r="W275" s="1151"/>
    </row>
    <row r="276" spans="1:23" customFormat="1" ht="16.5" customHeight="1" thickBot="1">
      <c r="A276" s="116" t="s">
        <v>165</v>
      </c>
      <c r="B276" s="141">
        <v>26</v>
      </c>
      <c r="C276" s="142">
        <v>46200</v>
      </c>
      <c r="D276" s="143" t="s">
        <v>136</v>
      </c>
      <c r="E276" s="927" t="s">
        <v>173</v>
      </c>
      <c r="F276" s="927" t="s">
        <v>226</v>
      </c>
      <c r="G276" s="927" t="s">
        <v>28</v>
      </c>
      <c r="H276" s="145">
        <v>5448975</v>
      </c>
      <c r="I276" s="927" t="s">
        <v>824</v>
      </c>
      <c r="J276" s="927">
        <v>10</v>
      </c>
      <c r="K276" s="1147"/>
      <c r="L276" s="1147"/>
      <c r="M276" s="1147"/>
      <c r="N276" s="1147"/>
      <c r="O276" s="1147"/>
      <c r="P276" s="1147"/>
      <c r="Q276" s="1147"/>
      <c r="R276" s="1147"/>
      <c r="S276" s="1147"/>
      <c r="T276" s="1147"/>
      <c r="U276" s="1147"/>
      <c r="V276" s="1147"/>
      <c r="W276" s="1149"/>
    </row>
    <row r="277" spans="1:23" customFormat="1" ht="16.5" customHeight="1">
      <c r="A277" s="63" t="s">
        <v>165</v>
      </c>
      <c r="B277" s="149">
        <v>27</v>
      </c>
      <c r="C277" s="150">
        <v>46202</v>
      </c>
      <c r="D277" s="151" t="s">
        <v>136</v>
      </c>
      <c r="E277" s="928" t="s">
        <v>173</v>
      </c>
      <c r="F277" s="928" t="s">
        <v>226</v>
      </c>
      <c r="G277" s="928" t="s">
        <v>32</v>
      </c>
      <c r="H277" s="153">
        <v>5448974</v>
      </c>
      <c r="I277" s="928" t="s">
        <v>825</v>
      </c>
      <c r="J277" s="928">
        <v>6</v>
      </c>
      <c r="K277" s="1175">
        <v>1</v>
      </c>
      <c r="L277" s="1175"/>
      <c r="M277" s="1175">
        <v>0</v>
      </c>
      <c r="N277" s="1175" t="s">
        <v>149</v>
      </c>
      <c r="O277" s="1175"/>
      <c r="P277" s="1175"/>
      <c r="Q277" s="1175"/>
      <c r="R277" s="1175"/>
      <c r="S277" s="1175"/>
      <c r="T277" s="1175"/>
      <c r="U277" s="1175"/>
      <c r="V277" s="1175"/>
      <c r="W277" s="1316"/>
    </row>
    <row r="278" spans="1:23" customFormat="1" ht="16.5" customHeight="1">
      <c r="A278" s="134" t="s">
        <v>165</v>
      </c>
      <c r="B278" s="135">
        <v>27</v>
      </c>
      <c r="C278" s="136">
        <v>46202</v>
      </c>
      <c r="D278" s="137" t="s">
        <v>136</v>
      </c>
      <c r="E278" s="926" t="s">
        <v>173</v>
      </c>
      <c r="F278" s="926" t="s">
        <v>226</v>
      </c>
      <c r="G278" s="926" t="s">
        <v>32</v>
      </c>
      <c r="H278" s="139">
        <v>5448974</v>
      </c>
      <c r="I278" s="926" t="s">
        <v>826</v>
      </c>
      <c r="J278" s="926">
        <v>8</v>
      </c>
      <c r="K278" s="1150"/>
      <c r="L278" s="1150"/>
      <c r="M278" s="1150"/>
      <c r="N278" s="1150"/>
      <c r="O278" s="1150"/>
      <c r="P278" s="1150"/>
      <c r="Q278" s="1150"/>
      <c r="R278" s="1150"/>
      <c r="S278" s="1150"/>
      <c r="T278" s="1150"/>
      <c r="U278" s="1150"/>
      <c r="V278" s="1150"/>
      <c r="W278" s="1151"/>
    </row>
    <row r="279" spans="1:23" customFormat="1" ht="16.5" customHeight="1">
      <c r="A279" s="134" t="s">
        <v>165</v>
      </c>
      <c r="B279" s="135">
        <v>27</v>
      </c>
      <c r="C279" s="136">
        <v>46202</v>
      </c>
      <c r="D279" s="137" t="s">
        <v>136</v>
      </c>
      <c r="E279" s="926" t="s">
        <v>173</v>
      </c>
      <c r="F279" s="926" t="s">
        <v>226</v>
      </c>
      <c r="G279" s="926" t="s">
        <v>32</v>
      </c>
      <c r="H279" s="139">
        <v>5448974</v>
      </c>
      <c r="I279" s="926" t="s">
        <v>827</v>
      </c>
      <c r="J279" s="926">
        <v>9</v>
      </c>
      <c r="K279" s="1150"/>
      <c r="L279" s="1150"/>
      <c r="M279" s="1150"/>
      <c r="N279" s="1150"/>
      <c r="O279" s="1150"/>
      <c r="P279" s="1150"/>
      <c r="Q279" s="1150"/>
      <c r="R279" s="1150"/>
      <c r="S279" s="1150"/>
      <c r="T279" s="1150"/>
      <c r="U279" s="1150"/>
      <c r="V279" s="1150"/>
      <c r="W279" s="1151"/>
    </row>
    <row r="280" spans="1:23" customFormat="1" ht="16.5" customHeight="1" thickBot="1">
      <c r="A280" s="116" t="s">
        <v>165</v>
      </c>
      <c r="B280" s="141">
        <v>27</v>
      </c>
      <c r="C280" s="142">
        <v>46202</v>
      </c>
      <c r="D280" s="143" t="s">
        <v>136</v>
      </c>
      <c r="E280" s="927" t="s">
        <v>173</v>
      </c>
      <c r="F280" s="927" t="s">
        <v>226</v>
      </c>
      <c r="G280" s="927" t="s">
        <v>63</v>
      </c>
      <c r="H280" s="145">
        <v>5448973</v>
      </c>
      <c r="I280" s="927" t="s">
        <v>828</v>
      </c>
      <c r="J280" s="927">
        <v>3</v>
      </c>
      <c r="K280" s="1147"/>
      <c r="L280" s="1147"/>
      <c r="M280" s="1147"/>
      <c r="N280" s="1147"/>
      <c r="O280" s="1147"/>
      <c r="P280" s="1147"/>
      <c r="Q280" s="1147"/>
      <c r="R280" s="1147"/>
      <c r="S280" s="1147"/>
      <c r="T280" s="1147"/>
      <c r="U280" s="1147"/>
      <c r="V280" s="1147"/>
      <c r="W280" s="1149"/>
    </row>
    <row r="281" spans="1:23" customFormat="1" ht="16.5" customHeight="1">
      <c r="A281" s="219" t="s">
        <v>166</v>
      </c>
      <c r="B281" s="214">
        <v>27</v>
      </c>
      <c r="C281" s="215">
        <v>46204</v>
      </c>
      <c r="D281" s="216" t="s">
        <v>136</v>
      </c>
      <c r="E281" s="921" t="s">
        <v>173</v>
      </c>
      <c r="F281" s="921" t="s">
        <v>180</v>
      </c>
      <c r="G281" s="921" t="s">
        <v>36</v>
      </c>
      <c r="H281" s="217">
        <v>4965985</v>
      </c>
      <c r="I281" s="921" t="s">
        <v>829</v>
      </c>
      <c r="J281" s="921">
        <v>5</v>
      </c>
      <c r="K281" s="1150">
        <v>1</v>
      </c>
      <c r="L281" s="1150"/>
      <c r="M281" s="1150">
        <v>0</v>
      </c>
      <c r="N281" s="1150" t="s">
        <v>149</v>
      </c>
      <c r="O281" s="1150"/>
      <c r="P281" s="1150"/>
      <c r="Q281" s="1150"/>
      <c r="R281" s="1150"/>
      <c r="S281" s="1150"/>
      <c r="T281" s="1150"/>
      <c r="U281" s="1150"/>
      <c r="V281" s="1150"/>
      <c r="W281" s="1151"/>
    </row>
    <row r="282" spans="1:23" customFormat="1" ht="16.5" customHeight="1">
      <c r="A282" s="134" t="s">
        <v>166</v>
      </c>
      <c r="B282" s="135">
        <v>27</v>
      </c>
      <c r="C282" s="136">
        <v>46204</v>
      </c>
      <c r="D282" s="137" t="s">
        <v>136</v>
      </c>
      <c r="E282" s="906" t="s">
        <v>173</v>
      </c>
      <c r="F282" s="906" t="s">
        <v>180</v>
      </c>
      <c r="G282" s="906" t="s">
        <v>36</v>
      </c>
      <c r="H282" s="139">
        <v>4965985</v>
      </c>
      <c r="I282" s="906" t="s">
        <v>830</v>
      </c>
      <c r="J282" s="906">
        <v>13</v>
      </c>
      <c r="K282" s="1150"/>
      <c r="L282" s="1150"/>
      <c r="M282" s="1150"/>
      <c r="N282" s="1150"/>
      <c r="O282" s="1150"/>
      <c r="P282" s="1150"/>
      <c r="Q282" s="1150"/>
      <c r="R282" s="1150"/>
      <c r="S282" s="1150"/>
      <c r="T282" s="1150"/>
      <c r="U282" s="1150"/>
      <c r="V282" s="1150"/>
      <c r="W282" s="1151"/>
    </row>
    <row r="283" spans="1:23" customFormat="1" ht="16.5" customHeight="1">
      <c r="A283" s="134" t="s">
        <v>166</v>
      </c>
      <c r="B283" s="135">
        <v>27</v>
      </c>
      <c r="C283" s="136">
        <v>46204</v>
      </c>
      <c r="D283" s="137" t="s">
        <v>136</v>
      </c>
      <c r="E283" s="906" t="s">
        <v>173</v>
      </c>
      <c r="F283" s="906" t="s">
        <v>180</v>
      </c>
      <c r="G283" s="906" t="s">
        <v>36</v>
      </c>
      <c r="H283" s="139">
        <v>4965985</v>
      </c>
      <c r="I283" s="906" t="s">
        <v>831</v>
      </c>
      <c r="J283" s="906">
        <v>2</v>
      </c>
      <c r="K283" s="1150"/>
      <c r="L283" s="1150"/>
      <c r="M283" s="1150"/>
      <c r="N283" s="1150"/>
      <c r="O283" s="1150"/>
      <c r="P283" s="1150"/>
      <c r="Q283" s="1150"/>
      <c r="R283" s="1150"/>
      <c r="S283" s="1150"/>
      <c r="T283" s="1150"/>
      <c r="U283" s="1150"/>
      <c r="V283" s="1150"/>
      <c r="W283" s="1151"/>
    </row>
    <row r="284" spans="1:23" customFormat="1" ht="16.5" customHeight="1">
      <c r="A284" s="134" t="s">
        <v>166</v>
      </c>
      <c r="B284" s="135">
        <v>27</v>
      </c>
      <c r="C284" s="136">
        <v>46204</v>
      </c>
      <c r="D284" s="137" t="s">
        <v>136</v>
      </c>
      <c r="E284" s="906" t="s">
        <v>173</v>
      </c>
      <c r="F284" s="906" t="s">
        <v>180</v>
      </c>
      <c r="G284" s="906" t="s">
        <v>36</v>
      </c>
      <c r="H284" s="139">
        <v>4965985</v>
      </c>
      <c r="I284" s="906" t="s">
        <v>832</v>
      </c>
      <c r="J284" s="906">
        <v>3</v>
      </c>
      <c r="K284" s="1150"/>
      <c r="L284" s="1150"/>
      <c r="M284" s="1150"/>
      <c r="N284" s="1150"/>
      <c r="O284" s="1150"/>
      <c r="P284" s="1150"/>
      <c r="Q284" s="1150"/>
      <c r="R284" s="1150"/>
      <c r="S284" s="1150"/>
      <c r="T284" s="1150"/>
      <c r="U284" s="1150"/>
      <c r="V284" s="1150"/>
      <c r="W284" s="1151"/>
    </row>
    <row r="285" spans="1:23" customFormat="1" ht="16.5" customHeight="1">
      <c r="A285" s="134" t="s">
        <v>166</v>
      </c>
      <c r="B285" s="135">
        <v>27</v>
      </c>
      <c r="C285" s="136">
        <v>46204</v>
      </c>
      <c r="D285" s="137" t="s">
        <v>136</v>
      </c>
      <c r="E285" s="906" t="s">
        <v>173</v>
      </c>
      <c r="F285" s="906" t="s">
        <v>180</v>
      </c>
      <c r="G285" s="906" t="s">
        <v>36</v>
      </c>
      <c r="H285" s="139">
        <v>4965985</v>
      </c>
      <c r="I285" s="906" t="s">
        <v>833</v>
      </c>
      <c r="J285" s="906">
        <v>10</v>
      </c>
      <c r="K285" s="1150"/>
      <c r="L285" s="1150"/>
      <c r="M285" s="1150"/>
      <c r="N285" s="1150"/>
      <c r="O285" s="1150"/>
      <c r="P285" s="1150"/>
      <c r="Q285" s="1150"/>
      <c r="R285" s="1150"/>
      <c r="S285" s="1150"/>
      <c r="T285" s="1150"/>
      <c r="U285" s="1150"/>
      <c r="V285" s="1150"/>
      <c r="W285" s="1151"/>
    </row>
    <row r="286" spans="1:23" customFormat="1" ht="16.5" customHeight="1">
      <c r="A286" s="134" t="s">
        <v>166</v>
      </c>
      <c r="B286" s="135">
        <v>27</v>
      </c>
      <c r="C286" s="136">
        <v>46204</v>
      </c>
      <c r="D286" s="137" t="s">
        <v>136</v>
      </c>
      <c r="E286" s="906" t="s">
        <v>173</v>
      </c>
      <c r="F286" s="906" t="s">
        <v>180</v>
      </c>
      <c r="G286" s="906" t="s">
        <v>28</v>
      </c>
      <c r="H286" s="139">
        <v>4965984</v>
      </c>
      <c r="I286" s="906" t="s">
        <v>834</v>
      </c>
      <c r="J286" s="906">
        <v>2</v>
      </c>
      <c r="K286" s="1150"/>
      <c r="L286" s="1150"/>
      <c r="M286" s="1150"/>
      <c r="N286" s="1150"/>
      <c r="O286" s="1150"/>
      <c r="P286" s="1150"/>
      <c r="Q286" s="1150"/>
      <c r="R286" s="1150"/>
      <c r="S286" s="1150"/>
      <c r="T286" s="1150"/>
      <c r="U286" s="1150"/>
      <c r="V286" s="1150"/>
      <c r="W286" s="1151"/>
    </row>
    <row r="287" spans="1:23" customFormat="1" ht="16.5" customHeight="1">
      <c r="A287" s="134" t="s">
        <v>166</v>
      </c>
      <c r="B287" s="135">
        <v>27</v>
      </c>
      <c r="C287" s="136">
        <v>46204</v>
      </c>
      <c r="D287" s="137" t="s">
        <v>136</v>
      </c>
      <c r="E287" s="906" t="s">
        <v>173</v>
      </c>
      <c r="F287" s="906" t="s">
        <v>180</v>
      </c>
      <c r="G287" s="906" t="s">
        <v>28</v>
      </c>
      <c r="H287" s="139">
        <v>4965984</v>
      </c>
      <c r="I287" s="906" t="s">
        <v>835</v>
      </c>
      <c r="J287" s="906">
        <v>4</v>
      </c>
      <c r="K287" s="1150"/>
      <c r="L287" s="1150"/>
      <c r="M287" s="1150"/>
      <c r="N287" s="1150"/>
      <c r="O287" s="1150"/>
      <c r="P287" s="1150"/>
      <c r="Q287" s="1150"/>
      <c r="R287" s="1150"/>
      <c r="S287" s="1150"/>
      <c r="T287" s="1150"/>
      <c r="U287" s="1150"/>
      <c r="V287" s="1150"/>
      <c r="W287" s="1151"/>
    </row>
    <row r="288" spans="1:23" customFormat="1" ht="16.5" customHeight="1">
      <c r="A288" s="134" t="s">
        <v>166</v>
      </c>
      <c r="B288" s="135">
        <v>27</v>
      </c>
      <c r="C288" s="136">
        <v>46204</v>
      </c>
      <c r="D288" s="137" t="s">
        <v>136</v>
      </c>
      <c r="E288" s="906" t="s">
        <v>173</v>
      </c>
      <c r="F288" s="906" t="s">
        <v>180</v>
      </c>
      <c r="G288" s="906" t="s">
        <v>28</v>
      </c>
      <c r="H288" s="139">
        <v>4965984</v>
      </c>
      <c r="I288" s="906" t="s">
        <v>836</v>
      </c>
      <c r="J288" s="906">
        <v>4</v>
      </c>
      <c r="K288" s="1150"/>
      <c r="L288" s="1150"/>
      <c r="M288" s="1150"/>
      <c r="N288" s="1150"/>
      <c r="O288" s="1150"/>
      <c r="P288" s="1150"/>
      <c r="Q288" s="1150"/>
      <c r="R288" s="1150"/>
      <c r="S288" s="1150"/>
      <c r="T288" s="1150"/>
      <c r="U288" s="1150"/>
      <c r="V288" s="1150"/>
      <c r="W288" s="1151"/>
    </row>
    <row r="289" spans="1:23" customFormat="1" ht="16.5" customHeight="1">
      <c r="A289" s="134" t="s">
        <v>166</v>
      </c>
      <c r="B289" s="135">
        <v>27</v>
      </c>
      <c r="C289" s="136">
        <v>46204</v>
      </c>
      <c r="D289" s="137" t="s">
        <v>136</v>
      </c>
      <c r="E289" s="906" t="s">
        <v>173</v>
      </c>
      <c r="F289" s="906" t="s">
        <v>180</v>
      </c>
      <c r="G289" s="906" t="s">
        <v>28</v>
      </c>
      <c r="H289" s="139">
        <v>4965984</v>
      </c>
      <c r="I289" s="906" t="s">
        <v>837</v>
      </c>
      <c r="J289" s="906">
        <v>5</v>
      </c>
      <c r="K289" s="1150"/>
      <c r="L289" s="1150"/>
      <c r="M289" s="1150"/>
      <c r="N289" s="1150"/>
      <c r="O289" s="1150"/>
      <c r="P289" s="1150"/>
      <c r="Q289" s="1150"/>
      <c r="R289" s="1150"/>
      <c r="S289" s="1150"/>
      <c r="T289" s="1150"/>
      <c r="U289" s="1150"/>
      <c r="V289" s="1150"/>
      <c r="W289" s="1151"/>
    </row>
    <row r="290" spans="1:23" customFormat="1" ht="16.5" customHeight="1">
      <c r="A290" s="134" t="s">
        <v>166</v>
      </c>
      <c r="B290" s="135">
        <v>27</v>
      </c>
      <c r="C290" s="136">
        <v>46204</v>
      </c>
      <c r="D290" s="137" t="s">
        <v>136</v>
      </c>
      <c r="E290" s="906" t="s">
        <v>173</v>
      </c>
      <c r="F290" s="906" t="s">
        <v>180</v>
      </c>
      <c r="G290" s="906" t="s">
        <v>28</v>
      </c>
      <c r="H290" s="139">
        <v>4965984</v>
      </c>
      <c r="I290" s="906" t="s">
        <v>838</v>
      </c>
      <c r="J290" s="906">
        <v>3</v>
      </c>
      <c r="K290" s="1150"/>
      <c r="L290" s="1150"/>
      <c r="M290" s="1150"/>
      <c r="N290" s="1150"/>
      <c r="O290" s="1150"/>
      <c r="P290" s="1150"/>
      <c r="Q290" s="1150"/>
      <c r="R290" s="1150"/>
      <c r="S290" s="1150"/>
      <c r="T290" s="1150"/>
      <c r="U290" s="1150"/>
      <c r="V290" s="1150"/>
      <c r="W290" s="1151"/>
    </row>
    <row r="291" spans="1:23" customFormat="1" ht="16.5" customHeight="1">
      <c r="A291" s="134" t="s">
        <v>166</v>
      </c>
      <c r="B291" s="135">
        <v>27</v>
      </c>
      <c r="C291" s="136">
        <v>46204</v>
      </c>
      <c r="D291" s="137" t="s">
        <v>136</v>
      </c>
      <c r="E291" s="906" t="s">
        <v>173</v>
      </c>
      <c r="F291" s="906" t="s">
        <v>180</v>
      </c>
      <c r="G291" s="906" t="s">
        <v>32</v>
      </c>
      <c r="H291" s="139">
        <v>4965983</v>
      </c>
      <c r="I291" s="906" t="s">
        <v>839</v>
      </c>
      <c r="J291" s="906">
        <v>6</v>
      </c>
      <c r="K291" s="1150"/>
      <c r="L291" s="1150"/>
      <c r="M291" s="1150"/>
      <c r="N291" s="1150"/>
      <c r="O291" s="1150"/>
      <c r="P291" s="1150"/>
      <c r="Q291" s="1150"/>
      <c r="R291" s="1150"/>
      <c r="S291" s="1150"/>
      <c r="T291" s="1150"/>
      <c r="U291" s="1150"/>
      <c r="V291" s="1150"/>
      <c r="W291" s="1151"/>
    </row>
    <row r="292" spans="1:23" customFormat="1" ht="16.5" customHeight="1">
      <c r="A292" s="134" t="s">
        <v>166</v>
      </c>
      <c r="B292" s="135">
        <v>27</v>
      </c>
      <c r="C292" s="136">
        <v>46204</v>
      </c>
      <c r="D292" s="137" t="s">
        <v>136</v>
      </c>
      <c r="E292" s="906" t="s">
        <v>173</v>
      </c>
      <c r="F292" s="906" t="s">
        <v>180</v>
      </c>
      <c r="G292" s="906" t="s">
        <v>32</v>
      </c>
      <c r="H292" s="139">
        <v>4965983</v>
      </c>
      <c r="I292" s="906" t="s">
        <v>840</v>
      </c>
      <c r="J292" s="906">
        <v>6</v>
      </c>
      <c r="K292" s="1150"/>
      <c r="L292" s="1150"/>
      <c r="M292" s="1150"/>
      <c r="N292" s="1150"/>
      <c r="O292" s="1150"/>
      <c r="P292" s="1150"/>
      <c r="Q292" s="1150"/>
      <c r="R292" s="1150"/>
      <c r="S292" s="1150"/>
      <c r="T292" s="1150"/>
      <c r="U292" s="1150"/>
      <c r="V292" s="1150"/>
      <c r="W292" s="1151"/>
    </row>
    <row r="293" spans="1:23" customFormat="1" ht="16.5" customHeight="1">
      <c r="A293" s="134" t="s">
        <v>166</v>
      </c>
      <c r="B293" s="135">
        <v>27</v>
      </c>
      <c r="C293" s="136">
        <v>46204</v>
      </c>
      <c r="D293" s="137" t="s">
        <v>136</v>
      </c>
      <c r="E293" s="906" t="s">
        <v>173</v>
      </c>
      <c r="F293" s="906" t="s">
        <v>180</v>
      </c>
      <c r="G293" s="906" t="s">
        <v>32</v>
      </c>
      <c r="H293" s="139">
        <v>4965983</v>
      </c>
      <c r="I293" s="906" t="s">
        <v>841</v>
      </c>
      <c r="J293" s="906">
        <v>8</v>
      </c>
      <c r="K293" s="1150"/>
      <c r="L293" s="1150"/>
      <c r="M293" s="1150"/>
      <c r="N293" s="1150"/>
      <c r="O293" s="1150"/>
      <c r="P293" s="1150"/>
      <c r="Q293" s="1150"/>
      <c r="R293" s="1150"/>
      <c r="S293" s="1150"/>
      <c r="T293" s="1150"/>
      <c r="U293" s="1150"/>
      <c r="V293" s="1150"/>
      <c r="W293" s="1151"/>
    </row>
    <row r="294" spans="1:23" customFormat="1" ht="16.5" customHeight="1">
      <c r="A294" s="134" t="s">
        <v>166</v>
      </c>
      <c r="B294" s="135">
        <v>27</v>
      </c>
      <c r="C294" s="136">
        <v>46204</v>
      </c>
      <c r="D294" s="137" t="s">
        <v>136</v>
      </c>
      <c r="E294" s="906" t="s">
        <v>173</v>
      </c>
      <c r="F294" s="906" t="s">
        <v>180</v>
      </c>
      <c r="G294" s="906" t="s">
        <v>32</v>
      </c>
      <c r="H294" s="139">
        <v>4965983</v>
      </c>
      <c r="I294" s="906" t="s">
        <v>842</v>
      </c>
      <c r="J294" s="906">
        <v>7</v>
      </c>
      <c r="K294" s="1150"/>
      <c r="L294" s="1150"/>
      <c r="M294" s="1150"/>
      <c r="N294" s="1150"/>
      <c r="O294" s="1150"/>
      <c r="P294" s="1150"/>
      <c r="Q294" s="1150"/>
      <c r="R294" s="1150"/>
      <c r="S294" s="1150"/>
      <c r="T294" s="1150"/>
      <c r="U294" s="1150"/>
      <c r="V294" s="1150"/>
      <c r="W294" s="1151"/>
    </row>
    <row r="295" spans="1:23" customFormat="1" ht="16.5" customHeight="1" thickBot="1">
      <c r="A295" s="116" t="s">
        <v>166</v>
      </c>
      <c r="B295" s="141">
        <v>27</v>
      </c>
      <c r="C295" s="142">
        <v>46204</v>
      </c>
      <c r="D295" s="143" t="s">
        <v>136</v>
      </c>
      <c r="E295" s="907" t="s">
        <v>173</v>
      </c>
      <c r="F295" s="907" t="s">
        <v>180</v>
      </c>
      <c r="G295" s="907" t="s">
        <v>32</v>
      </c>
      <c r="H295" s="145">
        <v>4965983</v>
      </c>
      <c r="I295" s="907" t="s">
        <v>843</v>
      </c>
      <c r="J295" s="907">
        <v>13</v>
      </c>
      <c r="K295" s="1147"/>
      <c r="L295" s="1147"/>
      <c r="M295" s="1147"/>
      <c r="N295" s="1147"/>
      <c r="O295" s="1147"/>
      <c r="P295" s="1147"/>
      <c r="Q295" s="1147"/>
      <c r="R295" s="1147"/>
      <c r="S295" s="1147"/>
      <c r="T295" s="1147"/>
      <c r="U295" s="1147"/>
      <c r="V295" s="1147"/>
      <c r="W295" s="1149"/>
    </row>
    <row r="296" spans="1:23" customFormat="1" ht="16.5" customHeight="1">
      <c r="A296" s="63" t="s">
        <v>166</v>
      </c>
      <c r="B296" s="149">
        <v>28</v>
      </c>
      <c r="C296" s="150">
        <v>46214</v>
      </c>
      <c r="D296" s="151" t="s">
        <v>253</v>
      </c>
      <c r="E296" s="955" t="s">
        <v>259</v>
      </c>
      <c r="F296" s="955" t="s">
        <v>261</v>
      </c>
      <c r="G296" s="955">
        <v>700</v>
      </c>
      <c r="H296" s="153">
        <v>5747049</v>
      </c>
      <c r="I296" s="955" t="s">
        <v>794</v>
      </c>
      <c r="J296" s="955">
        <v>17</v>
      </c>
      <c r="K296" s="955">
        <v>2</v>
      </c>
      <c r="L296" s="955"/>
      <c r="M296" s="955">
        <v>0</v>
      </c>
      <c r="N296" s="955" t="s">
        <v>149</v>
      </c>
      <c r="O296" s="955"/>
      <c r="P296" s="955"/>
      <c r="Q296" s="955"/>
      <c r="R296" s="955"/>
      <c r="S296" s="955"/>
      <c r="T296" s="955"/>
      <c r="U296" s="955"/>
      <c r="V296" s="955"/>
      <c r="W296" s="952"/>
    </row>
    <row r="297" spans="1:23" customFormat="1" ht="16.5" customHeight="1" thickBot="1">
      <c r="A297" s="116" t="s">
        <v>166</v>
      </c>
      <c r="B297" s="141">
        <v>28</v>
      </c>
      <c r="C297" s="142">
        <v>46214</v>
      </c>
      <c r="D297" s="143" t="s">
        <v>253</v>
      </c>
      <c r="E297" s="953" t="s">
        <v>259</v>
      </c>
      <c r="F297" s="953" t="s">
        <v>260</v>
      </c>
      <c r="G297" s="953">
        <v>700</v>
      </c>
      <c r="H297" s="145">
        <v>5747048</v>
      </c>
      <c r="I297" s="953" t="s">
        <v>795</v>
      </c>
      <c r="J297" s="953">
        <v>17</v>
      </c>
      <c r="K297" s="953">
        <v>2</v>
      </c>
      <c r="L297" s="953"/>
      <c r="M297" s="953">
        <v>0</v>
      </c>
      <c r="N297" s="953" t="s">
        <v>149</v>
      </c>
      <c r="O297" s="953"/>
      <c r="P297" s="953"/>
      <c r="Q297" s="953"/>
      <c r="R297" s="953"/>
      <c r="S297" s="953"/>
      <c r="T297" s="953"/>
      <c r="U297" s="953"/>
      <c r="V297" s="953"/>
      <c r="W297" s="954"/>
    </row>
    <row r="298" spans="1:23" customFormat="1" ht="16.5" customHeight="1">
      <c r="A298" s="63" t="s">
        <v>166</v>
      </c>
      <c r="B298" s="149">
        <v>29</v>
      </c>
      <c r="C298" s="150">
        <v>46216</v>
      </c>
      <c r="D298" s="151" t="s">
        <v>216</v>
      </c>
      <c r="E298" s="958" t="s">
        <v>217</v>
      </c>
      <c r="F298" s="958" t="s">
        <v>222</v>
      </c>
      <c r="G298" s="958" t="s">
        <v>52</v>
      </c>
      <c r="H298" s="153">
        <v>5366527</v>
      </c>
      <c r="I298" s="958" t="s">
        <v>892</v>
      </c>
      <c r="J298" s="958">
        <v>1</v>
      </c>
      <c r="K298" s="1169">
        <v>1</v>
      </c>
      <c r="L298" s="1169"/>
      <c r="M298" s="1169">
        <v>0</v>
      </c>
      <c r="N298" s="1169" t="s">
        <v>149</v>
      </c>
      <c r="O298" s="1169"/>
      <c r="P298" s="1169"/>
      <c r="Q298" s="1169"/>
      <c r="R298" s="1169"/>
      <c r="S298" s="1169"/>
      <c r="T298" s="1169"/>
      <c r="U298" s="1169"/>
      <c r="V298" s="1169"/>
      <c r="W298" s="1173"/>
    </row>
    <row r="299" spans="1:23" customFormat="1" ht="16.5" customHeight="1">
      <c r="A299" s="134" t="s">
        <v>166</v>
      </c>
      <c r="B299" s="135">
        <v>29</v>
      </c>
      <c r="C299" s="136">
        <v>46216</v>
      </c>
      <c r="D299" s="137" t="s">
        <v>216</v>
      </c>
      <c r="E299" s="956" t="s">
        <v>217</v>
      </c>
      <c r="F299" s="956" t="s">
        <v>222</v>
      </c>
      <c r="G299" s="956" t="s">
        <v>52</v>
      </c>
      <c r="H299" s="139">
        <v>5366527</v>
      </c>
      <c r="I299" s="956" t="s">
        <v>893</v>
      </c>
      <c r="J299" s="956">
        <v>1</v>
      </c>
      <c r="K299" s="1150"/>
      <c r="L299" s="1150"/>
      <c r="M299" s="1150"/>
      <c r="N299" s="1150"/>
      <c r="O299" s="1150"/>
      <c r="P299" s="1150"/>
      <c r="Q299" s="1150"/>
      <c r="R299" s="1150"/>
      <c r="S299" s="1150"/>
      <c r="T299" s="1150"/>
      <c r="U299" s="1150"/>
      <c r="V299" s="1150"/>
      <c r="W299" s="1151"/>
    </row>
    <row r="300" spans="1:23" customFormat="1" ht="16.5" customHeight="1">
      <c r="A300" s="134" t="s">
        <v>166</v>
      </c>
      <c r="B300" s="135">
        <v>29</v>
      </c>
      <c r="C300" s="136">
        <v>46216</v>
      </c>
      <c r="D300" s="137" t="s">
        <v>216</v>
      </c>
      <c r="E300" s="956" t="s">
        <v>217</v>
      </c>
      <c r="F300" s="956" t="s">
        <v>222</v>
      </c>
      <c r="G300" s="956" t="s">
        <v>36</v>
      </c>
      <c r="H300" s="139">
        <v>5366526</v>
      </c>
      <c r="I300" s="956" t="s">
        <v>894</v>
      </c>
      <c r="J300" s="956">
        <v>4</v>
      </c>
      <c r="K300" s="1150"/>
      <c r="L300" s="1150"/>
      <c r="M300" s="1150"/>
      <c r="N300" s="1150"/>
      <c r="O300" s="1150"/>
      <c r="P300" s="1150"/>
      <c r="Q300" s="1150"/>
      <c r="R300" s="1150"/>
      <c r="S300" s="1150"/>
      <c r="T300" s="1150"/>
      <c r="U300" s="1150"/>
      <c r="V300" s="1150"/>
      <c r="W300" s="1151"/>
    </row>
    <row r="301" spans="1:23" customFormat="1" ht="16.5" customHeight="1">
      <c r="A301" s="134" t="s">
        <v>166</v>
      </c>
      <c r="B301" s="135">
        <v>29</v>
      </c>
      <c r="C301" s="136">
        <v>46216</v>
      </c>
      <c r="D301" s="137" t="s">
        <v>216</v>
      </c>
      <c r="E301" s="956" t="s">
        <v>217</v>
      </c>
      <c r="F301" s="956" t="s">
        <v>222</v>
      </c>
      <c r="G301" s="956" t="s">
        <v>36</v>
      </c>
      <c r="H301" s="139">
        <v>5366526</v>
      </c>
      <c r="I301" s="956" t="s">
        <v>895</v>
      </c>
      <c r="J301" s="956">
        <v>3</v>
      </c>
      <c r="K301" s="1150"/>
      <c r="L301" s="1150"/>
      <c r="M301" s="1150"/>
      <c r="N301" s="1150"/>
      <c r="O301" s="1150"/>
      <c r="P301" s="1150"/>
      <c r="Q301" s="1150"/>
      <c r="R301" s="1150"/>
      <c r="S301" s="1150"/>
      <c r="T301" s="1150"/>
      <c r="U301" s="1150"/>
      <c r="V301" s="1150"/>
      <c r="W301" s="1151"/>
    </row>
    <row r="302" spans="1:23" customFormat="1" ht="16.5" customHeight="1">
      <c r="A302" s="134" t="s">
        <v>166</v>
      </c>
      <c r="B302" s="135">
        <v>29</v>
      </c>
      <c r="C302" s="136">
        <v>46216</v>
      </c>
      <c r="D302" s="137" t="s">
        <v>216</v>
      </c>
      <c r="E302" s="956" t="s">
        <v>217</v>
      </c>
      <c r="F302" s="956" t="s">
        <v>222</v>
      </c>
      <c r="G302" s="956" t="s">
        <v>28</v>
      </c>
      <c r="H302" s="139">
        <v>5366525</v>
      </c>
      <c r="I302" s="956" t="s">
        <v>896</v>
      </c>
      <c r="J302" s="956">
        <v>8</v>
      </c>
      <c r="K302" s="1150"/>
      <c r="L302" s="1150"/>
      <c r="M302" s="1150"/>
      <c r="N302" s="1150"/>
      <c r="O302" s="1150"/>
      <c r="P302" s="1150"/>
      <c r="Q302" s="1150"/>
      <c r="R302" s="1150"/>
      <c r="S302" s="1150"/>
      <c r="T302" s="1150"/>
      <c r="U302" s="1150"/>
      <c r="V302" s="1150"/>
      <c r="W302" s="1151"/>
    </row>
    <row r="303" spans="1:23" customFormat="1" ht="16.5" customHeight="1">
      <c r="A303" s="134" t="s">
        <v>166</v>
      </c>
      <c r="B303" s="135">
        <v>29</v>
      </c>
      <c r="C303" s="136">
        <v>46216</v>
      </c>
      <c r="D303" s="137" t="s">
        <v>216</v>
      </c>
      <c r="E303" s="956" t="s">
        <v>217</v>
      </c>
      <c r="F303" s="956" t="s">
        <v>222</v>
      </c>
      <c r="G303" s="956" t="s">
        <v>28</v>
      </c>
      <c r="H303" s="139">
        <v>5366525</v>
      </c>
      <c r="I303" s="956" t="s">
        <v>897</v>
      </c>
      <c r="J303" s="956">
        <v>6</v>
      </c>
      <c r="K303" s="1150"/>
      <c r="L303" s="1150"/>
      <c r="M303" s="1150"/>
      <c r="N303" s="1150"/>
      <c r="O303" s="1150"/>
      <c r="P303" s="1150"/>
      <c r="Q303" s="1150"/>
      <c r="R303" s="1150"/>
      <c r="S303" s="1150"/>
      <c r="T303" s="1150"/>
      <c r="U303" s="1150"/>
      <c r="V303" s="1150"/>
      <c r="W303" s="1151"/>
    </row>
    <row r="304" spans="1:23" customFormat="1" ht="16.5" customHeight="1">
      <c r="A304" s="134" t="s">
        <v>166</v>
      </c>
      <c r="B304" s="135">
        <v>29</v>
      </c>
      <c r="C304" s="136">
        <v>46216</v>
      </c>
      <c r="D304" s="137" t="s">
        <v>216</v>
      </c>
      <c r="E304" s="956" t="s">
        <v>217</v>
      </c>
      <c r="F304" s="956" t="s">
        <v>222</v>
      </c>
      <c r="G304" s="956" t="s">
        <v>32</v>
      </c>
      <c r="H304" s="139">
        <v>5366523</v>
      </c>
      <c r="I304" s="956" t="s">
        <v>898</v>
      </c>
      <c r="J304" s="956">
        <v>6</v>
      </c>
      <c r="K304" s="1150"/>
      <c r="L304" s="1150"/>
      <c r="M304" s="1150"/>
      <c r="N304" s="1150"/>
      <c r="O304" s="1150"/>
      <c r="P304" s="1150"/>
      <c r="Q304" s="1150"/>
      <c r="R304" s="1150"/>
      <c r="S304" s="1150"/>
      <c r="T304" s="1150"/>
      <c r="U304" s="1150"/>
      <c r="V304" s="1150"/>
      <c r="W304" s="1151"/>
    </row>
    <row r="305" spans="1:23" customFormat="1" ht="16.5" customHeight="1">
      <c r="A305" s="134" t="s">
        <v>166</v>
      </c>
      <c r="B305" s="135">
        <v>29</v>
      </c>
      <c r="C305" s="136">
        <v>46216</v>
      </c>
      <c r="D305" s="137" t="s">
        <v>216</v>
      </c>
      <c r="E305" s="956" t="s">
        <v>217</v>
      </c>
      <c r="F305" s="956" t="s">
        <v>222</v>
      </c>
      <c r="G305" s="956" t="s">
        <v>32</v>
      </c>
      <c r="H305" s="139">
        <v>5366523</v>
      </c>
      <c r="I305" s="956" t="s">
        <v>899</v>
      </c>
      <c r="J305" s="956">
        <v>5</v>
      </c>
      <c r="K305" s="1150"/>
      <c r="L305" s="1150"/>
      <c r="M305" s="1150"/>
      <c r="N305" s="1150"/>
      <c r="O305" s="1150"/>
      <c r="P305" s="1150"/>
      <c r="Q305" s="1150"/>
      <c r="R305" s="1150"/>
      <c r="S305" s="1150"/>
      <c r="T305" s="1150"/>
      <c r="U305" s="1150"/>
      <c r="V305" s="1150"/>
      <c r="W305" s="1151"/>
    </row>
    <row r="306" spans="1:23" customFormat="1" ht="16.5" customHeight="1">
      <c r="A306" s="134" t="s">
        <v>166</v>
      </c>
      <c r="B306" s="135">
        <v>29</v>
      </c>
      <c r="C306" s="136">
        <v>46216</v>
      </c>
      <c r="D306" s="137" t="s">
        <v>216</v>
      </c>
      <c r="E306" s="956" t="s">
        <v>217</v>
      </c>
      <c r="F306" s="956" t="s">
        <v>222</v>
      </c>
      <c r="G306" s="956" t="s">
        <v>63</v>
      </c>
      <c r="H306" s="139">
        <v>5366522</v>
      </c>
      <c r="I306" s="956" t="s">
        <v>900</v>
      </c>
      <c r="J306" s="956">
        <v>1</v>
      </c>
      <c r="K306" s="1150"/>
      <c r="L306" s="1150"/>
      <c r="M306" s="1150"/>
      <c r="N306" s="1150"/>
      <c r="O306" s="1150"/>
      <c r="P306" s="1150"/>
      <c r="Q306" s="1150"/>
      <c r="R306" s="1150"/>
      <c r="S306" s="1150"/>
      <c r="T306" s="1150"/>
      <c r="U306" s="1150"/>
      <c r="V306" s="1150"/>
      <c r="W306" s="1151"/>
    </row>
    <row r="307" spans="1:23" customFormat="1" ht="16.5" customHeight="1" thickBot="1">
      <c r="A307" s="116" t="s">
        <v>166</v>
      </c>
      <c r="B307" s="141">
        <v>29</v>
      </c>
      <c r="C307" s="142">
        <v>46216</v>
      </c>
      <c r="D307" s="143" t="s">
        <v>216</v>
      </c>
      <c r="E307" s="957" t="s">
        <v>217</v>
      </c>
      <c r="F307" s="957" t="s">
        <v>222</v>
      </c>
      <c r="G307" s="957" t="s">
        <v>63</v>
      </c>
      <c r="H307" s="145">
        <v>5366522</v>
      </c>
      <c r="I307" s="957" t="s">
        <v>901</v>
      </c>
      <c r="J307" s="957">
        <v>1</v>
      </c>
      <c r="K307" s="1147"/>
      <c r="L307" s="1147"/>
      <c r="M307" s="1147"/>
      <c r="N307" s="1147"/>
      <c r="O307" s="1147"/>
      <c r="P307" s="1147"/>
      <c r="Q307" s="1147"/>
      <c r="R307" s="1147"/>
      <c r="S307" s="1147"/>
      <c r="T307" s="1147"/>
      <c r="U307" s="1147"/>
      <c r="V307" s="1147"/>
      <c r="W307" s="1149"/>
    </row>
    <row r="308" spans="1:23" customFormat="1" ht="16.5" customHeight="1">
      <c r="A308" s="63" t="s">
        <v>166</v>
      </c>
      <c r="B308" s="149">
        <v>29</v>
      </c>
      <c r="C308" s="150">
        <v>46217</v>
      </c>
      <c r="D308" s="151" t="s">
        <v>216</v>
      </c>
      <c r="E308" s="958" t="s">
        <v>221</v>
      </c>
      <c r="F308" s="958" t="s">
        <v>218</v>
      </c>
      <c r="G308" s="958" t="s">
        <v>52</v>
      </c>
      <c r="H308" s="153">
        <v>5366533</v>
      </c>
      <c r="I308" s="958" t="s">
        <v>902</v>
      </c>
      <c r="J308" s="958">
        <v>2</v>
      </c>
      <c r="K308" s="1169">
        <v>1</v>
      </c>
      <c r="L308" s="1169"/>
      <c r="M308" s="1169">
        <v>0</v>
      </c>
      <c r="N308" s="1169" t="s">
        <v>149</v>
      </c>
      <c r="O308" s="1169"/>
      <c r="P308" s="1169"/>
      <c r="Q308" s="1169"/>
      <c r="R308" s="1169"/>
      <c r="S308" s="1169"/>
      <c r="T308" s="1169"/>
      <c r="U308" s="1169"/>
      <c r="V308" s="1169"/>
      <c r="W308" s="1173"/>
    </row>
    <row r="309" spans="1:23" customFormat="1" ht="16.5" customHeight="1">
      <c r="A309" s="134" t="s">
        <v>166</v>
      </c>
      <c r="B309" s="135">
        <v>29</v>
      </c>
      <c r="C309" s="136">
        <v>46217</v>
      </c>
      <c r="D309" s="137" t="s">
        <v>216</v>
      </c>
      <c r="E309" s="956" t="s">
        <v>221</v>
      </c>
      <c r="F309" s="956" t="s">
        <v>218</v>
      </c>
      <c r="G309" s="956" t="s">
        <v>36</v>
      </c>
      <c r="H309" s="139">
        <v>5366531</v>
      </c>
      <c r="I309" s="956" t="s">
        <v>903</v>
      </c>
      <c r="J309" s="956">
        <v>7</v>
      </c>
      <c r="K309" s="1150"/>
      <c r="L309" s="1150"/>
      <c r="M309" s="1150"/>
      <c r="N309" s="1150"/>
      <c r="O309" s="1150"/>
      <c r="P309" s="1150"/>
      <c r="Q309" s="1150"/>
      <c r="R309" s="1150"/>
      <c r="S309" s="1150"/>
      <c r="T309" s="1150"/>
      <c r="U309" s="1150"/>
      <c r="V309" s="1150"/>
      <c r="W309" s="1151"/>
    </row>
    <row r="310" spans="1:23" customFormat="1" ht="16.5" customHeight="1">
      <c r="A310" s="134" t="s">
        <v>166</v>
      </c>
      <c r="B310" s="135">
        <v>29</v>
      </c>
      <c r="C310" s="136">
        <v>46217</v>
      </c>
      <c r="D310" s="137" t="s">
        <v>216</v>
      </c>
      <c r="E310" s="956" t="s">
        <v>221</v>
      </c>
      <c r="F310" s="956" t="s">
        <v>218</v>
      </c>
      <c r="G310" s="956" t="s">
        <v>32</v>
      </c>
      <c r="H310" s="139">
        <v>5366529</v>
      </c>
      <c r="I310" s="956" t="s">
        <v>904</v>
      </c>
      <c r="J310" s="956">
        <v>7</v>
      </c>
      <c r="K310" s="1150"/>
      <c r="L310" s="1150"/>
      <c r="M310" s="1150"/>
      <c r="N310" s="1150"/>
      <c r="O310" s="1150"/>
      <c r="P310" s="1150"/>
      <c r="Q310" s="1150"/>
      <c r="R310" s="1150"/>
      <c r="S310" s="1150"/>
      <c r="T310" s="1150"/>
      <c r="U310" s="1150"/>
      <c r="V310" s="1150"/>
      <c r="W310" s="1151"/>
    </row>
    <row r="311" spans="1:23" customFormat="1" ht="16.5" customHeight="1">
      <c r="A311" s="134" t="s">
        <v>166</v>
      </c>
      <c r="B311" s="135">
        <v>29</v>
      </c>
      <c r="C311" s="136">
        <v>46217</v>
      </c>
      <c r="D311" s="137" t="s">
        <v>216</v>
      </c>
      <c r="E311" s="956" t="s">
        <v>221</v>
      </c>
      <c r="F311" s="956" t="s">
        <v>218</v>
      </c>
      <c r="G311" s="956" t="s">
        <v>28</v>
      </c>
      <c r="H311" s="139">
        <v>5366530</v>
      </c>
      <c r="I311" s="956" t="s">
        <v>905</v>
      </c>
      <c r="J311" s="956">
        <v>14</v>
      </c>
      <c r="K311" s="1150"/>
      <c r="L311" s="1150"/>
      <c r="M311" s="1150"/>
      <c r="N311" s="1150"/>
      <c r="O311" s="1150"/>
      <c r="P311" s="1150"/>
      <c r="Q311" s="1150"/>
      <c r="R311" s="1150"/>
      <c r="S311" s="1150"/>
      <c r="T311" s="1150"/>
      <c r="U311" s="1150"/>
      <c r="V311" s="1150"/>
      <c r="W311" s="1151"/>
    </row>
    <row r="312" spans="1:23" customFormat="1" ht="16.5" customHeight="1">
      <c r="A312" s="134" t="s">
        <v>166</v>
      </c>
      <c r="B312" s="135">
        <v>29</v>
      </c>
      <c r="C312" s="136">
        <v>46217</v>
      </c>
      <c r="D312" s="137" t="s">
        <v>216</v>
      </c>
      <c r="E312" s="956" t="s">
        <v>221</v>
      </c>
      <c r="F312" s="956" t="s">
        <v>917</v>
      </c>
      <c r="G312" s="956" t="s">
        <v>52</v>
      </c>
      <c r="H312" s="139">
        <v>5811817</v>
      </c>
      <c r="I312" s="956" t="s">
        <v>906</v>
      </c>
      <c r="J312" s="956">
        <v>1</v>
      </c>
      <c r="K312" s="1150"/>
      <c r="L312" s="1150"/>
      <c r="M312" s="1150"/>
      <c r="N312" s="1150"/>
      <c r="O312" s="1150"/>
      <c r="P312" s="1150"/>
      <c r="Q312" s="1150"/>
      <c r="R312" s="1150"/>
      <c r="S312" s="1150"/>
      <c r="T312" s="1150"/>
      <c r="U312" s="1150"/>
      <c r="V312" s="1150"/>
      <c r="W312" s="1151"/>
    </row>
    <row r="313" spans="1:23" customFormat="1" ht="16.5" customHeight="1">
      <c r="A313" s="134" t="s">
        <v>166</v>
      </c>
      <c r="B313" s="135">
        <v>29</v>
      </c>
      <c r="C313" s="136">
        <v>46217</v>
      </c>
      <c r="D313" s="137" t="s">
        <v>216</v>
      </c>
      <c r="E313" s="956" t="s">
        <v>221</v>
      </c>
      <c r="F313" s="956" t="s">
        <v>917</v>
      </c>
      <c r="G313" s="956" t="s">
        <v>52</v>
      </c>
      <c r="H313" s="139">
        <v>5811817</v>
      </c>
      <c r="I313" s="956" t="s">
        <v>907</v>
      </c>
      <c r="J313" s="956">
        <v>2</v>
      </c>
      <c r="K313" s="1150"/>
      <c r="L313" s="1150"/>
      <c r="M313" s="1150"/>
      <c r="N313" s="1150"/>
      <c r="O313" s="1150"/>
      <c r="P313" s="1150"/>
      <c r="Q313" s="1150"/>
      <c r="R313" s="1150"/>
      <c r="S313" s="1150"/>
      <c r="T313" s="1150"/>
      <c r="U313" s="1150"/>
      <c r="V313" s="1150"/>
      <c r="W313" s="1151"/>
    </row>
    <row r="314" spans="1:23" customFormat="1" ht="16.5" customHeight="1" thickBot="1">
      <c r="A314" s="116" t="s">
        <v>166</v>
      </c>
      <c r="B314" s="141">
        <v>29</v>
      </c>
      <c r="C314" s="142">
        <v>46217</v>
      </c>
      <c r="D314" s="143" t="s">
        <v>216</v>
      </c>
      <c r="E314" s="957" t="s">
        <v>221</v>
      </c>
      <c r="F314" s="957" t="s">
        <v>917</v>
      </c>
      <c r="G314" s="957" t="s">
        <v>28</v>
      </c>
      <c r="H314" s="145">
        <v>5811815</v>
      </c>
      <c r="I314" s="957">
        <v>4524298261</v>
      </c>
      <c r="J314" s="957">
        <v>4</v>
      </c>
      <c r="K314" s="1147"/>
      <c r="L314" s="1147"/>
      <c r="M314" s="1147"/>
      <c r="N314" s="1147"/>
      <c r="O314" s="1147"/>
      <c r="P314" s="1147"/>
      <c r="Q314" s="1147"/>
      <c r="R314" s="1147"/>
      <c r="S314" s="1147"/>
      <c r="T314" s="1147"/>
      <c r="U314" s="1147"/>
      <c r="V314" s="1147"/>
      <c r="W314" s="1149"/>
    </row>
    <row r="315" spans="1:23" customFormat="1" ht="16.5" customHeight="1" thickBot="1">
      <c r="A315" s="67" t="s">
        <v>166</v>
      </c>
      <c r="B315" s="68">
        <v>30</v>
      </c>
      <c r="C315" s="69">
        <v>46227</v>
      </c>
      <c r="D315" s="70" t="s">
        <v>136</v>
      </c>
      <c r="E315" s="71" t="s">
        <v>173</v>
      </c>
      <c r="F315" s="71" t="s">
        <v>180</v>
      </c>
      <c r="G315" s="71" t="s">
        <v>36</v>
      </c>
      <c r="H315" s="153">
        <v>4965985</v>
      </c>
      <c r="I315" s="1024" t="s">
        <v>829</v>
      </c>
      <c r="J315" s="1024">
        <v>3</v>
      </c>
      <c r="K315" s="1024">
        <v>1</v>
      </c>
      <c r="L315" s="71"/>
      <c r="M315" s="71">
        <v>0</v>
      </c>
      <c r="N315" s="71" t="s">
        <v>149</v>
      </c>
      <c r="O315" s="71"/>
      <c r="P315" s="71"/>
      <c r="Q315" s="71"/>
      <c r="R315" s="71"/>
      <c r="S315" s="71"/>
      <c r="T315" s="71"/>
      <c r="U315" s="71"/>
      <c r="V315" s="71"/>
      <c r="W315" s="72"/>
    </row>
    <row r="316" spans="1:23" customFormat="1" ht="16.5" customHeight="1">
      <c r="A316" s="63" t="s">
        <v>167</v>
      </c>
      <c r="B316" s="64">
        <v>32</v>
      </c>
      <c r="C316" s="65">
        <v>46237</v>
      </c>
      <c r="D316" s="66" t="s">
        <v>148</v>
      </c>
      <c r="E316" s="1031" t="s">
        <v>263</v>
      </c>
      <c r="F316" s="1031" t="s">
        <v>262</v>
      </c>
      <c r="G316" s="1031" t="s">
        <v>36</v>
      </c>
      <c r="H316" s="163">
        <v>5572327</v>
      </c>
      <c r="I316" s="1031">
        <v>4524580288</v>
      </c>
      <c r="J316" s="1031">
        <v>9</v>
      </c>
      <c r="K316" s="1031">
        <v>1</v>
      </c>
      <c r="L316" s="1031">
        <v>5</v>
      </c>
      <c r="M316" s="1031">
        <v>1</v>
      </c>
      <c r="N316" s="1031" t="s">
        <v>149</v>
      </c>
      <c r="O316" s="1031" t="s">
        <v>29</v>
      </c>
      <c r="P316" s="1031" t="s">
        <v>30</v>
      </c>
      <c r="Q316" s="1031" t="s">
        <v>252</v>
      </c>
      <c r="R316" s="1031" t="s">
        <v>31</v>
      </c>
      <c r="S316" s="1031" t="s">
        <v>184</v>
      </c>
      <c r="T316" s="1031" t="s">
        <v>185</v>
      </c>
      <c r="U316" s="1031"/>
      <c r="V316" s="1031" t="s">
        <v>149</v>
      </c>
      <c r="W316" s="1033">
        <v>1</v>
      </c>
    </row>
    <row r="317" spans="1:23" customFormat="1" ht="16.5" customHeight="1">
      <c r="A317" s="134" t="s">
        <v>167</v>
      </c>
      <c r="B317" s="135">
        <v>32</v>
      </c>
      <c r="C317" s="136">
        <v>46237</v>
      </c>
      <c r="D317" s="137" t="s">
        <v>136</v>
      </c>
      <c r="E317" s="1032" t="s">
        <v>173</v>
      </c>
      <c r="F317" s="1032" t="s">
        <v>180</v>
      </c>
      <c r="G317" s="1032" t="s">
        <v>36</v>
      </c>
      <c r="H317" s="139">
        <v>4965985</v>
      </c>
      <c r="I317" s="1032" t="s">
        <v>941</v>
      </c>
      <c r="J317" s="1032">
        <v>1</v>
      </c>
      <c r="K317" s="1334">
        <v>1</v>
      </c>
      <c r="L317" s="1334"/>
      <c r="M317" s="1334">
        <v>0</v>
      </c>
      <c r="N317" s="1334" t="s">
        <v>149</v>
      </c>
      <c r="O317" s="1334"/>
      <c r="P317" s="1334"/>
      <c r="Q317" s="1334"/>
      <c r="R317" s="1334"/>
      <c r="S317" s="1334"/>
      <c r="T317" s="1334"/>
      <c r="U317" s="1334"/>
      <c r="V317" s="1334"/>
      <c r="W317" s="1335"/>
    </row>
    <row r="318" spans="1:23" customFormat="1" ht="16.5" customHeight="1" thickBot="1">
      <c r="A318" s="116" t="s">
        <v>167</v>
      </c>
      <c r="B318" s="141">
        <v>32</v>
      </c>
      <c r="C318" s="142">
        <v>46237</v>
      </c>
      <c r="D318" s="143" t="s">
        <v>136</v>
      </c>
      <c r="E318" s="1034" t="s">
        <v>173</v>
      </c>
      <c r="F318" s="1034" t="s">
        <v>180</v>
      </c>
      <c r="G318" s="1034" t="s">
        <v>36</v>
      </c>
      <c r="H318" s="145">
        <v>4965985</v>
      </c>
      <c r="I318" s="1034" t="s">
        <v>832</v>
      </c>
      <c r="J318" s="1034">
        <v>4</v>
      </c>
      <c r="K318" s="1147"/>
      <c r="L318" s="1147"/>
      <c r="M318" s="1147"/>
      <c r="N318" s="1147"/>
      <c r="O318" s="1147"/>
      <c r="P318" s="1147"/>
      <c r="Q318" s="1147"/>
      <c r="R318" s="1147"/>
      <c r="S318" s="1147"/>
      <c r="T318" s="1147"/>
      <c r="U318" s="1147"/>
      <c r="V318" s="1147"/>
      <c r="W318" s="1149"/>
    </row>
    <row r="319" spans="1:23" customFormat="1" ht="16.5" customHeight="1">
      <c r="A319" s="219" t="s">
        <v>167</v>
      </c>
      <c r="B319" s="214">
        <v>32</v>
      </c>
      <c r="C319" s="215">
        <v>46238</v>
      </c>
      <c r="D319" s="216" t="s">
        <v>216</v>
      </c>
      <c r="E319" s="1035" t="s">
        <v>221</v>
      </c>
      <c r="F319" s="1035" t="s">
        <v>917</v>
      </c>
      <c r="G319" s="1035" t="s">
        <v>36</v>
      </c>
      <c r="H319" s="217">
        <v>5811816</v>
      </c>
      <c r="I319" s="1035">
        <v>2026012001</v>
      </c>
      <c r="J319" s="1035">
        <v>8</v>
      </c>
      <c r="K319" s="1150">
        <v>1</v>
      </c>
      <c r="L319" s="1150"/>
      <c r="M319" s="1150">
        <v>0</v>
      </c>
      <c r="N319" s="1150" t="s">
        <v>149</v>
      </c>
      <c r="O319" s="1150"/>
      <c r="P319" s="1150"/>
      <c r="Q319" s="1150"/>
      <c r="R319" s="1150"/>
      <c r="S319" s="1150"/>
      <c r="T319" s="1150"/>
      <c r="U319" s="1150"/>
      <c r="V319" s="1150"/>
      <c r="W319" s="1151"/>
    </row>
    <row r="320" spans="1:23" customFormat="1" ht="16.5" customHeight="1" thickBot="1">
      <c r="A320" s="1047" t="s">
        <v>167</v>
      </c>
      <c r="B320" s="1048">
        <v>32</v>
      </c>
      <c r="C320" s="1049">
        <v>46238</v>
      </c>
      <c r="D320" s="1050" t="s">
        <v>216</v>
      </c>
      <c r="E320" s="1051" t="s">
        <v>221</v>
      </c>
      <c r="F320" s="1051" t="s">
        <v>917</v>
      </c>
      <c r="G320" s="1051" t="s">
        <v>36</v>
      </c>
      <c r="H320" s="1052">
        <v>5811816</v>
      </c>
      <c r="I320" s="1051">
        <v>2026012002</v>
      </c>
      <c r="J320" s="1051">
        <v>1</v>
      </c>
      <c r="K320" s="1150"/>
      <c r="L320" s="1150"/>
      <c r="M320" s="1150"/>
      <c r="N320" s="1150"/>
      <c r="O320" s="1150"/>
      <c r="P320" s="1150"/>
      <c r="Q320" s="1150"/>
      <c r="R320" s="1150"/>
      <c r="S320" s="1150"/>
      <c r="T320" s="1150"/>
      <c r="U320" s="1150"/>
      <c r="V320" s="1150"/>
      <c r="W320" s="1151"/>
    </row>
    <row r="321" spans="1:23" customFormat="1" ht="16.5" customHeight="1">
      <c r="A321" s="63" t="s">
        <v>167</v>
      </c>
      <c r="B321" s="64">
        <v>32</v>
      </c>
      <c r="C321" s="65">
        <v>46242</v>
      </c>
      <c r="D321" s="66" t="s">
        <v>136</v>
      </c>
      <c r="E321" s="1055" t="s">
        <v>173</v>
      </c>
      <c r="F321" s="1055" t="s">
        <v>942</v>
      </c>
      <c r="G321" s="1055" t="s">
        <v>32</v>
      </c>
      <c r="H321" s="163">
        <v>6040051</v>
      </c>
      <c r="I321" s="1055">
        <v>4524092221</v>
      </c>
      <c r="J321" s="1055">
        <v>10</v>
      </c>
      <c r="K321" s="1146">
        <v>1</v>
      </c>
      <c r="L321" s="1146"/>
      <c r="M321" s="1146">
        <v>0</v>
      </c>
      <c r="N321" s="1146" t="s">
        <v>149</v>
      </c>
      <c r="O321" s="1146"/>
      <c r="P321" s="1146"/>
      <c r="Q321" s="1146"/>
      <c r="R321" s="1146"/>
      <c r="S321" s="1146"/>
      <c r="T321" s="1146"/>
      <c r="U321" s="1146"/>
      <c r="V321" s="1146"/>
      <c r="W321" s="1148"/>
    </row>
    <row r="322" spans="1:23" customFormat="1" ht="16.5" customHeight="1" thickBot="1">
      <c r="A322" s="1066" t="s">
        <v>167</v>
      </c>
      <c r="B322" s="1067">
        <v>32</v>
      </c>
      <c r="C322" s="1068">
        <v>46242</v>
      </c>
      <c r="D322" s="1069" t="s">
        <v>136</v>
      </c>
      <c r="E322" s="1070" t="s">
        <v>173</v>
      </c>
      <c r="F322" s="1070" t="s">
        <v>942</v>
      </c>
      <c r="G322" s="1070" t="s">
        <v>36</v>
      </c>
      <c r="H322" s="1071">
        <v>6040053</v>
      </c>
      <c r="I322" s="1070">
        <v>4524092221</v>
      </c>
      <c r="J322" s="1070">
        <v>5</v>
      </c>
      <c r="K322" s="1150"/>
      <c r="L322" s="1150"/>
      <c r="M322" s="1150"/>
      <c r="N322" s="1150"/>
      <c r="O322" s="1150"/>
      <c r="P322" s="1150"/>
      <c r="Q322" s="1150"/>
      <c r="R322" s="1150"/>
      <c r="S322" s="1150"/>
      <c r="T322" s="1150"/>
      <c r="U322" s="1150"/>
      <c r="V322" s="1150"/>
      <c r="W322" s="1151"/>
    </row>
    <row r="323" spans="1:23" customFormat="1" ht="16.5" customHeight="1">
      <c r="A323" s="63" t="s">
        <v>167</v>
      </c>
      <c r="B323" s="64">
        <v>33</v>
      </c>
      <c r="C323" s="65">
        <v>46244</v>
      </c>
      <c r="D323" s="66" t="s">
        <v>136</v>
      </c>
      <c r="E323" s="1063" t="s">
        <v>173</v>
      </c>
      <c r="F323" s="1063" t="s">
        <v>942</v>
      </c>
      <c r="G323" s="1063" t="s">
        <v>63</v>
      </c>
      <c r="H323" s="163">
        <v>6040050</v>
      </c>
      <c r="I323" s="1063">
        <v>4524092221</v>
      </c>
      <c r="J323" s="1063">
        <v>1</v>
      </c>
      <c r="K323" s="1142">
        <v>1</v>
      </c>
      <c r="L323" s="1142"/>
      <c r="M323" s="1142">
        <v>0</v>
      </c>
      <c r="N323" s="1142" t="s">
        <v>149</v>
      </c>
      <c r="O323" s="1142"/>
      <c r="P323" s="1142"/>
      <c r="Q323" s="1142"/>
      <c r="R323" s="1142"/>
      <c r="S323" s="1142"/>
      <c r="T323" s="1142"/>
      <c r="U323" s="1142"/>
      <c r="V323" s="1142"/>
      <c r="W323" s="1153"/>
    </row>
    <row r="324" spans="1:23" customFormat="1" ht="16.5" customHeight="1">
      <c r="A324" s="134" t="s">
        <v>167</v>
      </c>
      <c r="B324" s="135">
        <v>33</v>
      </c>
      <c r="C324" s="136">
        <v>46244</v>
      </c>
      <c r="D324" s="137" t="s">
        <v>136</v>
      </c>
      <c r="E324" s="1062" t="s">
        <v>173</v>
      </c>
      <c r="F324" s="1062" t="s">
        <v>942</v>
      </c>
      <c r="G324" s="1062" t="s">
        <v>32</v>
      </c>
      <c r="H324" s="139">
        <v>6040051</v>
      </c>
      <c r="I324" s="1062">
        <v>4524092221</v>
      </c>
      <c r="J324" s="1062">
        <v>4</v>
      </c>
      <c r="K324" s="1143"/>
      <c r="L324" s="1143"/>
      <c r="M324" s="1143"/>
      <c r="N324" s="1143"/>
      <c r="O324" s="1143"/>
      <c r="P324" s="1143"/>
      <c r="Q324" s="1143"/>
      <c r="R324" s="1143"/>
      <c r="S324" s="1143"/>
      <c r="T324" s="1143"/>
      <c r="U324" s="1143"/>
      <c r="V324" s="1143"/>
      <c r="W324" s="1145"/>
    </row>
    <row r="325" spans="1:23" customFormat="1" ht="16.5" customHeight="1">
      <c r="A325" s="134" t="s">
        <v>167</v>
      </c>
      <c r="B325" s="135">
        <v>33</v>
      </c>
      <c r="C325" s="136">
        <v>46244</v>
      </c>
      <c r="D325" s="137" t="s">
        <v>136</v>
      </c>
      <c r="E325" s="1062" t="s">
        <v>173</v>
      </c>
      <c r="F325" s="1062" t="s">
        <v>942</v>
      </c>
      <c r="G325" s="1062" t="s">
        <v>28</v>
      </c>
      <c r="H325" s="139">
        <v>6040052</v>
      </c>
      <c r="I325" s="1062">
        <v>4524092221</v>
      </c>
      <c r="J325" s="1062">
        <v>34</v>
      </c>
      <c r="K325" s="1143"/>
      <c r="L325" s="1143"/>
      <c r="M325" s="1143"/>
      <c r="N325" s="1143"/>
      <c r="O325" s="1143"/>
      <c r="P325" s="1143"/>
      <c r="Q325" s="1143"/>
      <c r="R325" s="1143"/>
      <c r="S325" s="1143"/>
      <c r="T325" s="1143"/>
      <c r="U325" s="1143"/>
      <c r="V325" s="1143"/>
      <c r="W325" s="1145"/>
    </row>
    <row r="326" spans="1:23" customFormat="1" ht="16.5" customHeight="1" thickBot="1">
      <c r="A326" s="1066" t="s">
        <v>167</v>
      </c>
      <c r="B326" s="1067">
        <v>33</v>
      </c>
      <c r="C326" s="1068">
        <v>46244</v>
      </c>
      <c r="D326" s="1069" t="s">
        <v>136</v>
      </c>
      <c r="E326" s="1070" t="s">
        <v>173</v>
      </c>
      <c r="F326" s="1070" t="s">
        <v>942</v>
      </c>
      <c r="G326" s="1070" t="s">
        <v>36</v>
      </c>
      <c r="H326" s="1071">
        <v>6040053</v>
      </c>
      <c r="I326" s="1070">
        <v>4524092221</v>
      </c>
      <c r="J326" s="1070">
        <v>1</v>
      </c>
      <c r="K326" s="1332"/>
      <c r="L326" s="1332"/>
      <c r="M326" s="1332"/>
      <c r="N326" s="1332"/>
      <c r="O326" s="1332"/>
      <c r="P326" s="1332"/>
      <c r="Q326" s="1332"/>
      <c r="R326" s="1332"/>
      <c r="S326" s="1332"/>
      <c r="T326" s="1332"/>
      <c r="U326" s="1332"/>
      <c r="V326" s="1332"/>
      <c r="W326" s="1333"/>
    </row>
    <row r="327" spans="1:23" customFormat="1" ht="16.5" customHeight="1">
      <c r="A327" s="63" t="s">
        <v>167</v>
      </c>
      <c r="B327" s="64">
        <v>33</v>
      </c>
      <c r="C327" s="65">
        <v>46246</v>
      </c>
      <c r="D327" s="66" t="s">
        <v>136</v>
      </c>
      <c r="E327" s="1095" t="s">
        <v>173</v>
      </c>
      <c r="F327" s="1095" t="s">
        <v>943</v>
      </c>
      <c r="G327" s="1095" t="s">
        <v>63</v>
      </c>
      <c r="H327" s="163">
        <v>6040056</v>
      </c>
      <c r="I327" s="1095">
        <v>4524109206</v>
      </c>
      <c r="J327" s="1095">
        <v>1</v>
      </c>
      <c r="K327" s="1142">
        <v>1</v>
      </c>
      <c r="L327" s="1142"/>
      <c r="M327" s="1142">
        <v>0</v>
      </c>
      <c r="N327" s="1142" t="s">
        <v>149</v>
      </c>
      <c r="O327" s="1142"/>
      <c r="P327" s="1142"/>
      <c r="Q327" s="1142"/>
      <c r="R327" s="1142"/>
      <c r="S327" s="1142"/>
      <c r="T327" s="1142"/>
      <c r="U327" s="1142"/>
      <c r="V327" s="1142"/>
      <c r="W327" s="1153"/>
    </row>
    <row r="328" spans="1:23" customFormat="1" ht="16.5" customHeight="1">
      <c r="A328" s="134" t="s">
        <v>167</v>
      </c>
      <c r="B328" s="135">
        <v>33</v>
      </c>
      <c r="C328" s="136">
        <v>46246</v>
      </c>
      <c r="D328" s="137" t="s">
        <v>136</v>
      </c>
      <c r="E328" s="1096" t="s">
        <v>173</v>
      </c>
      <c r="F328" s="1096" t="s">
        <v>943</v>
      </c>
      <c r="G328" s="1096" t="s">
        <v>32</v>
      </c>
      <c r="H328" s="139">
        <v>6040057</v>
      </c>
      <c r="I328" s="1096">
        <v>4524109206</v>
      </c>
      <c r="J328" s="1096">
        <v>14</v>
      </c>
      <c r="K328" s="1143"/>
      <c r="L328" s="1143"/>
      <c r="M328" s="1143"/>
      <c r="N328" s="1143"/>
      <c r="O328" s="1143"/>
      <c r="P328" s="1143"/>
      <c r="Q328" s="1143"/>
      <c r="R328" s="1143"/>
      <c r="S328" s="1143"/>
      <c r="T328" s="1143"/>
      <c r="U328" s="1143"/>
      <c r="V328" s="1143"/>
      <c r="W328" s="1145"/>
    </row>
    <row r="329" spans="1:23" customFormat="1" ht="16.5" customHeight="1">
      <c r="A329" s="134" t="s">
        <v>167</v>
      </c>
      <c r="B329" s="135">
        <v>33</v>
      </c>
      <c r="C329" s="136">
        <v>46246</v>
      </c>
      <c r="D329" s="137" t="s">
        <v>136</v>
      </c>
      <c r="E329" s="1096" t="s">
        <v>173</v>
      </c>
      <c r="F329" s="1096" t="s">
        <v>943</v>
      </c>
      <c r="G329" s="1096" t="s">
        <v>28</v>
      </c>
      <c r="H329" s="139">
        <v>6040058</v>
      </c>
      <c r="I329" s="1096">
        <v>4524109206</v>
      </c>
      <c r="J329" s="1096">
        <v>26</v>
      </c>
      <c r="K329" s="1143"/>
      <c r="L329" s="1143"/>
      <c r="M329" s="1143"/>
      <c r="N329" s="1143"/>
      <c r="O329" s="1143"/>
      <c r="P329" s="1143"/>
      <c r="Q329" s="1143"/>
      <c r="R329" s="1143"/>
      <c r="S329" s="1143"/>
      <c r="T329" s="1143"/>
      <c r="U329" s="1143"/>
      <c r="V329" s="1143"/>
      <c r="W329" s="1145"/>
    </row>
    <row r="330" spans="1:23" customFormat="1" ht="16.5" customHeight="1" thickBot="1">
      <c r="A330" s="116" t="s">
        <v>167</v>
      </c>
      <c r="B330" s="141">
        <v>33</v>
      </c>
      <c r="C330" s="142">
        <v>46246</v>
      </c>
      <c r="D330" s="143" t="s">
        <v>136</v>
      </c>
      <c r="E330" s="1097" t="s">
        <v>173</v>
      </c>
      <c r="F330" s="1097" t="s">
        <v>943</v>
      </c>
      <c r="G330" s="1097" t="s">
        <v>36</v>
      </c>
      <c r="H330" s="145">
        <v>6040059</v>
      </c>
      <c r="I330" s="1097">
        <v>4524109206</v>
      </c>
      <c r="J330" s="1097">
        <v>6</v>
      </c>
      <c r="K330" s="1156"/>
      <c r="L330" s="1156"/>
      <c r="M330" s="1156"/>
      <c r="N330" s="1156"/>
      <c r="O330" s="1156"/>
      <c r="P330" s="1156"/>
      <c r="Q330" s="1156"/>
      <c r="R330" s="1156"/>
      <c r="S330" s="1156"/>
      <c r="T330" s="1156"/>
      <c r="U330" s="1156"/>
      <c r="V330" s="1156"/>
      <c r="W330" s="1158"/>
    </row>
    <row r="331" spans="1:23" customFormat="1" ht="16.5" customHeight="1">
      <c r="A331" s="63" t="s">
        <v>167</v>
      </c>
      <c r="B331" s="64">
        <v>34</v>
      </c>
      <c r="C331" s="65">
        <v>46251</v>
      </c>
      <c r="D331" s="66" t="s">
        <v>136</v>
      </c>
      <c r="E331" s="1095" t="s">
        <v>173</v>
      </c>
      <c r="F331" s="1095" t="s">
        <v>943</v>
      </c>
      <c r="G331" s="1095" t="s">
        <v>28</v>
      </c>
      <c r="H331" s="163">
        <v>6040058</v>
      </c>
      <c r="I331" s="1095">
        <v>4524109206</v>
      </c>
      <c r="J331" s="1095">
        <v>8</v>
      </c>
      <c r="K331" s="1154">
        <v>1</v>
      </c>
      <c r="L331" s="1154"/>
      <c r="M331" s="1154">
        <v>0</v>
      </c>
      <c r="N331" s="1154" t="s">
        <v>149</v>
      </c>
      <c r="O331" s="1154"/>
      <c r="P331" s="1154"/>
      <c r="Q331" s="1154"/>
      <c r="R331" s="1154"/>
      <c r="S331" s="1154"/>
      <c r="T331" s="1154"/>
      <c r="U331" s="1154"/>
      <c r="V331" s="1154"/>
      <c r="W331" s="1155"/>
    </row>
    <row r="332" spans="1:23" customFormat="1" ht="16.5" customHeight="1" thickBot="1">
      <c r="A332" s="1120" t="s">
        <v>167</v>
      </c>
      <c r="B332" s="1121">
        <v>34</v>
      </c>
      <c r="C332" s="1122">
        <v>46251</v>
      </c>
      <c r="D332" s="1123" t="s">
        <v>136</v>
      </c>
      <c r="E332" s="1124" t="s">
        <v>173</v>
      </c>
      <c r="F332" s="1124" t="s">
        <v>943</v>
      </c>
      <c r="G332" s="1124" t="s">
        <v>52</v>
      </c>
      <c r="H332" s="1125">
        <v>6040060</v>
      </c>
      <c r="I332" s="1124">
        <v>1110172398</v>
      </c>
      <c r="J332" s="1124">
        <v>2</v>
      </c>
      <c r="K332" s="1150"/>
      <c r="L332" s="1150"/>
      <c r="M332" s="1150"/>
      <c r="N332" s="1150"/>
      <c r="O332" s="1150"/>
      <c r="P332" s="1150"/>
      <c r="Q332" s="1150"/>
      <c r="R332" s="1150"/>
      <c r="S332" s="1150"/>
      <c r="T332" s="1150"/>
      <c r="U332" s="1150"/>
      <c r="V332" s="1150"/>
      <c r="W332" s="1151"/>
    </row>
    <row r="333" spans="1:23" customFormat="1" ht="16.5" customHeight="1">
      <c r="A333" s="63" t="s">
        <v>167</v>
      </c>
      <c r="B333" s="64">
        <v>34</v>
      </c>
      <c r="C333" s="65">
        <v>46253</v>
      </c>
      <c r="D333" s="66" t="s">
        <v>142</v>
      </c>
      <c r="E333" s="1118" t="s">
        <v>182</v>
      </c>
      <c r="F333" s="1118" t="s">
        <v>293</v>
      </c>
      <c r="G333" s="1118" t="s">
        <v>36</v>
      </c>
      <c r="H333" s="163">
        <v>5798514</v>
      </c>
      <c r="I333" s="1118" t="s">
        <v>983</v>
      </c>
      <c r="J333" s="1118">
        <v>14</v>
      </c>
      <c r="K333" s="1142">
        <v>1</v>
      </c>
      <c r="L333" s="1142"/>
      <c r="M333" s="1142">
        <v>0</v>
      </c>
      <c r="N333" s="1142" t="s">
        <v>149</v>
      </c>
      <c r="O333" s="1142"/>
      <c r="P333" s="1142"/>
      <c r="Q333" s="1142"/>
      <c r="R333" s="1142"/>
      <c r="S333" s="1142"/>
      <c r="T333" s="1142"/>
      <c r="U333" s="1142"/>
      <c r="V333" s="1142"/>
      <c r="W333" s="1153"/>
    </row>
    <row r="334" spans="1:23" customFormat="1" ht="16.5" customHeight="1" thickBot="1">
      <c r="A334" s="116" t="s">
        <v>167</v>
      </c>
      <c r="B334" s="141">
        <v>34</v>
      </c>
      <c r="C334" s="142">
        <v>46253</v>
      </c>
      <c r="D334" s="143" t="s">
        <v>142</v>
      </c>
      <c r="E334" s="1119" t="s">
        <v>182</v>
      </c>
      <c r="F334" s="1119" t="s">
        <v>293</v>
      </c>
      <c r="G334" s="1119" t="s">
        <v>28</v>
      </c>
      <c r="H334" s="145">
        <v>5798515</v>
      </c>
      <c r="I334" s="1119" t="s">
        <v>983</v>
      </c>
      <c r="J334" s="1119">
        <v>3</v>
      </c>
      <c r="K334" s="1156"/>
      <c r="L334" s="1156"/>
      <c r="M334" s="1156"/>
      <c r="N334" s="1156"/>
      <c r="O334" s="1156"/>
      <c r="P334" s="1156"/>
      <c r="Q334" s="1156"/>
      <c r="R334" s="1156"/>
      <c r="S334" s="1156"/>
      <c r="T334" s="1156"/>
      <c r="U334" s="1156"/>
      <c r="V334" s="1156"/>
      <c r="W334" s="1158"/>
    </row>
    <row r="335" spans="1:23" customFormat="1" ht="16.5" customHeight="1" thickBot="1">
      <c r="A335" s="91" t="s">
        <v>167</v>
      </c>
      <c r="B335" s="92">
        <v>35</v>
      </c>
      <c r="C335" s="93">
        <v>46258</v>
      </c>
      <c r="D335" s="94" t="s">
        <v>142</v>
      </c>
      <c r="E335" s="1116" t="s">
        <v>182</v>
      </c>
      <c r="F335" s="1116" t="s">
        <v>293</v>
      </c>
      <c r="G335" s="1116" t="s">
        <v>28</v>
      </c>
      <c r="H335" s="128">
        <v>5798515</v>
      </c>
      <c r="I335" s="1116" t="s">
        <v>983</v>
      </c>
      <c r="J335" s="1116">
        <v>11</v>
      </c>
      <c r="K335" s="1116">
        <v>1</v>
      </c>
      <c r="L335" s="1116">
        <v>5</v>
      </c>
      <c r="M335" s="1116">
        <v>1</v>
      </c>
      <c r="N335" s="1116" t="s">
        <v>149</v>
      </c>
      <c r="O335" s="1116" t="s">
        <v>39</v>
      </c>
      <c r="P335" s="1116" t="s">
        <v>62</v>
      </c>
      <c r="Q335" s="1116" t="s">
        <v>990</v>
      </c>
      <c r="R335" s="1116" t="s">
        <v>31</v>
      </c>
      <c r="S335" s="1116" t="s">
        <v>301</v>
      </c>
      <c r="T335" s="1116" t="s">
        <v>185</v>
      </c>
      <c r="U335" s="1116"/>
      <c r="V335" s="1116" t="s">
        <v>149</v>
      </c>
      <c r="W335" s="1117">
        <v>1</v>
      </c>
    </row>
    <row r="336" spans="1:23" customFormat="1" ht="16.5" customHeight="1">
      <c r="A336" s="219" t="s">
        <v>167</v>
      </c>
      <c r="B336" s="214">
        <v>35</v>
      </c>
      <c r="C336" s="215">
        <v>46260</v>
      </c>
      <c r="D336" s="216" t="s">
        <v>145</v>
      </c>
      <c r="E336" s="1100" t="s">
        <v>42</v>
      </c>
      <c r="F336" s="1100" t="s">
        <v>778</v>
      </c>
      <c r="G336" s="1100" t="s">
        <v>36</v>
      </c>
      <c r="H336" s="217">
        <v>5543255</v>
      </c>
      <c r="I336" s="1100">
        <v>4523359959</v>
      </c>
      <c r="J336" s="1100">
        <v>4</v>
      </c>
      <c r="K336" s="1150">
        <v>1</v>
      </c>
      <c r="L336" s="1150"/>
      <c r="M336" s="1150">
        <v>0</v>
      </c>
      <c r="N336" s="1150" t="s">
        <v>149</v>
      </c>
      <c r="O336" s="1150"/>
      <c r="P336" s="1150"/>
      <c r="Q336" s="1150"/>
      <c r="R336" s="1150"/>
      <c r="S336" s="1150"/>
      <c r="T336" s="1150"/>
      <c r="U336" s="1150"/>
      <c r="V336" s="1150"/>
      <c r="W336" s="1151"/>
    </row>
    <row r="337" spans="1:23" customFormat="1" ht="16.5" customHeight="1">
      <c r="A337" s="134" t="s">
        <v>167</v>
      </c>
      <c r="B337" s="135">
        <v>35</v>
      </c>
      <c r="C337" s="136">
        <v>46260</v>
      </c>
      <c r="D337" s="137" t="s">
        <v>145</v>
      </c>
      <c r="E337" s="1099" t="s">
        <v>42</v>
      </c>
      <c r="F337" s="1099" t="s">
        <v>778</v>
      </c>
      <c r="G337" s="1099" t="s">
        <v>28</v>
      </c>
      <c r="H337" s="139">
        <v>5540350</v>
      </c>
      <c r="I337" s="1099">
        <v>4523359959</v>
      </c>
      <c r="J337" s="1099">
        <v>5</v>
      </c>
      <c r="K337" s="1150"/>
      <c r="L337" s="1150"/>
      <c r="M337" s="1150"/>
      <c r="N337" s="1150"/>
      <c r="O337" s="1150"/>
      <c r="P337" s="1150"/>
      <c r="Q337" s="1150"/>
      <c r="R337" s="1150"/>
      <c r="S337" s="1150"/>
      <c r="T337" s="1150"/>
      <c r="U337" s="1150"/>
      <c r="V337" s="1150"/>
      <c r="W337" s="1151"/>
    </row>
    <row r="338" spans="1:23" customFormat="1" ht="16.5" customHeight="1">
      <c r="A338" s="134" t="s">
        <v>167</v>
      </c>
      <c r="B338" s="135">
        <v>35</v>
      </c>
      <c r="C338" s="136">
        <v>46260</v>
      </c>
      <c r="D338" s="137" t="s">
        <v>145</v>
      </c>
      <c r="E338" s="1099" t="s">
        <v>42</v>
      </c>
      <c r="F338" s="1099" t="s">
        <v>778</v>
      </c>
      <c r="G338" s="1099" t="s">
        <v>32</v>
      </c>
      <c r="H338" s="139">
        <v>5542625</v>
      </c>
      <c r="I338" s="1099">
        <v>4523359959</v>
      </c>
      <c r="J338" s="1099">
        <v>2</v>
      </c>
      <c r="K338" s="1165"/>
      <c r="L338" s="1165"/>
      <c r="M338" s="1165"/>
      <c r="N338" s="1165"/>
      <c r="O338" s="1165"/>
      <c r="P338" s="1165"/>
      <c r="Q338" s="1165"/>
      <c r="R338" s="1165"/>
      <c r="S338" s="1165"/>
      <c r="T338" s="1165"/>
      <c r="U338" s="1165"/>
      <c r="V338" s="1165"/>
      <c r="W338" s="1167"/>
    </row>
    <row r="339" spans="1:23" customFormat="1" ht="16.5" customHeight="1">
      <c r="A339" s="134" t="s">
        <v>167</v>
      </c>
      <c r="B339" s="135">
        <v>35</v>
      </c>
      <c r="C339" s="136">
        <v>46260</v>
      </c>
      <c r="D339" s="137" t="s">
        <v>145</v>
      </c>
      <c r="E339" s="1099" t="s">
        <v>42</v>
      </c>
      <c r="F339" s="1099" t="s">
        <v>779</v>
      </c>
      <c r="G339" s="1099" t="s">
        <v>36</v>
      </c>
      <c r="H339" s="139">
        <v>5749134</v>
      </c>
      <c r="I339" s="1099">
        <v>4523355041</v>
      </c>
      <c r="J339" s="1099">
        <v>2</v>
      </c>
      <c r="K339" s="1330">
        <v>1</v>
      </c>
      <c r="L339" s="1330"/>
      <c r="M339" s="1330">
        <v>0</v>
      </c>
      <c r="N339" s="1330" t="s">
        <v>149</v>
      </c>
      <c r="O339" s="1330"/>
      <c r="P339" s="1330"/>
      <c r="Q339" s="1330"/>
      <c r="R339" s="1330"/>
      <c r="S339" s="1330"/>
      <c r="T339" s="1330"/>
      <c r="U339" s="1330"/>
      <c r="V339" s="1330"/>
      <c r="W339" s="1331"/>
    </row>
    <row r="340" spans="1:23" customFormat="1" ht="16.5" customHeight="1">
      <c r="A340" s="134" t="s">
        <v>167</v>
      </c>
      <c r="B340" s="135">
        <v>35</v>
      </c>
      <c r="C340" s="136">
        <v>46260</v>
      </c>
      <c r="D340" s="137" t="s">
        <v>145</v>
      </c>
      <c r="E340" s="1099" t="s">
        <v>42</v>
      </c>
      <c r="F340" s="1099" t="s">
        <v>779</v>
      </c>
      <c r="G340" s="1099" t="s">
        <v>28</v>
      </c>
      <c r="H340" s="139">
        <v>5749133</v>
      </c>
      <c r="I340" s="1099">
        <v>4523355041</v>
      </c>
      <c r="J340" s="1099">
        <v>10</v>
      </c>
      <c r="K340" s="1150"/>
      <c r="L340" s="1150"/>
      <c r="M340" s="1150"/>
      <c r="N340" s="1150"/>
      <c r="O340" s="1150"/>
      <c r="P340" s="1150"/>
      <c r="Q340" s="1150"/>
      <c r="R340" s="1150"/>
      <c r="S340" s="1150"/>
      <c r="T340" s="1150"/>
      <c r="U340" s="1150"/>
      <c r="V340" s="1150"/>
      <c r="W340" s="1151"/>
    </row>
    <row r="341" spans="1:23" customFormat="1" ht="16.5" customHeight="1">
      <c r="A341" s="134" t="s">
        <v>167</v>
      </c>
      <c r="B341" s="135">
        <v>35</v>
      </c>
      <c r="C341" s="136">
        <v>46260</v>
      </c>
      <c r="D341" s="137" t="s">
        <v>145</v>
      </c>
      <c r="E341" s="1099" t="s">
        <v>42</v>
      </c>
      <c r="F341" s="1099" t="s">
        <v>779</v>
      </c>
      <c r="G341" s="1099" t="s">
        <v>32</v>
      </c>
      <c r="H341" s="139">
        <v>5749132</v>
      </c>
      <c r="I341" s="1099">
        <v>4523355041</v>
      </c>
      <c r="J341" s="1099">
        <v>4</v>
      </c>
      <c r="K341" s="1150"/>
      <c r="L341" s="1150"/>
      <c r="M341" s="1150"/>
      <c r="N341" s="1150"/>
      <c r="O341" s="1150"/>
      <c r="P341" s="1150"/>
      <c r="Q341" s="1150"/>
      <c r="R341" s="1150"/>
      <c r="S341" s="1150"/>
      <c r="T341" s="1150"/>
      <c r="U341" s="1150"/>
      <c r="V341" s="1150"/>
      <c r="W341" s="1151"/>
    </row>
    <row r="342" spans="1:23" customFormat="1" ht="16.5" customHeight="1">
      <c r="A342" s="134" t="s">
        <v>167</v>
      </c>
      <c r="B342" s="135">
        <v>35</v>
      </c>
      <c r="C342" s="136">
        <v>46260</v>
      </c>
      <c r="D342" s="137" t="s">
        <v>145</v>
      </c>
      <c r="E342" s="1099" t="s">
        <v>42</v>
      </c>
      <c r="F342" s="1099" t="s">
        <v>779</v>
      </c>
      <c r="G342" s="1099" t="s">
        <v>52</v>
      </c>
      <c r="H342" s="139">
        <v>5749135</v>
      </c>
      <c r="I342" s="1099">
        <v>20260814110</v>
      </c>
      <c r="J342" s="1099">
        <v>2</v>
      </c>
      <c r="K342" s="1150"/>
      <c r="L342" s="1150"/>
      <c r="M342" s="1150"/>
      <c r="N342" s="1150"/>
      <c r="O342" s="1150"/>
      <c r="P342" s="1150"/>
      <c r="Q342" s="1150"/>
      <c r="R342" s="1150"/>
      <c r="S342" s="1150"/>
      <c r="T342" s="1150"/>
      <c r="U342" s="1150"/>
      <c r="V342" s="1150"/>
      <c r="W342" s="1151"/>
    </row>
    <row r="343" spans="1:23" customFormat="1" ht="16.5" customHeight="1">
      <c r="A343" s="134" t="s">
        <v>167</v>
      </c>
      <c r="B343" s="135">
        <v>35</v>
      </c>
      <c r="C343" s="136">
        <v>46260</v>
      </c>
      <c r="D343" s="137" t="s">
        <v>145</v>
      </c>
      <c r="E343" s="1099" t="s">
        <v>42</v>
      </c>
      <c r="F343" s="1099" t="s">
        <v>779</v>
      </c>
      <c r="G343" s="1099" t="s">
        <v>36</v>
      </c>
      <c r="H343" s="139">
        <v>5749134</v>
      </c>
      <c r="I343" s="1099">
        <v>20260814110</v>
      </c>
      <c r="J343" s="1099">
        <v>7</v>
      </c>
      <c r="K343" s="1150"/>
      <c r="L343" s="1150"/>
      <c r="M343" s="1150"/>
      <c r="N343" s="1150"/>
      <c r="O343" s="1150"/>
      <c r="P343" s="1150"/>
      <c r="Q343" s="1150"/>
      <c r="R343" s="1150"/>
      <c r="S343" s="1150"/>
      <c r="T343" s="1150"/>
      <c r="U343" s="1150"/>
      <c r="V343" s="1150"/>
      <c r="W343" s="1151"/>
    </row>
    <row r="344" spans="1:23" customFormat="1" ht="16.5" customHeight="1">
      <c r="A344" s="134" t="s">
        <v>167</v>
      </c>
      <c r="B344" s="135">
        <v>35</v>
      </c>
      <c r="C344" s="136">
        <v>46260</v>
      </c>
      <c r="D344" s="137" t="s">
        <v>145</v>
      </c>
      <c r="E344" s="1099" t="s">
        <v>42</v>
      </c>
      <c r="F344" s="1099" t="s">
        <v>779</v>
      </c>
      <c r="G344" s="1099" t="s">
        <v>28</v>
      </c>
      <c r="H344" s="139">
        <v>5749133</v>
      </c>
      <c r="I344" s="1099">
        <v>20260814110</v>
      </c>
      <c r="J344" s="1099">
        <v>3</v>
      </c>
      <c r="K344" s="1150"/>
      <c r="L344" s="1150"/>
      <c r="M344" s="1150"/>
      <c r="N344" s="1150"/>
      <c r="O344" s="1150"/>
      <c r="P344" s="1150"/>
      <c r="Q344" s="1150"/>
      <c r="R344" s="1150"/>
      <c r="S344" s="1150"/>
      <c r="T344" s="1150"/>
      <c r="U344" s="1150"/>
      <c r="V344" s="1150"/>
      <c r="W344" s="1151"/>
    </row>
    <row r="345" spans="1:23" customFormat="1" ht="16.5" customHeight="1" thickBot="1">
      <c r="A345" s="1392" t="s">
        <v>167</v>
      </c>
      <c r="B345" s="1393">
        <v>35</v>
      </c>
      <c r="C345" s="1394">
        <v>46260</v>
      </c>
      <c r="D345" s="1395" t="s">
        <v>145</v>
      </c>
      <c r="E345" s="1396" t="s">
        <v>42</v>
      </c>
      <c r="F345" s="1396" t="s">
        <v>779</v>
      </c>
      <c r="G345" s="1396" t="s">
        <v>32</v>
      </c>
      <c r="H345" s="1397">
        <v>5749132</v>
      </c>
      <c r="I345" s="1396">
        <v>20260814110</v>
      </c>
      <c r="J345" s="1396">
        <v>10</v>
      </c>
      <c r="K345" s="1150"/>
      <c r="L345" s="1150"/>
      <c r="M345" s="1150"/>
      <c r="N345" s="1150"/>
      <c r="O345" s="1150"/>
      <c r="P345" s="1150"/>
      <c r="Q345" s="1150"/>
      <c r="R345" s="1150"/>
      <c r="S345" s="1150"/>
      <c r="T345" s="1150"/>
      <c r="U345" s="1150"/>
      <c r="V345" s="1150"/>
      <c r="W345" s="1151"/>
    </row>
    <row r="346" spans="1:23" customFormat="1" ht="16.5" customHeight="1">
      <c r="A346" s="1137" t="s">
        <v>167</v>
      </c>
      <c r="B346" s="64">
        <v>36</v>
      </c>
      <c r="C346" s="65">
        <v>46265</v>
      </c>
      <c r="D346" s="66" t="s">
        <v>145</v>
      </c>
      <c r="E346" s="1138" t="s">
        <v>42</v>
      </c>
      <c r="F346" s="1138" t="s">
        <v>779</v>
      </c>
      <c r="G346" s="1138" t="s">
        <v>28</v>
      </c>
      <c r="H346" s="163">
        <v>5749133</v>
      </c>
      <c r="I346" s="1138">
        <v>20260814110</v>
      </c>
      <c r="J346" s="1138">
        <v>5</v>
      </c>
      <c r="K346" s="1328">
        <v>1</v>
      </c>
      <c r="L346" s="1328"/>
      <c r="M346" s="1328">
        <v>0</v>
      </c>
      <c r="N346" s="1328" t="s">
        <v>149</v>
      </c>
      <c r="O346" s="1328"/>
      <c r="P346" s="1328"/>
      <c r="Q346" s="1328"/>
      <c r="R346" s="1328"/>
      <c r="S346" s="1328"/>
      <c r="T346" s="1328"/>
      <c r="U346" s="1328"/>
      <c r="V346" s="1328"/>
      <c r="W346" s="1329"/>
    </row>
    <row r="347" spans="1:23" customFormat="1" ht="16.5" customHeight="1" thickBot="1">
      <c r="A347" s="116" t="s">
        <v>167</v>
      </c>
      <c r="B347" s="141">
        <v>36</v>
      </c>
      <c r="C347" s="142">
        <v>46265</v>
      </c>
      <c r="D347" s="143" t="s">
        <v>145</v>
      </c>
      <c r="E347" s="1139" t="s">
        <v>42</v>
      </c>
      <c r="F347" s="1139" t="s">
        <v>779</v>
      </c>
      <c r="G347" s="1139" t="s">
        <v>63</v>
      </c>
      <c r="H347" s="145">
        <v>5749131</v>
      </c>
      <c r="I347" s="1139">
        <v>20260814110</v>
      </c>
      <c r="J347" s="1139">
        <v>2</v>
      </c>
      <c r="K347" s="1147"/>
      <c r="L347" s="1147"/>
      <c r="M347" s="1147"/>
      <c r="N347" s="1147"/>
      <c r="O347" s="1147"/>
      <c r="P347" s="1147"/>
      <c r="Q347" s="1147"/>
      <c r="R347" s="1147"/>
      <c r="S347" s="1147"/>
      <c r="T347" s="1147"/>
      <c r="U347" s="1147"/>
      <c r="V347" s="1147"/>
      <c r="W347" s="1149"/>
    </row>
  </sheetData>
  <sheetProtection selectLockedCells="1" selectUnlockedCells="1"/>
  <autoFilter ref="A3:AK345" xr:uid="{00000000-0001-0000-0100-000000000000}"/>
  <mergeCells count="908">
    <mergeCell ref="T346:T347"/>
    <mergeCell ref="U346:U347"/>
    <mergeCell ref="V346:V347"/>
    <mergeCell ref="W346:W347"/>
    <mergeCell ref="K346:K347"/>
    <mergeCell ref="L346:L347"/>
    <mergeCell ref="M346:M347"/>
    <mergeCell ref="N346:N347"/>
    <mergeCell ref="O346:O347"/>
    <mergeCell ref="P346:P347"/>
    <mergeCell ref="Q346:Q347"/>
    <mergeCell ref="R346:R347"/>
    <mergeCell ref="S346:S347"/>
    <mergeCell ref="T321:T322"/>
    <mergeCell ref="U321:U322"/>
    <mergeCell ref="V321:V322"/>
    <mergeCell ref="W321:W322"/>
    <mergeCell ref="K321:K322"/>
    <mergeCell ref="L321:L322"/>
    <mergeCell ref="M321:M322"/>
    <mergeCell ref="N321:N322"/>
    <mergeCell ref="O321:O322"/>
    <mergeCell ref="P321:P322"/>
    <mergeCell ref="Q321:Q322"/>
    <mergeCell ref="R321:R322"/>
    <mergeCell ref="S321:S322"/>
    <mergeCell ref="M277:M280"/>
    <mergeCell ref="N277:N280"/>
    <mergeCell ref="O277:O280"/>
    <mergeCell ref="P277:P280"/>
    <mergeCell ref="Q277:Q280"/>
    <mergeCell ref="R277:R280"/>
    <mergeCell ref="S277:S280"/>
    <mergeCell ref="T277:T280"/>
    <mergeCell ref="U251:U255"/>
    <mergeCell ref="S256:S259"/>
    <mergeCell ref="T256:T259"/>
    <mergeCell ref="U256:U259"/>
    <mergeCell ref="S260:S264"/>
    <mergeCell ref="T260:T264"/>
    <mergeCell ref="U260:U264"/>
    <mergeCell ref="V251:V255"/>
    <mergeCell ref="W251:W255"/>
    <mergeCell ref="L251:L255"/>
    <mergeCell ref="M251:M255"/>
    <mergeCell ref="N251:N255"/>
    <mergeCell ref="O251:O255"/>
    <mergeCell ref="P251:P255"/>
    <mergeCell ref="Q251:Q255"/>
    <mergeCell ref="R251:R255"/>
    <mergeCell ref="S251:S255"/>
    <mergeCell ref="T251:T255"/>
    <mergeCell ref="T231:T232"/>
    <mergeCell ref="U231:U232"/>
    <mergeCell ref="V231:V232"/>
    <mergeCell ref="W231:W232"/>
    <mergeCell ref="K233:K237"/>
    <mergeCell ref="K251:K255"/>
    <mergeCell ref="L233:L237"/>
    <mergeCell ref="M233:M237"/>
    <mergeCell ref="N233:N237"/>
    <mergeCell ref="O233:O237"/>
    <mergeCell ref="P233:P237"/>
    <mergeCell ref="Q233:Q237"/>
    <mergeCell ref="R233:R237"/>
    <mergeCell ref="S233:S237"/>
    <mergeCell ref="T233:T237"/>
    <mergeCell ref="U233:U237"/>
    <mergeCell ref="V233:V237"/>
    <mergeCell ref="W233:W237"/>
    <mergeCell ref="K231:K232"/>
    <mergeCell ref="S238:S245"/>
    <mergeCell ref="T238:T245"/>
    <mergeCell ref="U238:U245"/>
    <mergeCell ref="V238:V245"/>
    <mergeCell ref="W238:W245"/>
    <mergeCell ref="R178:R179"/>
    <mergeCell ref="S178:S179"/>
    <mergeCell ref="T178:T179"/>
    <mergeCell ref="U178:U179"/>
    <mergeCell ref="V178:V179"/>
    <mergeCell ref="W178:W179"/>
    <mergeCell ref="U168:U177"/>
    <mergeCell ref="V168:V177"/>
    <mergeCell ref="L231:L232"/>
    <mergeCell ref="M231:M232"/>
    <mergeCell ref="N231:N232"/>
    <mergeCell ref="O231:O232"/>
    <mergeCell ref="P231:P232"/>
    <mergeCell ref="Q231:Q232"/>
    <mergeCell ref="R231:R232"/>
    <mergeCell ref="S231:S232"/>
    <mergeCell ref="P206:P209"/>
    <mergeCell ref="Q206:Q209"/>
    <mergeCell ref="R206:R209"/>
    <mergeCell ref="S206:S209"/>
    <mergeCell ref="Q210:Q215"/>
    <mergeCell ref="R210:R215"/>
    <mergeCell ref="S210:S215"/>
    <mergeCell ref="Q216:Q220"/>
    <mergeCell ref="V156:V160"/>
    <mergeCell ref="W156:W160"/>
    <mergeCell ref="R161:R163"/>
    <mergeCell ref="S161:S163"/>
    <mergeCell ref="T161:T163"/>
    <mergeCell ref="U161:U163"/>
    <mergeCell ref="V161:V163"/>
    <mergeCell ref="W161:W163"/>
    <mergeCell ref="V164:V165"/>
    <mergeCell ref="W164:W165"/>
    <mergeCell ref="K156:K160"/>
    <mergeCell ref="L156:L160"/>
    <mergeCell ref="M156:M160"/>
    <mergeCell ref="N156:N160"/>
    <mergeCell ref="O156:O160"/>
    <mergeCell ref="P156:P160"/>
    <mergeCell ref="Q156:Q160"/>
    <mergeCell ref="R156:R160"/>
    <mergeCell ref="S156:S160"/>
    <mergeCell ref="K151:K155"/>
    <mergeCell ref="L151:L155"/>
    <mergeCell ref="M151:M155"/>
    <mergeCell ref="N151:N155"/>
    <mergeCell ref="O151:O155"/>
    <mergeCell ref="P151:P155"/>
    <mergeCell ref="Q151:Q155"/>
    <mergeCell ref="R151:R155"/>
    <mergeCell ref="S151:S155"/>
    <mergeCell ref="K133:K139"/>
    <mergeCell ref="K130:K131"/>
    <mergeCell ref="L130:L131"/>
    <mergeCell ref="M130:M131"/>
    <mergeCell ref="N130:N131"/>
    <mergeCell ref="O130:O131"/>
    <mergeCell ref="P130:P131"/>
    <mergeCell ref="Q130:Q131"/>
    <mergeCell ref="K99:K101"/>
    <mergeCell ref="K121:K122"/>
    <mergeCell ref="K123:K129"/>
    <mergeCell ref="K115:K117"/>
    <mergeCell ref="L115:L117"/>
    <mergeCell ref="M115:M117"/>
    <mergeCell ref="N115:N117"/>
    <mergeCell ref="O115:O117"/>
    <mergeCell ref="P115:P117"/>
    <mergeCell ref="Q115:Q117"/>
    <mergeCell ref="L123:L129"/>
    <mergeCell ref="M123:M129"/>
    <mergeCell ref="N123:N129"/>
    <mergeCell ref="O123:O129"/>
    <mergeCell ref="P123:P129"/>
    <mergeCell ref="Q123:Q129"/>
    <mergeCell ref="W102:W104"/>
    <mergeCell ref="L99:L101"/>
    <mergeCell ref="M99:M101"/>
    <mergeCell ref="N99:N101"/>
    <mergeCell ref="K102:K104"/>
    <mergeCell ref="L102:L104"/>
    <mergeCell ref="M102:M104"/>
    <mergeCell ref="N102:N104"/>
    <mergeCell ref="O102:O104"/>
    <mergeCell ref="P102:P104"/>
    <mergeCell ref="Q102:Q104"/>
    <mergeCell ref="O99:O101"/>
    <mergeCell ref="P99:P101"/>
    <mergeCell ref="Q99:Q101"/>
    <mergeCell ref="W64:W69"/>
    <mergeCell ref="R102:R104"/>
    <mergeCell ref="S102:S104"/>
    <mergeCell ref="T84:T85"/>
    <mergeCell ref="U84:U85"/>
    <mergeCell ref="V84:V85"/>
    <mergeCell ref="W84:W85"/>
    <mergeCell ref="T90:T98"/>
    <mergeCell ref="U90:U98"/>
    <mergeCell ref="V90:V98"/>
    <mergeCell ref="W90:W98"/>
    <mergeCell ref="S70:S73"/>
    <mergeCell ref="T70:T73"/>
    <mergeCell ref="U70:U73"/>
    <mergeCell ref="V70:V73"/>
    <mergeCell ref="W70:W73"/>
    <mergeCell ref="T99:T101"/>
    <mergeCell ref="U99:U101"/>
    <mergeCell ref="V99:V101"/>
    <mergeCell ref="W99:W101"/>
    <mergeCell ref="R99:R101"/>
    <mergeCell ref="S99:S101"/>
    <mergeCell ref="R84:R85"/>
    <mergeCell ref="S84:S85"/>
    <mergeCell ref="U74:U78"/>
    <mergeCell ref="V74:V78"/>
    <mergeCell ref="W74:W78"/>
    <mergeCell ref="L79:L82"/>
    <mergeCell ref="M79:M82"/>
    <mergeCell ref="N79:N82"/>
    <mergeCell ref="O79:O82"/>
    <mergeCell ref="P79:P82"/>
    <mergeCell ref="Q79:Q82"/>
    <mergeCell ref="R79:R82"/>
    <mergeCell ref="S79:S82"/>
    <mergeCell ref="T79:T82"/>
    <mergeCell ref="U79:U82"/>
    <mergeCell ref="V79:V82"/>
    <mergeCell ref="W79:W82"/>
    <mergeCell ref="Q74:Q78"/>
    <mergeCell ref="R74:R78"/>
    <mergeCell ref="S74:S78"/>
    <mergeCell ref="T74:T78"/>
    <mergeCell ref="W57:W61"/>
    <mergeCell ref="K57:K61"/>
    <mergeCell ref="L57:L61"/>
    <mergeCell ref="M57:M61"/>
    <mergeCell ref="N57:N61"/>
    <mergeCell ref="O57:O61"/>
    <mergeCell ref="P57:P61"/>
    <mergeCell ref="Q57:Q61"/>
    <mergeCell ref="R57:R61"/>
    <mergeCell ref="S57:S61"/>
    <mergeCell ref="T57:T61"/>
    <mergeCell ref="U57:U61"/>
    <mergeCell ref="V57:V61"/>
    <mergeCell ref="T38:T40"/>
    <mergeCell ref="U38:U40"/>
    <mergeCell ref="V38:V40"/>
    <mergeCell ref="W38:W40"/>
    <mergeCell ref="K38:K40"/>
    <mergeCell ref="L38:L40"/>
    <mergeCell ref="M38:M40"/>
    <mergeCell ref="N38:N40"/>
    <mergeCell ref="O38:O40"/>
    <mergeCell ref="P38:P40"/>
    <mergeCell ref="Q38:Q40"/>
    <mergeCell ref="R38:R40"/>
    <mergeCell ref="S38:S40"/>
    <mergeCell ref="K18:K20"/>
    <mergeCell ref="K21:K25"/>
    <mergeCell ref="R21:R25"/>
    <mergeCell ref="S21:S25"/>
    <mergeCell ref="T21:T25"/>
    <mergeCell ref="U21:U25"/>
    <mergeCell ref="K26:K27"/>
    <mergeCell ref="L18:L20"/>
    <mergeCell ref="L21:L25"/>
    <mergeCell ref="M18:M20"/>
    <mergeCell ref="N18:N20"/>
    <mergeCell ref="O18:O20"/>
    <mergeCell ref="P18:P20"/>
    <mergeCell ref="Q18:Q20"/>
    <mergeCell ref="R18:R20"/>
    <mergeCell ref="S18:S20"/>
    <mergeCell ref="T18:T20"/>
    <mergeCell ref="U18:U20"/>
    <mergeCell ref="L26:L27"/>
    <mergeCell ref="M26:M27"/>
    <mergeCell ref="N26:N27"/>
    <mergeCell ref="O26:O27"/>
    <mergeCell ref="P26:P27"/>
    <mergeCell ref="Q26:Q27"/>
    <mergeCell ref="V2:V3"/>
    <mergeCell ref="Q2:Q3"/>
    <mergeCell ref="R2:R3"/>
    <mergeCell ref="T2:T3"/>
    <mergeCell ref="U2:U3"/>
    <mergeCell ref="S11:S16"/>
    <mergeCell ref="K11:K16"/>
    <mergeCell ref="L11:L16"/>
    <mergeCell ref="M11:M16"/>
    <mergeCell ref="N11:N16"/>
    <mergeCell ref="K4:K6"/>
    <mergeCell ref="Q4:Q6"/>
    <mergeCell ref="R4:R6"/>
    <mergeCell ref="S4:S6"/>
    <mergeCell ref="V4:V6"/>
    <mergeCell ref="T11:T16"/>
    <mergeCell ref="U11:U16"/>
    <mergeCell ref="V11:V16"/>
    <mergeCell ref="O11:O16"/>
    <mergeCell ref="P11:P16"/>
    <mergeCell ref="Q11:Q16"/>
    <mergeCell ref="R11:R16"/>
    <mergeCell ref="K28:K35"/>
    <mergeCell ref="L28:L35"/>
    <mergeCell ref="M28:M35"/>
    <mergeCell ref="N28:N35"/>
    <mergeCell ref="O28:O35"/>
    <mergeCell ref="A1:T1"/>
    <mergeCell ref="U1:W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M2:M3"/>
    <mergeCell ref="N2:N3"/>
    <mergeCell ref="S2:S3"/>
    <mergeCell ref="O2:P2"/>
    <mergeCell ref="W2:W3"/>
    <mergeCell ref="P28:P35"/>
    <mergeCell ref="Q28:Q35"/>
    <mergeCell ref="R28:R35"/>
    <mergeCell ref="S28:S35"/>
    <mergeCell ref="W11:W16"/>
    <mergeCell ref="T28:T35"/>
    <mergeCell ref="U28:U35"/>
    <mergeCell ref="V28:V35"/>
    <mergeCell ref="W28:W35"/>
    <mergeCell ref="W18:W20"/>
    <mergeCell ref="V18:V20"/>
    <mergeCell ref="W21:W25"/>
    <mergeCell ref="R26:R27"/>
    <mergeCell ref="S26:S27"/>
    <mergeCell ref="T26:T27"/>
    <mergeCell ref="U26:U27"/>
    <mergeCell ref="P21:P25"/>
    <mergeCell ref="Q21:Q25"/>
    <mergeCell ref="V21:V25"/>
    <mergeCell ref="V26:V27"/>
    <mergeCell ref="W26:W27"/>
    <mergeCell ref="W4:W6"/>
    <mergeCell ref="T4:T6"/>
    <mergeCell ref="U4:U6"/>
    <mergeCell ref="L4:L6"/>
    <mergeCell ref="M4:M6"/>
    <mergeCell ref="N4:N6"/>
    <mergeCell ref="O4:O6"/>
    <mergeCell ref="P4:P6"/>
    <mergeCell ref="N21:N25"/>
    <mergeCell ref="O21:O25"/>
    <mergeCell ref="M21:M25"/>
    <mergeCell ref="K43:K44"/>
    <mergeCell ref="K47:K51"/>
    <mergeCell ref="K45:K46"/>
    <mergeCell ref="K52:K54"/>
    <mergeCell ref="L43:L44"/>
    <mergeCell ref="M43:M44"/>
    <mergeCell ref="N43:N44"/>
    <mergeCell ref="O43:O44"/>
    <mergeCell ref="L47:L51"/>
    <mergeCell ref="M47:M51"/>
    <mergeCell ref="N47:N51"/>
    <mergeCell ref="O47:O51"/>
    <mergeCell ref="L52:L54"/>
    <mergeCell ref="M52:M54"/>
    <mergeCell ref="N52:N54"/>
    <mergeCell ref="O52:O54"/>
    <mergeCell ref="P43:P44"/>
    <mergeCell ref="Q43:Q44"/>
    <mergeCell ref="R43:R44"/>
    <mergeCell ref="S43:S44"/>
    <mergeCell ref="T43:T44"/>
    <mergeCell ref="U43:U44"/>
    <mergeCell ref="V43:V44"/>
    <mergeCell ref="W43:W44"/>
    <mergeCell ref="L45:L46"/>
    <mergeCell ref="M45:M46"/>
    <mergeCell ref="N45:N46"/>
    <mergeCell ref="O45:O46"/>
    <mergeCell ref="P45:P46"/>
    <mergeCell ref="Q45:Q46"/>
    <mergeCell ref="R45:R46"/>
    <mergeCell ref="S45:S46"/>
    <mergeCell ref="T45:T46"/>
    <mergeCell ref="U45:U46"/>
    <mergeCell ref="V45:V46"/>
    <mergeCell ref="W45:W46"/>
    <mergeCell ref="W52:W54"/>
    <mergeCell ref="P52:P54"/>
    <mergeCell ref="Q52:Q54"/>
    <mergeCell ref="R52:R54"/>
    <mergeCell ref="S52:S54"/>
    <mergeCell ref="T52:T54"/>
    <mergeCell ref="P47:P51"/>
    <mergeCell ref="Q47:Q51"/>
    <mergeCell ref="R47:R51"/>
    <mergeCell ref="S47:S51"/>
    <mergeCell ref="T47:T51"/>
    <mergeCell ref="U47:U51"/>
    <mergeCell ref="V47:V51"/>
    <mergeCell ref="W47:W51"/>
    <mergeCell ref="U52:U54"/>
    <mergeCell ref="V52:V54"/>
    <mergeCell ref="N64:N69"/>
    <mergeCell ref="O64:O69"/>
    <mergeCell ref="P64:P69"/>
    <mergeCell ref="Q64:Q69"/>
    <mergeCell ref="R64:R69"/>
    <mergeCell ref="L70:L73"/>
    <mergeCell ref="M70:M73"/>
    <mergeCell ref="N70:N73"/>
    <mergeCell ref="O70:O73"/>
    <mergeCell ref="P70:P73"/>
    <mergeCell ref="Q70:Q73"/>
    <mergeCell ref="R70:R73"/>
    <mergeCell ref="S64:S69"/>
    <mergeCell ref="T64:T69"/>
    <mergeCell ref="U64:U69"/>
    <mergeCell ref="V64:V69"/>
    <mergeCell ref="Q90:Q98"/>
    <mergeCell ref="R90:R98"/>
    <mergeCell ref="K79:K82"/>
    <mergeCell ref="K74:K78"/>
    <mergeCell ref="L74:L78"/>
    <mergeCell ref="M74:M78"/>
    <mergeCell ref="N74:N78"/>
    <mergeCell ref="O74:O78"/>
    <mergeCell ref="P74:P78"/>
    <mergeCell ref="K84:K85"/>
    <mergeCell ref="L84:L85"/>
    <mergeCell ref="M84:M85"/>
    <mergeCell ref="N84:N85"/>
    <mergeCell ref="O84:O85"/>
    <mergeCell ref="P84:P85"/>
    <mergeCell ref="Q84:Q85"/>
    <mergeCell ref="K64:K69"/>
    <mergeCell ref="K70:K73"/>
    <mergeCell ref="L64:L69"/>
    <mergeCell ref="M64:M69"/>
    <mergeCell ref="K105:K107"/>
    <mergeCell ref="T86:T89"/>
    <mergeCell ref="U86:U89"/>
    <mergeCell ref="V86:V89"/>
    <mergeCell ref="W86:W89"/>
    <mergeCell ref="K86:K89"/>
    <mergeCell ref="L86:L89"/>
    <mergeCell ref="M86:M89"/>
    <mergeCell ref="N86:N89"/>
    <mergeCell ref="O86:O89"/>
    <mergeCell ref="P86:P89"/>
    <mergeCell ref="Q86:Q89"/>
    <mergeCell ref="R86:R89"/>
    <mergeCell ref="S86:S89"/>
    <mergeCell ref="K90:K98"/>
    <mergeCell ref="L90:L98"/>
    <mergeCell ref="M90:M98"/>
    <mergeCell ref="N90:N98"/>
    <mergeCell ref="O90:O98"/>
    <mergeCell ref="P90:P98"/>
    <mergeCell ref="S90:S98"/>
    <mergeCell ref="T102:T104"/>
    <mergeCell ref="U102:U104"/>
    <mergeCell ref="V102:V104"/>
    <mergeCell ref="L105:L107"/>
    <mergeCell ref="M105:M107"/>
    <mergeCell ref="N105:N107"/>
    <mergeCell ref="O105:O107"/>
    <mergeCell ref="P105:P107"/>
    <mergeCell ref="Q105:Q107"/>
    <mergeCell ref="R105:R107"/>
    <mergeCell ref="S105:S107"/>
    <mergeCell ref="T105:T107"/>
    <mergeCell ref="R108:R112"/>
    <mergeCell ref="S108:S112"/>
    <mergeCell ref="T108:T112"/>
    <mergeCell ref="U108:U112"/>
    <mergeCell ref="W105:W107"/>
    <mergeCell ref="V108:V112"/>
    <mergeCell ref="W108:W112"/>
    <mergeCell ref="U105:U107"/>
    <mergeCell ref="V105:V107"/>
    <mergeCell ref="U133:U139"/>
    <mergeCell ref="V133:V139"/>
    <mergeCell ref="W133:W139"/>
    <mergeCell ref="T140:T141"/>
    <mergeCell ref="T113:T114"/>
    <mergeCell ref="U113:U114"/>
    <mergeCell ref="V113:V114"/>
    <mergeCell ref="W113:W114"/>
    <mergeCell ref="K108:K112"/>
    <mergeCell ref="L108:L112"/>
    <mergeCell ref="M108:M112"/>
    <mergeCell ref="N108:N112"/>
    <mergeCell ref="O108:O112"/>
    <mergeCell ref="P108:P112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Q108:Q112"/>
    <mergeCell ref="V115:V117"/>
    <mergeCell ref="W115:W117"/>
    <mergeCell ref="U121:U122"/>
    <mergeCell ref="V121:V122"/>
    <mergeCell ref="W121:W122"/>
    <mergeCell ref="R121:R122"/>
    <mergeCell ref="S121:S122"/>
    <mergeCell ref="T121:T122"/>
    <mergeCell ref="V130:V131"/>
    <mergeCell ref="W130:W131"/>
    <mergeCell ref="R123:R129"/>
    <mergeCell ref="S123:S129"/>
    <mergeCell ref="T123:T129"/>
    <mergeCell ref="U123:U129"/>
    <mergeCell ref="V123:V129"/>
    <mergeCell ref="W123:W129"/>
    <mergeCell ref="L121:L122"/>
    <mergeCell ref="M121:M122"/>
    <mergeCell ref="N121:N122"/>
    <mergeCell ref="R115:R117"/>
    <mergeCell ref="S115:S117"/>
    <mergeCell ref="T115:T117"/>
    <mergeCell ref="U115:U117"/>
    <mergeCell ref="R130:R131"/>
    <mergeCell ref="S130:S131"/>
    <mergeCell ref="T130:T131"/>
    <mergeCell ref="U130:U131"/>
    <mergeCell ref="O121:O122"/>
    <mergeCell ref="P121:P122"/>
    <mergeCell ref="Q121:Q122"/>
    <mergeCell ref="L133:L139"/>
    <mergeCell ref="M133:M139"/>
    <mergeCell ref="N133:N139"/>
    <mergeCell ref="O133:O139"/>
    <mergeCell ref="P133:P139"/>
    <mergeCell ref="Q133:Q139"/>
    <mergeCell ref="R133:R139"/>
    <mergeCell ref="S133:S139"/>
    <mergeCell ref="T133:T139"/>
    <mergeCell ref="M164:M165"/>
    <mergeCell ref="N164:N165"/>
    <mergeCell ref="O164:O165"/>
    <mergeCell ref="P164:P165"/>
    <mergeCell ref="Q164:Q165"/>
    <mergeCell ref="U140:U141"/>
    <mergeCell ref="V140:V141"/>
    <mergeCell ref="W140:W141"/>
    <mergeCell ref="L142:L150"/>
    <mergeCell ref="M142:M150"/>
    <mergeCell ref="R142:R150"/>
    <mergeCell ref="S142:S150"/>
    <mergeCell ref="R140:R141"/>
    <mergeCell ref="S140:S141"/>
    <mergeCell ref="T142:T150"/>
    <mergeCell ref="U142:U150"/>
    <mergeCell ref="V142:V150"/>
    <mergeCell ref="W142:W150"/>
    <mergeCell ref="T151:T155"/>
    <mergeCell ref="U151:U155"/>
    <mergeCell ref="V151:V155"/>
    <mergeCell ref="W151:W155"/>
    <mergeCell ref="T156:T160"/>
    <mergeCell ref="U156:U160"/>
    <mergeCell ref="O168:O177"/>
    <mergeCell ref="P168:P177"/>
    <mergeCell ref="Q168:Q177"/>
    <mergeCell ref="K140:K141"/>
    <mergeCell ref="L140:L141"/>
    <mergeCell ref="M140:M141"/>
    <mergeCell ref="N140:N141"/>
    <mergeCell ref="O140:O141"/>
    <mergeCell ref="P140:P141"/>
    <mergeCell ref="Q140:Q141"/>
    <mergeCell ref="K142:K150"/>
    <mergeCell ref="N142:N150"/>
    <mergeCell ref="O142:O150"/>
    <mergeCell ref="P142:P150"/>
    <mergeCell ref="Q142:Q150"/>
    <mergeCell ref="K161:K163"/>
    <mergeCell ref="K164:K165"/>
    <mergeCell ref="L161:L163"/>
    <mergeCell ref="M161:M163"/>
    <mergeCell ref="N161:N163"/>
    <mergeCell ref="O161:O163"/>
    <mergeCell ref="P161:P163"/>
    <mergeCell ref="Q161:Q163"/>
    <mergeCell ref="L164:L165"/>
    <mergeCell ref="W168:W177"/>
    <mergeCell ref="R168:R177"/>
    <mergeCell ref="S168:S177"/>
    <mergeCell ref="T168:T177"/>
    <mergeCell ref="R164:R165"/>
    <mergeCell ref="S164:S165"/>
    <mergeCell ref="T164:T165"/>
    <mergeCell ref="U164:U165"/>
    <mergeCell ref="K181:K186"/>
    <mergeCell ref="T181:T186"/>
    <mergeCell ref="U181:U186"/>
    <mergeCell ref="V181:V186"/>
    <mergeCell ref="W181:W186"/>
    <mergeCell ref="K168:K177"/>
    <mergeCell ref="K178:K179"/>
    <mergeCell ref="L178:L179"/>
    <mergeCell ref="M178:M179"/>
    <mergeCell ref="N178:N179"/>
    <mergeCell ref="O178:O179"/>
    <mergeCell ref="P178:P179"/>
    <mergeCell ref="Q178:Q179"/>
    <mergeCell ref="L168:L177"/>
    <mergeCell ref="M168:M177"/>
    <mergeCell ref="N168:N177"/>
    <mergeCell ref="L181:L186"/>
    <mergeCell ref="M181:M186"/>
    <mergeCell ref="N181:N186"/>
    <mergeCell ref="O181:O186"/>
    <mergeCell ref="P181:P186"/>
    <mergeCell ref="Q181:Q186"/>
    <mergeCell ref="R181:R186"/>
    <mergeCell ref="S181:S186"/>
    <mergeCell ref="L187:L192"/>
    <mergeCell ref="M187:M192"/>
    <mergeCell ref="N187:N192"/>
    <mergeCell ref="O187:O192"/>
    <mergeCell ref="P187:P192"/>
    <mergeCell ref="Q187:Q192"/>
    <mergeCell ref="R187:R192"/>
    <mergeCell ref="S187:S192"/>
    <mergeCell ref="T187:T192"/>
    <mergeCell ref="U187:U192"/>
    <mergeCell ref="V187:V192"/>
    <mergeCell ref="W187:W192"/>
    <mergeCell ref="T193:T199"/>
    <mergeCell ref="U193:U199"/>
    <mergeCell ref="V193:V199"/>
    <mergeCell ref="W193:W199"/>
    <mergeCell ref="K193:K199"/>
    <mergeCell ref="L193:L199"/>
    <mergeCell ref="M193:M199"/>
    <mergeCell ref="N193:N199"/>
    <mergeCell ref="O193:O199"/>
    <mergeCell ref="P193:P199"/>
    <mergeCell ref="Q193:Q199"/>
    <mergeCell ref="R193:R199"/>
    <mergeCell ref="S193:S199"/>
    <mergeCell ref="K187:K192"/>
    <mergeCell ref="K210:K215"/>
    <mergeCell ref="K216:K220"/>
    <mergeCell ref="K224:K230"/>
    <mergeCell ref="L216:L220"/>
    <mergeCell ref="M216:M220"/>
    <mergeCell ref="N216:N220"/>
    <mergeCell ref="O216:O220"/>
    <mergeCell ref="P216:P220"/>
    <mergeCell ref="K202:K205"/>
    <mergeCell ref="K206:K209"/>
    <mergeCell ref="L202:L205"/>
    <mergeCell ref="M202:M205"/>
    <mergeCell ref="N202:N205"/>
    <mergeCell ref="O202:O205"/>
    <mergeCell ref="P202:P205"/>
    <mergeCell ref="L210:L215"/>
    <mergeCell ref="M210:M215"/>
    <mergeCell ref="N210:N215"/>
    <mergeCell ref="O210:O215"/>
    <mergeCell ref="P210:P215"/>
    <mergeCell ref="L206:L209"/>
    <mergeCell ref="M206:M209"/>
    <mergeCell ref="N206:N209"/>
    <mergeCell ref="O206:O209"/>
    <mergeCell ref="T210:T215"/>
    <mergeCell ref="U210:U215"/>
    <mergeCell ref="V210:V215"/>
    <mergeCell ref="W210:W215"/>
    <mergeCell ref="Q202:Q205"/>
    <mergeCell ref="R202:R205"/>
    <mergeCell ref="S202:S205"/>
    <mergeCell ref="T202:T205"/>
    <mergeCell ref="U202:U205"/>
    <mergeCell ref="V202:V205"/>
    <mergeCell ref="W202:W205"/>
    <mergeCell ref="T206:T209"/>
    <mergeCell ref="U206:U209"/>
    <mergeCell ref="V206:V209"/>
    <mergeCell ref="W206:W209"/>
    <mergeCell ref="T216:T220"/>
    <mergeCell ref="U216:U220"/>
    <mergeCell ref="V216:V220"/>
    <mergeCell ref="W216:W220"/>
    <mergeCell ref="L224:L230"/>
    <mergeCell ref="M224:M230"/>
    <mergeCell ref="N224:N230"/>
    <mergeCell ref="O224:O230"/>
    <mergeCell ref="P224:P230"/>
    <mergeCell ref="Q224:Q230"/>
    <mergeCell ref="R224:R230"/>
    <mergeCell ref="S224:S230"/>
    <mergeCell ref="T224:T230"/>
    <mergeCell ref="U224:U230"/>
    <mergeCell ref="V224:V230"/>
    <mergeCell ref="W224:W230"/>
    <mergeCell ref="R216:R220"/>
    <mergeCell ref="S216:S220"/>
    <mergeCell ref="S246:S250"/>
    <mergeCell ref="T246:T250"/>
    <mergeCell ref="U246:U250"/>
    <mergeCell ref="V246:V250"/>
    <mergeCell ref="W246:W250"/>
    <mergeCell ref="K238:K245"/>
    <mergeCell ref="K246:K250"/>
    <mergeCell ref="L238:L245"/>
    <mergeCell ref="M238:M245"/>
    <mergeCell ref="N238:N245"/>
    <mergeCell ref="O238:O245"/>
    <mergeCell ref="P238:P245"/>
    <mergeCell ref="Q238:Q245"/>
    <mergeCell ref="R238:R245"/>
    <mergeCell ref="L246:L250"/>
    <mergeCell ref="M246:M250"/>
    <mergeCell ref="N246:N250"/>
    <mergeCell ref="O246:O250"/>
    <mergeCell ref="P246:P250"/>
    <mergeCell ref="Q246:Q250"/>
    <mergeCell ref="R246:R250"/>
    <mergeCell ref="V256:V259"/>
    <mergeCell ref="W256:W259"/>
    <mergeCell ref="K256:K259"/>
    <mergeCell ref="L256:L259"/>
    <mergeCell ref="M256:M259"/>
    <mergeCell ref="N256:N259"/>
    <mergeCell ref="O256:O259"/>
    <mergeCell ref="P256:P259"/>
    <mergeCell ref="Q256:Q259"/>
    <mergeCell ref="R256:R259"/>
    <mergeCell ref="K265:K269"/>
    <mergeCell ref="K281:K295"/>
    <mergeCell ref="L260:L264"/>
    <mergeCell ref="M260:M264"/>
    <mergeCell ref="N260:N264"/>
    <mergeCell ref="O260:O264"/>
    <mergeCell ref="P260:P264"/>
    <mergeCell ref="Q260:Q264"/>
    <mergeCell ref="K260:K264"/>
    <mergeCell ref="K270:K276"/>
    <mergeCell ref="K277:K280"/>
    <mergeCell ref="L270:L276"/>
    <mergeCell ref="M270:M276"/>
    <mergeCell ref="N270:N276"/>
    <mergeCell ref="O270:O276"/>
    <mergeCell ref="P270:P276"/>
    <mergeCell ref="Q270:Q276"/>
    <mergeCell ref="L281:L295"/>
    <mergeCell ref="M281:M295"/>
    <mergeCell ref="N281:N295"/>
    <mergeCell ref="O281:O295"/>
    <mergeCell ref="P281:P295"/>
    <mergeCell ref="Q281:Q295"/>
    <mergeCell ref="L277:L280"/>
    <mergeCell ref="V260:V264"/>
    <mergeCell ref="W260:W264"/>
    <mergeCell ref="L265:L269"/>
    <mergeCell ref="M265:M269"/>
    <mergeCell ref="N265:N269"/>
    <mergeCell ref="O265:O269"/>
    <mergeCell ref="P265:P269"/>
    <mergeCell ref="Q265:Q269"/>
    <mergeCell ref="R265:R269"/>
    <mergeCell ref="S265:S269"/>
    <mergeCell ref="T265:T269"/>
    <mergeCell ref="U265:U269"/>
    <mergeCell ref="V265:V269"/>
    <mergeCell ref="W265:W269"/>
    <mergeCell ref="R260:R264"/>
    <mergeCell ref="R281:R295"/>
    <mergeCell ref="S281:S295"/>
    <mergeCell ref="T281:T295"/>
    <mergeCell ref="U281:U295"/>
    <mergeCell ref="V281:V295"/>
    <mergeCell ref="W281:W295"/>
    <mergeCell ref="R270:R276"/>
    <mergeCell ref="S270:S276"/>
    <mergeCell ref="T270:T276"/>
    <mergeCell ref="U270:U276"/>
    <mergeCell ref="V270:V276"/>
    <mergeCell ref="W270:W276"/>
    <mergeCell ref="U277:U280"/>
    <mergeCell ref="V277:V280"/>
    <mergeCell ref="W277:W280"/>
    <mergeCell ref="K298:K307"/>
    <mergeCell ref="K308:K314"/>
    <mergeCell ref="L298:L307"/>
    <mergeCell ref="M298:M307"/>
    <mergeCell ref="N298:N307"/>
    <mergeCell ref="O298:O307"/>
    <mergeCell ref="P298:P307"/>
    <mergeCell ref="Q298:Q307"/>
    <mergeCell ref="R298:R307"/>
    <mergeCell ref="S298:S307"/>
    <mergeCell ref="T298:T307"/>
    <mergeCell ref="U298:U307"/>
    <mergeCell ref="V298:V307"/>
    <mergeCell ref="W298:W307"/>
    <mergeCell ref="L308:L314"/>
    <mergeCell ref="M308:M314"/>
    <mergeCell ref="N308:N314"/>
    <mergeCell ref="O308:O314"/>
    <mergeCell ref="P308:P314"/>
    <mergeCell ref="Q308:Q314"/>
    <mergeCell ref="R308:R314"/>
    <mergeCell ref="S308:S314"/>
    <mergeCell ref="T308:T314"/>
    <mergeCell ref="U308:U314"/>
    <mergeCell ref="V308:V314"/>
    <mergeCell ref="W308:W314"/>
    <mergeCell ref="K317:K318"/>
    <mergeCell ref="K319:K320"/>
    <mergeCell ref="L317:L318"/>
    <mergeCell ref="M317:M318"/>
    <mergeCell ref="N317:N318"/>
    <mergeCell ref="O317:O318"/>
    <mergeCell ref="P317:P318"/>
    <mergeCell ref="Q317:Q318"/>
    <mergeCell ref="R317:R318"/>
    <mergeCell ref="S317:S318"/>
    <mergeCell ref="T317:T318"/>
    <mergeCell ref="U317:U318"/>
    <mergeCell ref="V317:V318"/>
    <mergeCell ref="W317:W318"/>
    <mergeCell ref="L319:L320"/>
    <mergeCell ref="M319:M320"/>
    <mergeCell ref="N319:N320"/>
    <mergeCell ref="O319:O320"/>
    <mergeCell ref="P319:P320"/>
    <mergeCell ref="Q319:Q320"/>
    <mergeCell ref="R319:R320"/>
    <mergeCell ref="S319:S320"/>
    <mergeCell ref="T319:T320"/>
    <mergeCell ref="U319:U320"/>
    <mergeCell ref="V319:V320"/>
    <mergeCell ref="W319:W320"/>
    <mergeCell ref="K323:K326"/>
    <mergeCell ref="K327:K330"/>
    <mergeCell ref="L323:L326"/>
    <mergeCell ref="M323:M326"/>
    <mergeCell ref="N323:N326"/>
    <mergeCell ref="O323:O326"/>
    <mergeCell ref="P323:P326"/>
    <mergeCell ref="Q323:Q326"/>
    <mergeCell ref="R323:R326"/>
    <mergeCell ref="U323:U326"/>
    <mergeCell ref="V323:V326"/>
    <mergeCell ref="W323:W326"/>
    <mergeCell ref="L327:L330"/>
    <mergeCell ref="M327:M330"/>
    <mergeCell ref="N327:N330"/>
    <mergeCell ref="O327:O330"/>
    <mergeCell ref="P327:P330"/>
    <mergeCell ref="Q327:Q330"/>
    <mergeCell ref="R327:R330"/>
    <mergeCell ref="S327:S330"/>
    <mergeCell ref="T327:T330"/>
    <mergeCell ref="U327:U330"/>
    <mergeCell ref="V327:V330"/>
    <mergeCell ref="W327:W330"/>
    <mergeCell ref="S323:S326"/>
    <mergeCell ref="T323:T326"/>
    <mergeCell ref="T331:T332"/>
    <mergeCell ref="U331:U332"/>
    <mergeCell ref="V331:V332"/>
    <mergeCell ref="W331:W332"/>
    <mergeCell ref="K331:K332"/>
    <mergeCell ref="L331:L332"/>
    <mergeCell ref="M331:M332"/>
    <mergeCell ref="N331:N332"/>
    <mergeCell ref="O331:O332"/>
    <mergeCell ref="P331:P332"/>
    <mergeCell ref="Q331:Q332"/>
    <mergeCell ref="R331:R332"/>
    <mergeCell ref="S331:S332"/>
    <mergeCell ref="R339:R345"/>
    <mergeCell ref="S339:S345"/>
    <mergeCell ref="T339:T345"/>
    <mergeCell ref="U339:U345"/>
    <mergeCell ref="V339:V345"/>
    <mergeCell ref="W339:W345"/>
    <mergeCell ref="K336:K338"/>
    <mergeCell ref="K339:K345"/>
    <mergeCell ref="L339:L345"/>
    <mergeCell ref="M339:M345"/>
    <mergeCell ref="N339:N345"/>
    <mergeCell ref="O339:O345"/>
    <mergeCell ref="P339:P345"/>
    <mergeCell ref="Q339:Q345"/>
    <mergeCell ref="L336:L338"/>
    <mergeCell ref="M336:M338"/>
    <mergeCell ref="N336:N338"/>
    <mergeCell ref="O336:O338"/>
    <mergeCell ref="P336:P338"/>
    <mergeCell ref="Q336:Q338"/>
    <mergeCell ref="U336:U338"/>
    <mergeCell ref="V336:V338"/>
    <mergeCell ref="W336:W338"/>
    <mergeCell ref="R336:R338"/>
    <mergeCell ref="U333:U334"/>
    <mergeCell ref="V333:V334"/>
    <mergeCell ref="W333:W334"/>
    <mergeCell ref="S336:S338"/>
    <mergeCell ref="T336:T338"/>
    <mergeCell ref="K333:K334"/>
    <mergeCell ref="L333:L334"/>
    <mergeCell ref="M333:M334"/>
    <mergeCell ref="N333:N334"/>
    <mergeCell ref="O333:O334"/>
    <mergeCell ref="P333:P334"/>
    <mergeCell ref="Q333:Q334"/>
    <mergeCell ref="R333:R334"/>
    <mergeCell ref="S333:S334"/>
    <mergeCell ref="T333:T334"/>
  </mergeCells>
  <phoneticPr fontId="14" type="noConversion"/>
  <conditionalFormatting sqref="N2:N3">
    <cfRule type="cellIs" dxfId="0" priority="286" stopIfTrue="1" operator="equal">
      <formula>"NOK"</formula>
    </cfRule>
  </conditionalFormatting>
  <dataValidations count="6">
    <dataValidation type="list" allowBlank="1" showErrorMessage="1" sqref="V4:V56 N2:N56 V62:V99 N62:N99 V102:V177 N102:N178 V180:V347 N180:N347" xr:uid="{00000000-0002-0000-0100-000000000000}">
      <formula1>"OK,NOK"</formula1>
    </dataValidation>
    <dataValidation type="list" allowBlank="1" showErrorMessage="1" sqref="T4:T56 T62:T99 T102:T177 T180:T347" xr:uid="{4CB7A7AC-01EF-4F71-8B89-0A02E0087B9D}">
      <formula1>"Rework,Derogation"</formula1>
    </dataValidation>
    <dataValidation type="list" showErrorMessage="1" sqref="O4:O56 O62:O99 O102:O177 O180:O347" xr:uid="{AAA41D96-3E2E-48EE-83EB-802C2F8CADA6}">
      <formula1>INDIRECT("BB")</formula1>
    </dataValidation>
    <dataValidation type="list" showErrorMessage="1" sqref="P4:P56 P62:P99 P102:P177 P180:P347" xr:uid="{BA6DE704-BFE4-44B1-A7FF-311F22E97CA1}">
      <formula1>INDIRECT("CC")</formula1>
    </dataValidation>
    <dataValidation type="list" allowBlank="1" showErrorMessage="1" sqref="R4:R56 R62:R99 R102:R177 R180:R347" xr:uid="{EB571D50-8D59-4A9A-BDDC-814398DAEFC7}">
      <formula1>INDIRECT("EE")</formula1>
    </dataValidation>
    <dataValidation type="list" showErrorMessage="1" sqref="S4:S56 S62:S99 S102:S177 S180:S347" xr:uid="{4D9413B4-41BE-45E0-B996-57B998BB8962}">
      <formula1>INDIRECT("DD")</formula1>
    </dataValidation>
  </dataValidations>
  <pageMargins left="0.75" right="0.75" top="1.365" bottom="1" header="0.51180555555555596" footer="0.51180555555555596"/>
  <pageSetup scale="92" firstPageNumber="0" orientation="landscape" useFirstPageNumber="1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U1006"/>
  <sheetViews>
    <sheetView showGridLines="0" zoomScale="95" zoomScaleNormal="95" workbookViewId="0">
      <pane ySplit="1" topLeftCell="A2" activePane="bottomLeft" state="frozen"/>
      <selection pane="bottomLeft" activeCell="I19" sqref="I19"/>
    </sheetView>
  </sheetViews>
  <sheetFormatPr defaultColWidth="9" defaultRowHeight="12.5"/>
  <cols>
    <col min="1" max="1" width="2.54296875" customWidth="1"/>
    <col min="2" max="2" width="14.81640625" style="48" customWidth="1"/>
    <col min="3" max="5" width="14.81640625" customWidth="1"/>
    <col min="6" max="6" width="10.26953125" customWidth="1"/>
    <col min="7" max="7" width="13.7265625" customWidth="1"/>
    <col min="8" max="12" width="10.26953125" customWidth="1"/>
  </cols>
  <sheetData>
    <row r="1" spans="1:21" ht="24.5" customHeight="1">
      <c r="B1" s="49" t="s">
        <v>106</v>
      </c>
      <c r="C1" s="50" t="s">
        <v>150</v>
      </c>
      <c r="D1" s="50" t="s">
        <v>151</v>
      </c>
      <c r="E1" s="51" t="s">
        <v>107</v>
      </c>
      <c r="G1" s="52" t="s">
        <v>164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21" s="27" customFormat="1" ht="19.5" customHeight="1">
      <c r="A2" s="52"/>
      <c r="B2" s="53">
        <v>46024</v>
      </c>
      <c r="C2">
        <f t="array" ref="C2">SUM(IF('Common line'!$C$4:$C$539=FPY!B2,'Common line'!$K$4:$L$539,""))</f>
        <v>6</v>
      </c>
      <c r="D2">
        <f>COUNTIFS('Common line'!$C$4:$C$539,FPY!B2,'Common line'!$M$4:$M$539,"&gt;0")</f>
        <v>1</v>
      </c>
      <c r="E2" s="148">
        <f>IF(C2=0," ",(C2-D2)/C2)</f>
        <v>0.83333333333333337</v>
      </c>
      <c r="G2" s="52" t="s">
        <v>163</v>
      </c>
      <c r="H2" s="76" t="s">
        <v>141</v>
      </c>
      <c r="I2" s="76" t="s">
        <v>153</v>
      </c>
      <c r="J2" s="76" t="s">
        <v>155</v>
      </c>
      <c r="K2" s="75" t="s">
        <v>156</v>
      </c>
      <c r="L2" s="75" t="s">
        <v>160</v>
      </c>
      <c r="M2" s="76" t="s">
        <v>165</v>
      </c>
      <c r="N2" s="76" t="s">
        <v>166</v>
      </c>
      <c r="O2" s="76" t="s">
        <v>167</v>
      </c>
      <c r="P2" s="75" t="s">
        <v>168</v>
      </c>
      <c r="Q2" s="75" t="s">
        <v>169</v>
      </c>
      <c r="R2" s="76" t="s">
        <v>170</v>
      </c>
      <c r="S2" s="76" t="s">
        <v>171</v>
      </c>
      <c r="T2" s="49" t="s">
        <v>248</v>
      </c>
      <c r="U2" s="75" t="s">
        <v>876</v>
      </c>
    </row>
    <row r="3" spans="1:21" s="27" customFormat="1" ht="19.5" customHeight="1">
      <c r="B3" s="53">
        <v>46025</v>
      </c>
      <c r="C3">
        <f t="array" ref="C3">SUM(IF('Common line'!$C$4:$C$539=FPY!B3,'Common line'!$K$4:$L$539,""))</f>
        <v>3</v>
      </c>
      <c r="D3">
        <f>COUNTIFS('Common line'!$C$4:$C$539,FPY!B3,'Common line'!$M$4:$M$539,"&gt;0")</f>
        <v>1</v>
      </c>
      <c r="E3" s="148">
        <f t="shared" ref="E3:E66" si="0">IF(C3=0," ",(C3-D3)/C3)</f>
        <v>0.66666666666666663</v>
      </c>
      <c r="G3" s="77" t="s">
        <v>161</v>
      </c>
      <c r="H3" s="78">
        <f>IF(SUMIF('Common line'!$A$4:$A$1428,H$2,'Common line'!$J$4:$J$1428)="","",SUMIF('Common line'!$A$4:$A$1428,H$2,'Common line'!$W$4:$W$1428)/SUMIF('Common line'!$A$4:$A$1428,H$2,'Common line'!$J$4:$J$1428))</f>
        <v>6.6433960139623913E-3</v>
      </c>
      <c r="I3" s="78">
        <f>IF(SUMIF('Common line'!$A$4:$A$1428,I$2,'Common line'!$J$4:$J$1428)=0,"",SUMIF('Common line'!$A$4:$A$1428,I$2,'Common line'!$W$4:$W$1428)/SUMIF('Common line'!$A$4:$A$1428,I$2,'Common line'!$J$4:$J$1428))</f>
        <v>2.1446675765256387E-3</v>
      </c>
      <c r="J3" s="78">
        <f>IF(SUMIF('Common line'!$A$4:$A$1428,J$2,'Common line'!$J$4:$J$1428)=0,"",SUMIF('Common line'!$A$4:$A$1428,J$2,'Common line'!$W$4:$W$1428)/SUMIF('Common line'!$A$4:$A$1428,J$2,'Common line'!$J$4:$J$1428))</f>
        <v>2.3525311492550317E-3</v>
      </c>
      <c r="K3" s="78">
        <f>IF(SUMIF('Common line'!$A$4:$A$1428,K$2,'Common line'!$J$4:$J$1428)=0,"",SUMIF('Common line'!$A$4:$A$1428,K$2,'Common line'!$W$4:$W$1428)/SUMIF('Common line'!$A$4:$A$1428,K$2,'Common line'!$J$4:$J$1428))</f>
        <v>1.1532373558453305E-2</v>
      </c>
      <c r="L3" s="78">
        <f>IF(SUMIF('Common line'!$A$4:$A$1428,L$2,'Common line'!$J$4:$J$1428)=0,"",SUMIF('Common line'!$A$4:$A$1428,L$2,'Common line'!$W$4:$W$1428)/SUMIF('Common line'!$A$4:$A$1428,L$2,'Common line'!$J$4:$J$1428))</f>
        <v>1.1496511742163703E-2</v>
      </c>
      <c r="M3" s="78">
        <f>IF(SUMIF('Common line'!$A$4:$A$1428,M$2,'Common line'!$J$4:$J$1428)=0,"",SUMIF('Common line'!$A$4:$A$1428,M$2,'Common line'!$W$4:$W$1428)/SUMIF('Common line'!$A$4:$A$1428,M$2,'Common line'!$J$4:$J$1428))</f>
        <v>4.7619047619047623E-3</v>
      </c>
      <c r="N3" s="78">
        <f>IF(SUMIF('Common line'!$A$4:$A$1428,N$2,'Common line'!$J$4:$J$1428)=0,"",SUMIF('Common line'!$A$4:$A$1428,N$2,'Common line'!$W$4:$W$1428)/SUMIF('Common line'!$A$4:$A$1428,N$2,'Common line'!$J$4:$J$1428))</f>
        <v>2.6192445547284257E-3</v>
      </c>
      <c r="O3" s="78">
        <f>IF(SUMIF('Common line'!$A$4:$A$1428,O$2,'Common line'!$J$4:$J$1428)=0,"",SUMIF('Common line'!$A$4:$A$1428,O$2,'Common line'!$W$4:$W$1428)/SUMIF('Common line'!$A$4:$A$1428,O$2,'Common line'!$J$4:$J$1428))</f>
        <v>1.984126984126984E-3</v>
      </c>
      <c r="P3" s="78" t="str">
        <f>IF(SUMIF('Common line'!$A$4:$A$1428,P$2,'Common line'!$J$4:$J$1428)=0,"",SUMIF('Common line'!$A$4:$A$1428,P$2,'Common line'!$W$4:$W$1428)/SUMIF('Common line'!$A$4:$A$1428,P$2,'Common line'!$J$4:$J$1428))</f>
        <v/>
      </c>
      <c r="Q3" s="78" t="str">
        <f>IF(SUMIF('Common line'!$A$4:$A$1428,Q$2,'Common line'!$J$4:$J$1428)=0,"",SUMIF('Common line'!$A$4:$A$1428,Q$2,'Common line'!$W$4:$W$1428)/SUMIF('Common line'!$A$4:$A$1428,Q$2,'Common line'!$J$4:$J$1428))</f>
        <v/>
      </c>
      <c r="R3" s="78" t="str">
        <f>IF(SUMIF('Common line'!$A$4:$A$1428,R$2,'Common line'!$J$4:$J$1428)=0,"",SUMIF('Common line'!$A$4:$A$1428,R$2,'Common line'!$W$4:$W$1428)/SUMIF('Common line'!$A$4:$A$1428,R$2,'Common line'!$J$4:$J$1428))</f>
        <v/>
      </c>
      <c r="S3" s="79" t="str">
        <f>IF(SUMIF('Common line'!$A$4:$A$1428,S$2,'Common line'!$J$4:$J$1428)=0,"",SUMIF('Common line'!$A$4:$A$1428,S$2,'Common line'!$W$4:$W$1428)/SUMIF('Common line'!$A$4:$A$1428,S$2,'Common line'!$J$4:$J$1428))</f>
        <v/>
      </c>
      <c r="T3" s="76"/>
    </row>
    <row r="4" spans="1:21" s="27" customFormat="1" ht="19.5" customHeight="1">
      <c r="B4" s="53">
        <v>46026</v>
      </c>
      <c r="C4">
        <f t="array" ref="C4">SUM(IF('Common line'!$C$4:$C$539=FPY!B4,'Common line'!$K$4:$L$539,""))</f>
        <v>0</v>
      </c>
      <c r="D4">
        <f>COUNTIFS('Common line'!$C$4:$C$539,FPY!B4,'Common line'!$M$4:$M$539,"&gt;0")</f>
        <v>0</v>
      </c>
      <c r="E4" s="148" t="str">
        <f t="shared" si="0"/>
        <v xml:space="preserve"> </v>
      </c>
      <c r="G4" s="112" t="s">
        <v>162</v>
      </c>
      <c r="H4" s="110">
        <f>IF(SUMIF('High-end line'!$A$4:$A$1462,H$2,'High-end line'!$J$4:$J$1462)=0,"",SUMIF('High-end line'!$A$4:$A$1462,H$2,'High-end line'!$W$4:$W$1462)/SUMIF('High-end line'!$A$4:$A$1462,H$2,'High-end line'!$J$4:$J$1462))</f>
        <v>4.3103448275862068E-3</v>
      </c>
      <c r="I4" s="110">
        <f>IF(SUMIF('High-end line'!$A$4:$A$1462,I$2,'High-end line'!$J$4:$J$1462)=0,"",SUMIF('High-end line'!$A$4:$A$1462,I$2,'High-end line'!$W$4:$W$1462)/SUMIF('High-end line'!$A$4:$A$1462,I$2,'High-end line'!$J$4:$J$1462))</f>
        <v>0</v>
      </c>
      <c r="J4" s="110">
        <f>IF(SUMIF('High-end line'!$A$4:$A$1462,J$2,'High-end line'!$J$4:$J$1462)=0,"",SUMIF('High-end line'!$A$4:$A$1462,J$2,'High-end line'!$W$4:$W$1462)/SUMIF('High-end line'!$A$4:$A$1462,J$2,'High-end line'!$J$4:$J$1462))</f>
        <v>1.282051282051282E-2</v>
      </c>
      <c r="K4" s="110">
        <f>IF(SUMIF('High-end line'!$A$4:$A$1462,K$2,'High-end line'!$J$4:$J$1462)=0,"",SUMIF('High-end line'!$A$4:$A$1462,K$2,'High-end line'!$W$4:$W$1462)/SUMIF('High-end line'!$A$4:$A$1462,K$2,'High-end line'!$J$4:$J$1462))</f>
        <v>2.0746887966804978E-2</v>
      </c>
      <c r="L4" s="110">
        <f>IF(SUMIF('High-end line'!$A$4:$A$1462,L$2,'High-end line'!$J$4:$J$1462)=0,"",SUMIF('High-end line'!$A$4:$A$1462,L$2,'High-end line'!$W$4:$W$1462)/SUMIF('High-end line'!$A$4:$A$1462,L$2,'High-end line'!$J$4:$J$1462))</f>
        <v>2.5773195876288659E-3</v>
      </c>
      <c r="M4" s="110">
        <f>IF(SUMIF('High-end line'!$A$4:$A$1462,M$2,'High-end line'!$J$4:$J$1462)=0,"",SUMIF('High-end line'!$A$4:$A$1462,M$2,'High-end line'!$W$4:$W$1462)/SUMIF('High-end line'!$A$4:$A$1462,M$2,'High-end line'!$J$4:$J$1462))</f>
        <v>0</v>
      </c>
      <c r="N4" s="110">
        <f>IF(SUMIF('High-end line'!$A$4:$A$1462,N$2,'High-end line'!$J$4:$J$1462)=0,"",SUMIF('High-end line'!$A$4:$A$1462,N$2,'High-end line'!$W$4:$W$1462)/SUMIF('High-end line'!$A$4:$A$1462,N$2,'High-end line'!$J$4:$J$1462))</f>
        <v>0</v>
      </c>
      <c r="O4" s="110">
        <f>IF(SUMIF('High-end line'!$A$4:$A$1462,O$2,'High-end line'!$J$4:$J$1462)=0,"",SUMIF('High-end line'!$A$4:$A$1462,O$2,'High-end line'!$W$4:$W$1462)/SUMIF('High-end line'!$A$4:$A$1462,O$2,'High-end line'!$J$4:$J$1462))</f>
        <v>9.1324200913242004E-3</v>
      </c>
      <c r="P4" s="110" t="str">
        <f>IF(SUMIF('High-end line'!$A$4:$A$1462,P$2,'High-end line'!$J$4:$J$1462)=0,"",SUMIF('High-end line'!$A$4:$A$1462,P$2,'High-end line'!$W$4:$W$1462)/SUMIF('High-end line'!$A$4:$A$1462,P$2,'High-end line'!$J$4:$J$1462))</f>
        <v/>
      </c>
      <c r="Q4" s="110" t="str">
        <f>IF(SUMIF('High-end line'!$A$4:$A$1462,Q$2,'High-end line'!$J$4:$J$1462)=0,"",SUMIF('High-end line'!$A$4:$A$1462,Q$2,'High-end line'!$W$4:$W$1462)/SUMIF('High-end line'!$A$4:$A$1462,Q$2,'High-end line'!$J$4:$J$1462))</f>
        <v/>
      </c>
      <c r="R4" s="110" t="str">
        <f>IF(SUMIF('High-end line'!$A$4:$A$1462,R$2,'High-end line'!$J$4:$J$1462)=0,"",SUMIF('High-end line'!$A$4:$A$1462,R$2,'High-end line'!$W$4:$W$1462)/SUMIF('High-end line'!$A$4:$A$1462,R$2,'High-end line'!$J$4:$J$1462))</f>
        <v/>
      </c>
      <c r="S4" s="111" t="str">
        <f>IF(SUMIF('High-end line'!$A$4:$A$1462,S$2,'High-end line'!$J$4:$J$1462)=0,"",SUMIF('High-end line'!$A$4:$A$1462,S$2,'High-end line'!$W$4:$W$1462)/SUMIF('High-end line'!$A$4:$A$1462,S$2,'High-end line'!$J$4:$J$1462))</f>
        <v/>
      </c>
      <c r="T4" s="76"/>
    </row>
    <row r="5" spans="1:21" s="27" customFormat="1" ht="19.5" customHeight="1">
      <c r="B5" s="53">
        <v>46027</v>
      </c>
      <c r="C5">
        <f t="array" ref="C5">SUM(IF('Common line'!$C$4:$C$539=FPY!B5,'Common line'!$K$4:$L$539,""))</f>
        <v>6</v>
      </c>
      <c r="D5">
        <f>COUNTIFS('Common line'!$C$4:$C$539,FPY!B5,'Common line'!$M$4:$M$539,"&gt;0")</f>
        <v>1</v>
      </c>
      <c r="E5" s="148">
        <f t="shared" si="0"/>
        <v>0.83333333333333337</v>
      </c>
      <c r="G5" s="112" t="s">
        <v>247</v>
      </c>
      <c r="H5" s="110">
        <f>IF(AND(H3="",H4=""),"",SUM(SUMIF('Common line'!$A$4:$A$1428,H$2,'Common line'!$W$4:$W$1428),SUMIF('High-end line'!$A$4:$A$1122,H$2,'High-end line'!$W$4:$W$1122))/SUM(SUMIF('Common line'!$A$4:$A$1428,H$2,'Common line'!$J$4:$J$1428),SUMIF('High-end line'!$A$4:$A$1122,H$2,'High-end line'!$J$4:$J$1122)))</f>
        <v>6.584000877866784E-3</v>
      </c>
      <c r="I5" s="110">
        <f>IF(AND(I3="",I4=""),"",SUM(SUMIF('Common line'!$A$4:$A$1428,I$2,'Common line'!$W$4:$W$1428),SUMIF('High-end line'!$A$4:$A$1122,I$2,'High-end line'!$W$4:$W$1122))/SUM(SUMIF('Common line'!$A$4:$A$1428,I$2,'Common line'!$J$4:$J$1428),SUMIF('High-end line'!$A$4:$A$1122,I$2,'High-end line'!$J$4:$J$1122)))</f>
        <v>2.1141649048625794E-3</v>
      </c>
      <c r="J5" s="110">
        <f>IF(AND(J3="",J4=""),"",SUM(SUMIF('Common line'!$A$4:$A$1428,J$2,'Common line'!$W$4:$W$1428),SUMIF('High-end line'!$A$4:$A$1122,J$2,'High-end line'!$W$4:$W$1122))/SUM(SUMIF('Common line'!$A$4:$A$1428,J$2,'Common line'!$J$4:$J$1428),SUMIF('High-end line'!$A$4:$A$1122,J$2,'High-end line'!$J$4:$J$1122)))</f>
        <v>2.4929081062494626E-3</v>
      </c>
      <c r="K5" s="110">
        <f>IF(AND(K3="",K4=""),"",SUM(SUMIF('Common line'!$A$4:$A$1428,K$2,'Common line'!$W$4:$W$1428),SUMIF('High-end line'!$A$4:$A$1122,K$2,'High-end line'!$W$4:$W$1122))/SUM(SUMIF('Common line'!$A$4:$A$1428,K$2,'Common line'!$J$4:$J$1428),SUMIF('High-end line'!$A$4:$A$1122,K$2,'High-end line'!$J$4:$J$1122)))</f>
        <v>1.1696772283091501E-2</v>
      </c>
      <c r="L5" s="110">
        <f>IF(AND(L3="",L4=""),"",SUM(SUMIF('Common line'!$A$4:$A$1428,L$2,'Common line'!$W$4:$W$1428),SUMIF('High-end line'!$A$4:$A$1122,L$2,'High-end line'!$W$4:$W$1122))/SUM(SUMIF('Common line'!$A$4:$A$1428,L$2,'Common line'!$J$4:$J$1428),SUMIF('High-end line'!$A$4:$A$1122,L$2,'High-end line'!$J$4:$J$1122)))</f>
        <v>1.1168954093705632E-2</v>
      </c>
      <c r="M5" s="110">
        <f>IF(AND(M3="",M4=""),"",SUM(SUMIF('Common line'!$A$4:$A$1428,M$2,'Common line'!$W$4:$W$1428),SUMIF('High-end line'!$A$4:$A$1122,M$2,'High-end line'!$W$4:$W$1122))/SUM(SUMIF('Common line'!$A$4:$A$1428,M$2,'Common line'!$J$4:$J$1428),SUMIF('High-end line'!$A$4:$A$1122,M$2,'High-end line'!$J$4:$J$1122)))</f>
        <v>4.5399919882494321E-3</v>
      </c>
      <c r="N5" s="110">
        <f>IF(AND(N3="",N4=""),"",SUM(SUMIF('Common line'!$A$4:$A$1428,N$2,'Common line'!$W$4:$W$1428),SUMIF('High-end line'!$A$4:$A$1122,N$2,'High-end line'!$W$4:$W$1122))/SUM(SUMIF('Common line'!$A$4:$A$1428,N$2,'Common line'!$J$4:$J$1428),SUMIF('High-end line'!$A$4:$A$1122,N$2,'High-end line'!$J$4:$J$1122)))</f>
        <v>2.5486250838363516E-3</v>
      </c>
      <c r="O5" s="110">
        <f>IF(AND(O3="",O4=""),"",SUM(SUMIF('Common line'!$A$4:$A$1428,O$2,'Common line'!$W$4:$W$1428),SUMIF('High-end line'!$A$4:$A$1122,O$2,'High-end line'!$W$4:$W$1122))/SUM(SUMIF('Common line'!$A$4:$A$1428,O$2,'Common line'!$J$4:$J$1428),SUMIF('High-end line'!$A$4:$A$1122,O$2,'High-end line'!$J$4:$J$1122)))</f>
        <v>2.1993127147766321E-3</v>
      </c>
      <c r="P5" s="110" t="str">
        <f>IF(AND(P3="",P4=""),"",SUM(SUMIF('Common line'!$A$4:$A$1428,P$2,'Common line'!$W$4:$W$1428),SUMIF('High-end line'!$A$4:$A$1122,P$2,'High-end line'!$W$4:$W$1122))/SUM(SUMIF('Common line'!$A$4:$A$1428,P$2,'Common line'!$J$4:$J$1428),SUMIF('High-end line'!$A$4:$A$1122,P$2,'High-end line'!$J$4:$J$1122)))</f>
        <v/>
      </c>
      <c r="Q5" s="110" t="str">
        <f>IF(AND(Q3="",Q4=""),"",SUM(SUMIF('Common line'!$A$4:$A$1428,Q$2,'Common line'!$W$4:$W$1428),SUMIF('High-end line'!$A$4:$A$1122,Q$2,'High-end line'!$W$4:$W$1122))/SUM(SUMIF('Common line'!$A$4:$A$1428,Q$2,'Common line'!$J$4:$J$1428),SUMIF('High-end line'!$A$4:$A$1122,Q$2,'High-end line'!$J$4:$J$1122)))</f>
        <v/>
      </c>
      <c r="R5" s="110" t="str">
        <f>IF(AND(R3="",R4=""),"",SUM(SUMIF('Common line'!$A$4:$A$1428,R$2,'Common line'!$W$4:$W$1428),SUMIF('High-end line'!$A$4:$A$1122,R$2,'High-end line'!$W$4:$W$1122))/SUM(SUMIF('Common line'!$A$4:$A$1428,R$2,'Common line'!$J$4:$J$1428),SUMIF('High-end line'!$A$4:$A$1122,R$2,'High-end line'!$J$4:$J$1122)))</f>
        <v/>
      </c>
      <c r="S5" s="111" t="str">
        <f>IF(AND(S3="",S4=""),"",SUM(SUMIF('Common line'!$A$4:$A$1428,S$2,'Common line'!$W$4:$W$1428),SUMIF('High-end line'!$A$4:$A$1122,S$2,'High-end line'!$W$4:$W$1122))/SUM(SUMIF('Common line'!$A$4:$A$1428,S$2,'Common line'!$J$4:$J$1428),SUMIF('High-end line'!$A$4:$A$1122,S$2,'High-end line'!$J$4:$J$1122)))</f>
        <v/>
      </c>
      <c r="T5" s="49"/>
    </row>
    <row r="6" spans="1:21" s="27" customFormat="1" ht="19.5" customHeight="1">
      <c r="B6" s="53">
        <v>46028</v>
      </c>
      <c r="C6">
        <f t="array" ref="C6">SUM(IF('Common line'!$C$4:$C$539=FPY!B6,'Common line'!$K$4:$L$539,""))</f>
        <v>0</v>
      </c>
      <c r="D6">
        <f>COUNTIFS('Common line'!$C$4:$C$539,FPY!B6,'Common line'!$M$4:$M$539,"&gt;0")</f>
        <v>0</v>
      </c>
      <c r="E6" s="148" t="str">
        <f t="shared" si="0"/>
        <v xml:space="preserve"> </v>
      </c>
      <c r="G6" s="131" t="s">
        <v>250</v>
      </c>
      <c r="H6" s="132">
        <f>IF(COUNTIF('Common line'!$A$4:$A$829,H$2)&lt;1,"",COUNTIFS('Common line'!$A$4:$A$829,FPY!H$2,'Common line'!$N$4:$N$829,"NOK"))</f>
        <v>1</v>
      </c>
      <c r="I6" s="132">
        <f>IF(COUNTIF('Common line'!$A$4:$A$829,I$2)&lt;1,"",COUNTIFS('Common line'!$A$4:$A$829,FPY!I$2,'Common line'!$N$4:$N$829,"NOK"))</f>
        <v>0</v>
      </c>
      <c r="J6" s="132">
        <f>IF(COUNTIF('Common line'!$A$4:$A$829,J$2)&lt;1,"",COUNTIFS('Common line'!$A$4:$A$829,FPY!J$2,'Common line'!$N$4:$N$829,"NOK"))</f>
        <v>1</v>
      </c>
      <c r="K6" s="132">
        <f>IF(COUNTIF('Common line'!$A$4:$A$829,K$2)&lt;1,"",COUNTIFS('Common line'!$A$4:$A$829,FPY!K$2,'Common line'!$N$4:$N$829,"NOK"))</f>
        <v>1</v>
      </c>
      <c r="L6" s="132">
        <f>IF(COUNTIF('Common line'!$A$4:$A$829,L$2)&lt;1,"",COUNTIFS('Common line'!$A$4:$A$829,FPY!L$2,'Common line'!$N$4:$N$829,"NOK"))</f>
        <v>4</v>
      </c>
      <c r="M6" s="132">
        <f>IF(COUNTIF('Common line'!$A$4:$A$829,M$2)&lt;1,"",COUNTIFS('Common line'!$A$4:$A$829,FPY!M$2,'Common line'!$N$4:$N$829,"NOK"))</f>
        <v>1</v>
      </c>
      <c r="N6" s="132">
        <f>IF(COUNTIF('Common line'!$A$4:$A$829,N$2)&lt;1,"",COUNTIFS('Common line'!$A$4:$A$829,FPY!N$2,'Common line'!$N$4:$N$829,"NOK"))</f>
        <v>1</v>
      </c>
      <c r="O6" s="132">
        <f>IF(COUNTIF('Common line'!$A$4:$A$829,O$2)&lt;1,"",COUNTIFS('Common line'!$A$4:$A$829,FPY!O$2,'Common line'!$N$4:$N$829,"NOK"))</f>
        <v>0</v>
      </c>
      <c r="P6" s="132" t="str">
        <f>IF(COUNTIF('Common line'!$A$4:$A$829,P$2)&lt;1,"",COUNTIFS('Common line'!$A$4:$A$829,FPY!P$2,'Common line'!$N$4:$N$829,"NOK"))</f>
        <v/>
      </c>
      <c r="Q6" s="132" t="str">
        <f>IF(COUNTIF('Common line'!$A$4:$A$829,Q$2)&lt;1,"",COUNTIFS('Common line'!$A$4:$A$829,FPY!Q$2,'Common line'!$N$4:$N$829,"NOK"))</f>
        <v/>
      </c>
      <c r="R6" s="132" t="str">
        <f>IF(COUNTIF('Common line'!$A$4:$A$829,R$2)&lt;1,"",COUNTIFS('Common line'!$A$4:$A$829,FPY!R$2,'Common line'!$N$4:$N$829,"NOK"))</f>
        <v/>
      </c>
      <c r="S6" s="133" t="str">
        <f>IF(COUNTIF('Common line'!$A$4:$A$829,S$2)&lt;1,"",COUNTIFS('Common line'!$A$4:$A$829,FPY!S$2,'Common line'!$N$4:$N$829,"NOK"))</f>
        <v/>
      </c>
      <c r="T6" s="76"/>
    </row>
    <row r="7" spans="1:21" s="27" customFormat="1" ht="19.5" customHeight="1">
      <c r="B7" s="53">
        <v>46029</v>
      </c>
      <c r="C7">
        <f t="array" ref="C7">SUM(IF('Common line'!$C$4:$C$539=FPY!B7,'Common line'!$K$4:$L$539,""))</f>
        <v>1</v>
      </c>
      <c r="D7">
        <f>COUNTIFS('Common line'!$C$4:$C$539,FPY!B7,'Common line'!$M$4:$M$539,"&gt;0")</f>
        <v>0</v>
      </c>
      <c r="E7" s="148">
        <f t="shared" si="0"/>
        <v>1</v>
      </c>
      <c r="F7" s="52"/>
      <c r="G7" s="112" t="s">
        <v>251</v>
      </c>
      <c r="H7" s="76">
        <f>IF(COUNTIF('High-end line'!$A$4:$A$1105,H$2)&lt;1,"",COUNTIFS('High-end line'!$A$4:$A$1105,FPY!H$2,'High-end line'!$N$4:$N$1105,"NOK"))</f>
        <v>0</v>
      </c>
      <c r="I7" s="76">
        <f>IF(COUNTIF('High-end line'!$A$4:$A$1105,I$2)&lt;1,"",COUNTIFS('High-end line'!$A$4:$A$1105,FPY!I$2,'High-end line'!$N$4:$N$1105,"NOK"))</f>
        <v>0</v>
      </c>
      <c r="J7" s="76">
        <f>IF(COUNTIF('High-end line'!$A$4:$A$1105,J$2)&lt;1,"",COUNTIFS('High-end line'!$A$4:$A$1105,FPY!J$2,'High-end line'!$N$4:$N$1105,"NOK"))</f>
        <v>0</v>
      </c>
      <c r="K7" s="76">
        <v>1</v>
      </c>
      <c r="L7" s="76">
        <f>IF(COUNTIF('High-end line'!$A$4:$A$1105,L$2)&lt;1,"",COUNTIFS('High-end line'!$A$4:$A$1105,FPY!L$2,'High-end line'!$N$4:$N$1105,"NOK"))</f>
        <v>0</v>
      </c>
      <c r="M7" s="76">
        <f>IF(COUNTIF('High-end line'!$A$4:$A$1105,M$2)&lt;1,"",COUNTIFS('High-end line'!$A$4:$A$1105,FPY!M$2,'High-end line'!$N$4:$N$1105,"NOK"))</f>
        <v>0</v>
      </c>
      <c r="N7" s="76">
        <f>IF(COUNTIF('High-end line'!$A$4:$A$1105,N$2)&lt;1,"",COUNTIFS('High-end line'!$A$4:$A$1105,FPY!N$2,'High-end line'!$N$4:$N$1105,"NOK"))</f>
        <v>0</v>
      </c>
      <c r="O7" s="76">
        <f>IF(COUNTIF('High-end line'!$A$4:$A$1105,O$2)&lt;1,"",COUNTIFS('High-end line'!$A$4:$A$1105,FPY!O$2,'High-end line'!$N$4:$N$1105,"NOK"))</f>
        <v>0</v>
      </c>
      <c r="P7" s="76" t="str">
        <f>IF(COUNTIF('High-end line'!$A$4:$A$1105,P$2)&lt;1,"",COUNTIFS('High-end line'!$A$4:$A$1105,FPY!P$2,'High-end line'!$N$4:$N$1105,"NOK"))</f>
        <v/>
      </c>
      <c r="Q7" s="76" t="str">
        <f>IF(COUNTIF('High-end line'!$A$4:$A$1105,Q$2)&lt;1,"",COUNTIFS('High-end line'!$A$4:$A$1105,FPY!Q$2,'High-end line'!$N$4:$N$1105,"NOK"))</f>
        <v/>
      </c>
      <c r="R7" s="76" t="str">
        <f>IF(COUNTIF('High-end line'!$A$4:$A$1105,R$2)&lt;1,"",COUNTIFS('High-end line'!$A$4:$A$1105,FPY!R$2,'High-end line'!$N$4:$N$1105,"NOK"))</f>
        <v/>
      </c>
      <c r="S7" s="113" t="str">
        <f>IF(COUNTIF('High-end line'!$A$4:$A$1105,S$2)&lt;1,"",COUNTIFS('High-end line'!$A$4:$A$1105,FPY!S$2,'High-end line'!$N$4:$N$1105,"NOK"))</f>
        <v/>
      </c>
      <c r="T7" s="49"/>
    </row>
    <row r="8" spans="1:21" s="27" customFormat="1" ht="19.5" customHeight="1">
      <c r="B8" s="53">
        <v>46030</v>
      </c>
      <c r="C8">
        <f t="array" ref="C8">SUM(IF('Common line'!$C$4:$C$539=FPY!B8,'Common line'!$K$4:$L$539,""))</f>
        <v>13</v>
      </c>
      <c r="D8">
        <f>COUNTIFS('Common line'!$C$4:$C$539,FPY!B8,'Common line'!$M$4:$M$539,"&gt;0")</f>
        <v>2</v>
      </c>
      <c r="E8" s="148">
        <f t="shared" si="0"/>
        <v>0.84615384615384615</v>
      </c>
      <c r="G8" s="80" t="s">
        <v>247</v>
      </c>
      <c r="H8" s="81">
        <f>IF(AND(H6="",H7=""),"",SUM(H$6,H$7))</f>
        <v>1</v>
      </c>
      <c r="I8" s="81">
        <f t="shared" ref="I8" si="1">IF(AND(I6="",I7=""),"",SUM(I$6,I$7))</f>
        <v>0</v>
      </c>
      <c r="J8" s="81">
        <f t="shared" ref="J8:S8" si="2">IF(AND(J6="",J7=""),"",SUM(J$6,J$7))</f>
        <v>1</v>
      </c>
      <c r="K8" s="81">
        <f t="shared" si="2"/>
        <v>2</v>
      </c>
      <c r="L8" s="81">
        <f t="shared" si="2"/>
        <v>4</v>
      </c>
      <c r="M8" s="81">
        <f t="shared" si="2"/>
        <v>1</v>
      </c>
      <c r="N8" s="81">
        <f t="shared" si="2"/>
        <v>1</v>
      </c>
      <c r="O8" s="81">
        <f t="shared" si="2"/>
        <v>0</v>
      </c>
      <c r="P8" s="81" t="str">
        <f t="shared" si="2"/>
        <v/>
      </c>
      <c r="Q8" s="81" t="str">
        <f t="shared" si="2"/>
        <v/>
      </c>
      <c r="R8" s="81" t="str">
        <f t="shared" si="2"/>
        <v/>
      </c>
      <c r="S8" s="82" t="str">
        <f t="shared" si="2"/>
        <v/>
      </c>
      <c r="T8" s="76">
        <f>SUM(H8:S8)</f>
        <v>10</v>
      </c>
      <c r="U8" s="27">
        <f ca="1">(SUM(OFFSET($H$8,0,0,1,MONTH(TODAY())-1))-1)/(MONTH(TODAY())-1)</f>
        <v>1.2857142857142858</v>
      </c>
    </row>
    <row r="9" spans="1:21" s="27" customFormat="1" ht="19.5" customHeight="1">
      <c r="B9" s="53">
        <v>46031</v>
      </c>
      <c r="C9">
        <f t="array" ref="C9">SUM(IF('Common line'!$C$4:$C$539=FPY!B9,'Common line'!$K$4:$L$539,""))</f>
        <v>6</v>
      </c>
      <c r="D9">
        <f>COUNTIFS('Common line'!$C$4:$C$539,FPY!B9,'Common line'!$M$4:$M$539,"&gt;0")</f>
        <v>1</v>
      </c>
      <c r="E9" s="148">
        <f t="shared" si="0"/>
        <v>0.83333333333333337</v>
      </c>
    </row>
    <row r="10" spans="1:21" s="27" customFormat="1" ht="19.5" customHeight="1">
      <c r="B10" s="53">
        <v>46032</v>
      </c>
      <c r="C10">
        <f t="array" ref="C10">SUM(IF('Common line'!$C$4:$C$539=FPY!B10,'Common line'!$K$4:$L$539,""))</f>
        <v>1</v>
      </c>
      <c r="D10">
        <f>COUNTIFS('Common line'!$C$4:$C$539,FPY!B10,'Common line'!$M$4:$M$539,"&gt;0")</f>
        <v>0</v>
      </c>
      <c r="E10" s="148">
        <f t="shared" si="0"/>
        <v>1</v>
      </c>
    </row>
    <row r="11" spans="1:21" s="27" customFormat="1" ht="19.5" customHeight="1">
      <c r="B11" s="53">
        <v>46033</v>
      </c>
      <c r="C11">
        <f t="array" ref="C11">SUM(IF('Common line'!$C$4:$C$539=FPY!B11,'Common line'!$K$4:$L$539,""))</f>
        <v>0</v>
      </c>
      <c r="D11">
        <f>COUNTIFS('Common line'!$C$4:$C$539,FPY!B11,'Common line'!$M$4:$M$539,"&gt;0")</f>
        <v>0</v>
      </c>
      <c r="E11" s="148" t="str">
        <f t="shared" si="0"/>
        <v xml:space="preserve"> </v>
      </c>
    </row>
    <row r="12" spans="1:21" s="27" customFormat="1" ht="19.5" customHeight="1">
      <c r="B12" s="53">
        <v>46034</v>
      </c>
      <c r="C12">
        <f t="array" ref="C12">SUM(IF('Common line'!$C$4:$C$539=FPY!B12,'Common line'!$K$4:$L$539,""))</f>
        <v>6</v>
      </c>
      <c r="D12">
        <f>COUNTIFS('Common line'!$C$4:$C$539,FPY!B12,'Common line'!$M$4:$M$539,"&gt;0")</f>
        <v>1</v>
      </c>
      <c r="E12" s="148">
        <f t="shared" si="0"/>
        <v>0.83333333333333337</v>
      </c>
    </row>
    <row r="13" spans="1:21" s="27" customFormat="1" ht="19.5" customHeight="1">
      <c r="B13" s="53">
        <v>46035</v>
      </c>
      <c r="C13">
        <f t="array" ref="C13">SUM(IF('Common line'!$C$4:$C$539=FPY!B13,'Common line'!$K$4:$L$539,""))</f>
        <v>6</v>
      </c>
      <c r="D13">
        <f>COUNTIFS('Common line'!$C$4:$C$539,FPY!B13,'Common line'!$M$4:$M$539,"&gt;0")</f>
        <v>1</v>
      </c>
      <c r="E13" s="148">
        <f t="shared" si="0"/>
        <v>0.83333333333333337</v>
      </c>
    </row>
    <row r="14" spans="1:21" s="27" customFormat="1" ht="19.5" customHeight="1">
      <c r="B14" s="53">
        <v>46036</v>
      </c>
      <c r="C14">
        <f t="array" ref="C14">SUM(IF('Common line'!$C$4:$C$539=FPY!B14,'Common line'!$K$4:$L$539,""))</f>
        <v>6</v>
      </c>
      <c r="D14">
        <f>COUNTIFS('Common line'!$C$4:$C$539,FPY!B14,'Common line'!$M$4:$M$539,"&gt;0")</f>
        <v>1</v>
      </c>
      <c r="E14" s="148">
        <f t="shared" si="0"/>
        <v>0.83333333333333337</v>
      </c>
    </row>
    <row r="15" spans="1:21" s="27" customFormat="1" ht="19.5" customHeight="1">
      <c r="B15" s="53">
        <v>46037</v>
      </c>
      <c r="C15">
        <f t="array" ref="C15">SUM(IF('Common line'!$C$4:$C$539=FPY!B15,'Common line'!$K$4:$L$539,""))</f>
        <v>7</v>
      </c>
      <c r="D15">
        <f>COUNTIFS('Common line'!$C$4:$C$539,FPY!B15,'Common line'!$M$4:$M$539,"&gt;0")</f>
        <v>1</v>
      </c>
      <c r="E15" s="148">
        <f t="shared" si="0"/>
        <v>0.8571428571428571</v>
      </c>
      <c r="G15" s="74"/>
    </row>
    <row r="16" spans="1:21" s="27" customFormat="1" ht="19.5" customHeight="1">
      <c r="B16" s="53">
        <v>46038</v>
      </c>
      <c r="C16">
        <f t="array" ref="C16">SUM(IF('Common line'!$C$4:$C$539=FPY!B16,'Common line'!$K$4:$L$539,""))</f>
        <v>6</v>
      </c>
      <c r="D16">
        <f>COUNTIFS('Common line'!$C$4:$C$539,FPY!B16,'Common line'!$M$4:$M$539,"&gt;0")</f>
        <v>1</v>
      </c>
      <c r="E16" s="148">
        <f t="shared" si="0"/>
        <v>0.83333333333333337</v>
      </c>
    </row>
    <row r="17" spans="2:5" s="27" customFormat="1" ht="19.5" customHeight="1">
      <c r="B17" s="53">
        <v>46039</v>
      </c>
      <c r="C17">
        <f t="array" ref="C17">SUM(IF('Common line'!$C$4:$C$539=FPY!B17,'Common line'!$K$4:$L$539,""))</f>
        <v>6</v>
      </c>
      <c r="D17">
        <f>COUNTIFS('Common line'!$C$4:$C$539,FPY!B17,'Common line'!$M$4:$M$539,"&gt;0")</f>
        <v>1</v>
      </c>
      <c r="E17" s="148">
        <f t="shared" si="0"/>
        <v>0.83333333333333337</v>
      </c>
    </row>
    <row r="18" spans="2:5" s="27" customFormat="1" ht="19.5" customHeight="1">
      <c r="B18" s="53">
        <v>46040</v>
      </c>
      <c r="C18">
        <f t="array" ref="C18">SUM(IF('Common line'!$C$4:$C$539=FPY!B18,'Common line'!$K$4:$L$539,""))</f>
        <v>0</v>
      </c>
      <c r="D18">
        <f>COUNTIFS('Common line'!$C$4:$C$539,FPY!B18,'Common line'!$M$4:$M$539,"&gt;0")</f>
        <v>0</v>
      </c>
      <c r="E18" s="148" t="str">
        <f t="shared" si="0"/>
        <v xml:space="preserve"> </v>
      </c>
    </row>
    <row r="19" spans="2:5" s="27" customFormat="1" ht="19.5" customHeight="1">
      <c r="B19" s="53">
        <v>46041</v>
      </c>
      <c r="C19">
        <f t="array" ref="C19">SUM(IF('Common line'!$C$4:$C$539=FPY!B19,'Common line'!$K$4:$L$539,""))</f>
        <v>11</v>
      </c>
      <c r="D19">
        <f>COUNTIFS('Common line'!$C$4:$C$539,FPY!B19,'Common line'!$M$4:$M$539,"&gt;0")</f>
        <v>1</v>
      </c>
      <c r="E19" s="148">
        <f t="shared" si="0"/>
        <v>0.90909090909090906</v>
      </c>
    </row>
    <row r="20" spans="2:5" s="27" customFormat="1" ht="19.5" customHeight="1">
      <c r="B20" s="53">
        <v>46042</v>
      </c>
      <c r="C20">
        <f t="array" ref="C20">SUM(IF('Common line'!$C$4:$C$539=FPY!B20,'Common line'!$K$4:$L$539,""))</f>
        <v>1</v>
      </c>
      <c r="D20">
        <f>COUNTIFS('Common line'!$C$4:$C$539,FPY!B20,'Common line'!$M$4:$M$539,"&gt;0")</f>
        <v>0</v>
      </c>
      <c r="E20" s="148">
        <f t="shared" si="0"/>
        <v>1</v>
      </c>
    </row>
    <row r="21" spans="2:5" s="27" customFormat="1" ht="19.5" customHeight="1">
      <c r="B21" s="53">
        <v>46043</v>
      </c>
      <c r="C21">
        <f t="array" ref="C21">SUM(IF('Common line'!$C$4:$C$539=FPY!B21,'Common line'!$K$4:$L$539,""))</f>
        <v>12</v>
      </c>
      <c r="D21">
        <f>COUNTIFS('Common line'!$C$4:$C$539,FPY!B21,'Common line'!$M$4:$M$539,"&gt;0")</f>
        <v>2</v>
      </c>
      <c r="E21" s="148">
        <f t="shared" si="0"/>
        <v>0.83333333333333337</v>
      </c>
    </row>
    <row r="22" spans="2:5" s="27" customFormat="1" ht="19.5" customHeight="1">
      <c r="B22" s="53">
        <v>46044</v>
      </c>
      <c r="C22">
        <f t="array" ref="C22">SUM(IF('Common line'!$C$4:$C$539=FPY!B22,'Common line'!$K$4:$L$539,""))</f>
        <v>6</v>
      </c>
      <c r="D22">
        <f>COUNTIFS('Common line'!$C$4:$C$539,FPY!B22,'Common line'!$M$4:$M$539,"&gt;0")</f>
        <v>1</v>
      </c>
      <c r="E22" s="148">
        <f t="shared" si="0"/>
        <v>0.83333333333333337</v>
      </c>
    </row>
    <row r="23" spans="2:5" s="27" customFormat="1" ht="19.5" customHeight="1">
      <c r="B23" s="53">
        <v>46045</v>
      </c>
      <c r="C23">
        <f t="array" ref="C23">SUM(IF('Common line'!$C$4:$C$539=FPY!B23,'Common line'!$K$4:$L$539,""))</f>
        <v>7</v>
      </c>
      <c r="D23">
        <f>COUNTIFS('Common line'!$C$4:$C$539,FPY!B23,'Common line'!$M$4:$M$539,"&gt;0")</f>
        <v>1</v>
      </c>
      <c r="E23" s="148">
        <f t="shared" si="0"/>
        <v>0.8571428571428571</v>
      </c>
    </row>
    <row r="24" spans="2:5" s="27" customFormat="1" ht="19.5" customHeight="1">
      <c r="B24" s="53">
        <v>46046</v>
      </c>
      <c r="C24">
        <f t="array" ref="C24">SUM(IF('Common line'!$C$4:$C$539=FPY!B24,'Common line'!$K$4:$L$539,""))</f>
        <v>12</v>
      </c>
      <c r="D24">
        <f>COUNTIFS('Common line'!$C$4:$C$539,FPY!B24,'Common line'!$M$4:$M$539,"&gt;0")</f>
        <v>2</v>
      </c>
      <c r="E24" s="148">
        <f t="shared" si="0"/>
        <v>0.83333333333333337</v>
      </c>
    </row>
    <row r="25" spans="2:5" s="27" customFormat="1" ht="19.5" customHeight="1">
      <c r="B25" s="53">
        <v>46047</v>
      </c>
      <c r="C25">
        <f t="array" ref="C25">SUM(IF('Common line'!$C$4:$C$539=FPY!B25,'Common line'!$K$4:$L$539,""))</f>
        <v>0</v>
      </c>
      <c r="D25">
        <f>COUNTIFS('Common line'!$C$4:$C$539,FPY!B25,'Common line'!$M$4:$M$539,"&gt;0")</f>
        <v>0</v>
      </c>
      <c r="E25" s="148" t="str">
        <f t="shared" si="0"/>
        <v xml:space="preserve"> </v>
      </c>
    </row>
    <row r="26" spans="2:5" s="27" customFormat="1" ht="19.5" customHeight="1">
      <c r="B26" s="53">
        <v>46048</v>
      </c>
      <c r="C26">
        <f t="array" ref="C26">SUM(IF('Common line'!$C$4:$C$539=FPY!B26,'Common line'!$K$4:$L$539,""))</f>
        <v>11</v>
      </c>
      <c r="D26">
        <f>COUNTIFS('Common line'!$C$4:$C$539,FPY!B26,'Common line'!$M$4:$M$539,"&gt;0")</f>
        <v>1</v>
      </c>
      <c r="E26" s="148">
        <f t="shared" si="0"/>
        <v>0.90909090909090906</v>
      </c>
    </row>
    <row r="27" spans="2:5" s="27" customFormat="1" ht="19.5" customHeight="1">
      <c r="B27" s="53">
        <v>46049</v>
      </c>
      <c r="C27">
        <f t="array" ref="C27">SUM(IF('Common line'!$C$4:$C$539=FPY!B27,'Common line'!$K$4:$L$539,""))</f>
        <v>12</v>
      </c>
      <c r="D27">
        <f>COUNTIFS('Common line'!$C$4:$C$539,FPY!B27,'Common line'!$M$4:$M$539,"&gt;0")</f>
        <v>2</v>
      </c>
      <c r="E27" s="148">
        <f t="shared" si="0"/>
        <v>0.83333333333333337</v>
      </c>
    </row>
    <row r="28" spans="2:5" s="27" customFormat="1" ht="19.5" customHeight="1">
      <c r="B28" s="53">
        <v>46050</v>
      </c>
      <c r="C28">
        <f t="array" ref="C28">SUM(IF('Common line'!$C$4:$C$539=FPY!B28,'Common line'!$K$4:$L$539,""))</f>
        <v>6</v>
      </c>
      <c r="D28">
        <f>COUNTIFS('Common line'!$C$4:$C$539,FPY!B28,'Common line'!$M$4:$M$539,"&gt;0")</f>
        <v>1</v>
      </c>
      <c r="E28" s="148">
        <f t="shared" si="0"/>
        <v>0.83333333333333337</v>
      </c>
    </row>
    <row r="29" spans="2:5" s="27" customFormat="1" ht="19.5" customHeight="1">
      <c r="B29" s="53">
        <v>46051</v>
      </c>
      <c r="C29">
        <f t="array" ref="C29">SUM(IF('Common line'!$C$4:$C$539=FPY!B29,'Common line'!$K$4:$L$539,""))</f>
        <v>12</v>
      </c>
      <c r="D29">
        <f>COUNTIFS('Common line'!$C$4:$C$539,FPY!B29,'Common line'!$M$4:$M$539,"&gt;0")</f>
        <v>1</v>
      </c>
      <c r="E29" s="148">
        <f t="shared" si="0"/>
        <v>0.91666666666666663</v>
      </c>
    </row>
    <row r="30" spans="2:5" s="27" customFormat="1" ht="19.5" customHeight="1">
      <c r="B30" s="53">
        <v>46052</v>
      </c>
      <c r="C30">
        <f t="array" ref="C30">SUM(IF('Common line'!$C$4:$C$539=FPY!B30,'Common line'!$K$4:$L$539,""))</f>
        <v>11</v>
      </c>
      <c r="D30">
        <f>COUNTIFS('Common line'!$C$4:$C$539,FPY!B30,'Common line'!$M$4:$M$539,"&gt;0")</f>
        <v>1</v>
      </c>
      <c r="E30" s="148">
        <f t="shared" si="0"/>
        <v>0.90909090909090906</v>
      </c>
    </row>
    <row r="31" spans="2:5" s="27" customFormat="1" ht="19.5" customHeight="1">
      <c r="B31" s="53">
        <v>46053</v>
      </c>
      <c r="C31">
        <f t="array" ref="C31">SUM(IF('Common line'!$C$4:$C$539=FPY!B31,'Common line'!$K$4:$L$539,""))</f>
        <v>7</v>
      </c>
      <c r="D31">
        <f>COUNTIFS('Common line'!$C$4:$C$539,FPY!B31,'Common line'!$M$4:$M$539,"&gt;0")</f>
        <v>1</v>
      </c>
      <c r="E31" s="148">
        <f t="shared" si="0"/>
        <v>0.8571428571428571</v>
      </c>
    </row>
    <row r="32" spans="2:5" s="27" customFormat="1" ht="19.5" customHeight="1">
      <c r="B32" s="53">
        <v>46054</v>
      </c>
      <c r="C32">
        <f t="array" ref="C32">SUM(IF('Common line'!$C$4:$C$539=FPY!B32,'Common line'!$K$4:$L$539,""))</f>
        <v>0</v>
      </c>
      <c r="D32">
        <f>COUNTIFS('Common line'!$C$4:$C$539,FPY!B32,'Common line'!$M$4:$M$539,"&gt;0")</f>
        <v>0</v>
      </c>
      <c r="E32" s="148" t="str">
        <f t="shared" si="0"/>
        <v xml:space="preserve"> </v>
      </c>
    </row>
    <row r="33" spans="2:5" s="27" customFormat="1" ht="19.5" customHeight="1">
      <c r="B33" s="53">
        <v>46055</v>
      </c>
      <c r="C33">
        <f t="array" ref="C33">SUM(IF('Common line'!$C$4:$C$539=FPY!B33,'Common line'!$K$4:$L$539,""))</f>
        <v>6</v>
      </c>
      <c r="D33">
        <f>COUNTIFS('Common line'!$C$4:$C$539,FPY!B33,'Common line'!$M$4:$M$539,"&gt;0")</f>
        <v>1</v>
      </c>
      <c r="E33" s="148">
        <f t="shared" si="0"/>
        <v>0.83333333333333337</v>
      </c>
    </row>
    <row r="34" spans="2:5" s="27" customFormat="1" ht="19.5" customHeight="1">
      <c r="B34" s="53">
        <v>46056</v>
      </c>
      <c r="C34">
        <f t="array" ref="C34">SUM(IF('Common line'!$C$4:$C$539=FPY!B34,'Common line'!$K$4:$L$539,""))</f>
        <v>6</v>
      </c>
      <c r="D34">
        <f>COUNTIFS('Common line'!$C$4:$C$539,FPY!B34,'Common line'!$M$4:$M$539,"&gt;0")</f>
        <v>1</v>
      </c>
      <c r="E34" s="148">
        <f t="shared" si="0"/>
        <v>0.83333333333333337</v>
      </c>
    </row>
    <row r="35" spans="2:5" s="27" customFormat="1" ht="19.5" customHeight="1">
      <c r="B35" s="53">
        <v>46057</v>
      </c>
      <c r="C35">
        <f t="array" ref="C35">SUM(IF('Common line'!$C$4:$C$539=FPY!B35,'Common line'!$K$4:$L$539,""))</f>
        <v>1</v>
      </c>
      <c r="D35">
        <f>COUNTIFS('Common line'!$C$4:$C$539,FPY!B35,'Common line'!$M$4:$M$539,"&gt;0")</f>
        <v>0</v>
      </c>
      <c r="E35" s="148">
        <f t="shared" si="0"/>
        <v>1</v>
      </c>
    </row>
    <row r="36" spans="2:5" s="27" customFormat="1" ht="19.5" customHeight="1">
      <c r="B36" s="53">
        <v>46058</v>
      </c>
      <c r="C36">
        <f t="array" ref="C36">SUM(IF('Common line'!$C$4:$C$539=FPY!B36,'Common line'!$K$4:$L$539,""))</f>
        <v>12</v>
      </c>
      <c r="D36">
        <f>COUNTIFS('Common line'!$C$4:$C$539,FPY!B36,'Common line'!$M$4:$M$539,"&gt;0")</f>
        <v>2</v>
      </c>
      <c r="E36" s="148">
        <f t="shared" si="0"/>
        <v>0.83333333333333337</v>
      </c>
    </row>
    <row r="37" spans="2:5" s="27" customFormat="1" ht="19.5" customHeight="1">
      <c r="B37" s="53">
        <v>46059</v>
      </c>
      <c r="C37">
        <f t="array" ref="C37">SUM(IF('Common line'!$C$4:$C$539=FPY!B37,'Common line'!$K$4:$L$539,""))</f>
        <v>1</v>
      </c>
      <c r="D37">
        <f>COUNTIFS('Common line'!$C$4:$C$539,FPY!B37,'Common line'!$M$4:$M$539,"&gt;0")</f>
        <v>0</v>
      </c>
      <c r="E37" s="148">
        <f t="shared" si="0"/>
        <v>1</v>
      </c>
    </row>
    <row r="38" spans="2:5" s="27" customFormat="1" ht="19.5" customHeight="1">
      <c r="B38" s="53">
        <v>46060</v>
      </c>
      <c r="C38">
        <f t="array" ref="C38">SUM(IF('Common line'!$C$4:$C$539=FPY!B38,'Common line'!$K$4:$L$539,""))</f>
        <v>7</v>
      </c>
      <c r="D38">
        <f>COUNTIFS('Common line'!$C$4:$C$539,FPY!B38,'Common line'!$M$4:$M$539,"&gt;0")</f>
        <v>1</v>
      </c>
      <c r="E38" s="148">
        <f t="shared" si="0"/>
        <v>0.8571428571428571</v>
      </c>
    </row>
    <row r="39" spans="2:5" s="27" customFormat="1" ht="19.5" customHeight="1">
      <c r="B39" s="53">
        <v>46061</v>
      </c>
      <c r="C39">
        <f t="array" ref="C39">SUM(IF('Common line'!$C$4:$C$539=FPY!B39,'Common line'!$K$4:$L$539,""))</f>
        <v>0</v>
      </c>
      <c r="D39">
        <f>COUNTIFS('Common line'!$C$4:$C$539,FPY!B39,'Common line'!$M$4:$M$539,"&gt;0")</f>
        <v>0</v>
      </c>
      <c r="E39" s="148" t="str">
        <f t="shared" si="0"/>
        <v xml:space="preserve"> </v>
      </c>
    </row>
    <row r="40" spans="2:5" s="27" customFormat="1" ht="19.5" customHeight="1">
      <c r="B40" s="53">
        <v>46062</v>
      </c>
      <c r="C40">
        <f t="array" ref="C40">SUM(IF('Common line'!$C$4:$C$539=FPY!B40,'Common line'!$K$4:$L$539,""))</f>
        <v>1</v>
      </c>
      <c r="D40">
        <f>COUNTIFS('Common line'!$C$4:$C$539,FPY!B40,'Common line'!$M$4:$M$539,"&gt;0")</f>
        <v>0</v>
      </c>
      <c r="E40" s="148">
        <f t="shared" si="0"/>
        <v>1</v>
      </c>
    </row>
    <row r="41" spans="2:5" s="27" customFormat="1" ht="19.5" customHeight="1">
      <c r="B41" s="53">
        <v>46063</v>
      </c>
      <c r="C41">
        <f t="array" ref="C41">SUM(IF('Common line'!$C$4:$C$539=FPY!B41,'Common line'!$K$4:$L$539,""))</f>
        <v>0</v>
      </c>
      <c r="D41">
        <f>COUNTIFS('Common line'!$C$4:$C$539,FPY!B41,'Common line'!$M$4:$M$539,"&gt;0")</f>
        <v>0</v>
      </c>
      <c r="E41" s="148" t="str">
        <f t="shared" si="0"/>
        <v xml:space="preserve"> </v>
      </c>
    </row>
    <row r="42" spans="2:5" s="27" customFormat="1" ht="19.5" customHeight="1">
      <c r="B42" s="53">
        <v>46064</v>
      </c>
      <c r="C42">
        <f t="array" ref="C42">SUM(IF('Common line'!$C$4:$C$539=FPY!B42,'Common line'!$K$4:$L$539,""))</f>
        <v>0</v>
      </c>
      <c r="D42">
        <f>COUNTIFS('Common line'!$C$4:$C$539,FPY!B42,'Common line'!$M$4:$M$539,"&gt;0")</f>
        <v>0</v>
      </c>
      <c r="E42" s="148" t="str">
        <f t="shared" si="0"/>
        <v xml:space="preserve"> </v>
      </c>
    </row>
    <row r="43" spans="2:5" s="27" customFormat="1" ht="19.5" customHeight="1">
      <c r="B43" s="53">
        <v>46065</v>
      </c>
      <c r="C43">
        <f t="array" ref="C43">SUM(IF('Common line'!$C$4:$C$539=FPY!B43,'Common line'!$K$4:$L$539,""))</f>
        <v>0</v>
      </c>
      <c r="D43">
        <f>COUNTIFS('Common line'!$C$4:$C$539,FPY!B43,'Common line'!$M$4:$M$539,"&gt;0")</f>
        <v>0</v>
      </c>
      <c r="E43" s="148" t="str">
        <f t="shared" si="0"/>
        <v xml:space="preserve"> </v>
      </c>
    </row>
    <row r="44" spans="2:5" s="27" customFormat="1" ht="19.5" customHeight="1">
      <c r="B44" s="53">
        <v>46066</v>
      </c>
      <c r="C44">
        <f t="array" ref="C44">SUM(IF('Common line'!$C$4:$C$539=FPY!B44,'Common line'!$K$4:$L$539,""))</f>
        <v>0</v>
      </c>
      <c r="D44">
        <f>COUNTIFS('Common line'!$C$4:$C$539,FPY!B44,'Common line'!$M$4:$M$539,"&gt;0")</f>
        <v>0</v>
      </c>
      <c r="E44" s="148" t="str">
        <f t="shared" si="0"/>
        <v xml:space="preserve"> </v>
      </c>
    </row>
    <row r="45" spans="2:5" s="27" customFormat="1" ht="19.5" customHeight="1">
      <c r="B45" s="53">
        <v>46067</v>
      </c>
      <c r="C45">
        <f t="array" ref="C45">SUM(IF('Common line'!$C$4:$C$539=FPY!B45,'Common line'!$K$4:$L$539,""))</f>
        <v>0</v>
      </c>
      <c r="D45">
        <f>COUNTIFS('Common line'!$C$4:$C$539,FPY!B45,'Common line'!$M$4:$M$539,"&gt;0")</f>
        <v>0</v>
      </c>
      <c r="E45" s="148" t="str">
        <f t="shared" si="0"/>
        <v xml:space="preserve"> </v>
      </c>
    </row>
    <row r="46" spans="2:5" s="27" customFormat="1" ht="19.5" customHeight="1">
      <c r="B46" s="53">
        <v>46068</v>
      </c>
      <c r="C46">
        <f t="array" ref="C46">SUM(IF('Common line'!$C$4:$C$539=FPY!B46,'Common line'!$K$4:$L$539,""))</f>
        <v>0</v>
      </c>
      <c r="D46">
        <f>COUNTIFS('Common line'!$C$4:$C$539,FPY!B46,'Common line'!$M$4:$M$539,"&gt;0")</f>
        <v>0</v>
      </c>
      <c r="E46" s="148" t="str">
        <f t="shared" si="0"/>
        <v xml:space="preserve"> </v>
      </c>
    </row>
    <row r="47" spans="2:5" s="27" customFormat="1" ht="19.5" customHeight="1">
      <c r="B47" s="53">
        <v>46069</v>
      </c>
      <c r="C47">
        <f t="array" ref="C47">SUM(IF('Common line'!$C$4:$C$539=FPY!B47,'Common line'!$K$4:$L$539,""))</f>
        <v>0</v>
      </c>
      <c r="D47">
        <f>COUNTIFS('Common line'!$C$4:$C$539,FPY!B47,'Common line'!$M$4:$M$539,"&gt;0")</f>
        <v>0</v>
      </c>
      <c r="E47" s="148" t="str">
        <f t="shared" si="0"/>
        <v xml:space="preserve"> </v>
      </c>
    </row>
    <row r="48" spans="2:5" s="27" customFormat="1" ht="19.5" customHeight="1">
      <c r="B48" s="53">
        <v>46070</v>
      </c>
      <c r="C48">
        <f t="array" ref="C48">SUM(IF('Common line'!$C$4:$C$539=FPY!B48,'Common line'!$K$4:$L$539,""))</f>
        <v>0</v>
      </c>
      <c r="D48">
        <f>COUNTIFS('Common line'!$C$4:$C$539,FPY!B48,'Common line'!$M$4:$M$539,"&gt;0")</f>
        <v>0</v>
      </c>
      <c r="E48" s="148" t="str">
        <f t="shared" si="0"/>
        <v xml:space="preserve"> </v>
      </c>
    </row>
    <row r="49" spans="2:5" s="27" customFormat="1" ht="19.5" customHeight="1">
      <c r="B49" s="53">
        <v>46071</v>
      </c>
      <c r="C49">
        <f t="array" ref="C49">SUM(IF('Common line'!$C$4:$C$539=FPY!B49,'Common line'!$K$4:$L$539,""))</f>
        <v>0</v>
      </c>
      <c r="D49">
        <f>COUNTIFS('Common line'!$C$4:$C$539,FPY!B49,'Common line'!$M$4:$M$539,"&gt;0")</f>
        <v>0</v>
      </c>
      <c r="E49" s="148" t="str">
        <f t="shared" si="0"/>
        <v xml:space="preserve"> </v>
      </c>
    </row>
    <row r="50" spans="2:5" s="27" customFormat="1" ht="19.5" customHeight="1">
      <c r="B50" s="53">
        <v>46072</v>
      </c>
      <c r="C50">
        <f t="array" ref="C50">SUM(IF('Common line'!$C$4:$C$539=FPY!B50,'Common line'!$K$4:$L$539,""))</f>
        <v>0</v>
      </c>
      <c r="D50">
        <f>COUNTIFS('Common line'!$C$4:$C$539,FPY!B50,'Common line'!$M$4:$M$539,"&gt;0")</f>
        <v>0</v>
      </c>
      <c r="E50" s="148" t="str">
        <f t="shared" si="0"/>
        <v xml:space="preserve"> </v>
      </c>
    </row>
    <row r="51" spans="2:5" s="27" customFormat="1" ht="19.5" customHeight="1">
      <c r="B51" s="53">
        <v>46073</v>
      </c>
      <c r="C51">
        <f t="array" ref="C51">SUM(IF('Common line'!$C$4:$C$539=FPY!B51,'Common line'!$K$4:$L$539,""))</f>
        <v>0</v>
      </c>
      <c r="D51">
        <f>COUNTIFS('Common line'!$C$4:$C$539,FPY!B51,'Common line'!$M$4:$M$539,"&gt;0")</f>
        <v>0</v>
      </c>
      <c r="E51" s="148" t="str">
        <f t="shared" si="0"/>
        <v xml:space="preserve"> </v>
      </c>
    </row>
    <row r="52" spans="2:5" s="27" customFormat="1" ht="19.5" customHeight="1">
      <c r="B52" s="53">
        <v>46074</v>
      </c>
      <c r="C52">
        <f t="array" ref="C52">SUM(IF('Common line'!$C$4:$C$539=FPY!B52,'Common line'!$K$4:$L$539,""))</f>
        <v>0</v>
      </c>
      <c r="D52">
        <f>COUNTIFS('Common line'!$C$4:$C$539,FPY!B52,'Common line'!$M$4:$M$539,"&gt;0")</f>
        <v>0</v>
      </c>
      <c r="E52" s="148" t="str">
        <f t="shared" si="0"/>
        <v xml:space="preserve"> </v>
      </c>
    </row>
    <row r="53" spans="2:5" s="27" customFormat="1" ht="19.5" customHeight="1">
      <c r="B53" s="53">
        <v>46075</v>
      </c>
      <c r="C53">
        <f t="array" ref="C53">SUM(IF('Common line'!$C$4:$C$539=FPY!B53,'Common line'!$K$4:$L$539,""))</f>
        <v>0</v>
      </c>
      <c r="D53">
        <f>COUNTIFS('Common line'!$C$4:$C$539,FPY!B53,'Common line'!$M$4:$M$539,"&gt;0")</f>
        <v>0</v>
      </c>
      <c r="E53" s="148" t="str">
        <f t="shared" si="0"/>
        <v xml:space="preserve"> </v>
      </c>
    </row>
    <row r="54" spans="2:5" s="27" customFormat="1" ht="19.5" customHeight="1">
      <c r="B54" s="53">
        <v>46076</v>
      </c>
      <c r="C54">
        <f t="array" ref="C54">SUM(IF('Common line'!$C$4:$C$539=FPY!B54,'Common line'!$K$4:$L$539,""))</f>
        <v>11</v>
      </c>
      <c r="D54">
        <f>COUNTIFS('Common line'!$C$4:$C$539,FPY!B54,'Common line'!$M$4:$M$539,"&gt;0")</f>
        <v>0</v>
      </c>
      <c r="E54" s="148">
        <f t="shared" si="0"/>
        <v>1</v>
      </c>
    </row>
    <row r="55" spans="2:5" s="27" customFormat="1" ht="19.5" customHeight="1">
      <c r="B55" s="53">
        <v>46077</v>
      </c>
      <c r="C55">
        <f t="array" ref="C55">SUM(IF('Common line'!$C$4:$C$539=FPY!B55,'Common line'!$K$4:$L$539,""))</f>
        <v>6</v>
      </c>
      <c r="D55">
        <f>COUNTIFS('Common line'!$C$4:$C$539,FPY!B55,'Common line'!$M$4:$M$539,"&gt;0")</f>
        <v>1</v>
      </c>
      <c r="E55" s="148">
        <f t="shared" si="0"/>
        <v>0.83333333333333337</v>
      </c>
    </row>
    <row r="56" spans="2:5" s="27" customFormat="1" ht="19.5" customHeight="1">
      <c r="B56" s="53">
        <v>46078</v>
      </c>
      <c r="C56">
        <f t="array" ref="C56">SUM(IF('Common line'!$C$4:$C$539=FPY!B56,'Common line'!$K$4:$L$539,""))</f>
        <v>6</v>
      </c>
      <c r="D56">
        <f>COUNTIFS('Common line'!$C$4:$C$539,FPY!B56,'Common line'!$M$4:$M$539,"&gt;0")</f>
        <v>1</v>
      </c>
      <c r="E56" s="148">
        <f t="shared" si="0"/>
        <v>0.83333333333333337</v>
      </c>
    </row>
    <row r="57" spans="2:5" s="27" customFormat="1" ht="19.5" customHeight="1">
      <c r="B57" s="53">
        <v>46079</v>
      </c>
      <c r="C57">
        <f t="array" ref="C57">SUM(IF('Common line'!$C$4:$C$539=FPY!B57,'Common line'!$K$4:$L$539,""))</f>
        <v>2</v>
      </c>
      <c r="D57">
        <f>COUNTIFS('Common line'!$C$4:$C$539,FPY!B57,'Common line'!$M$4:$M$539,"&gt;0")</f>
        <v>0</v>
      </c>
      <c r="E57" s="148">
        <f t="shared" si="0"/>
        <v>1</v>
      </c>
    </row>
    <row r="58" spans="2:5" s="27" customFormat="1" ht="19.5" customHeight="1">
      <c r="B58" s="53">
        <v>46080</v>
      </c>
      <c r="C58">
        <f t="array" ref="C58">SUM(IF('Common line'!$C$4:$C$539=FPY!B58,'Common line'!$K$4:$L$539,""))</f>
        <v>13</v>
      </c>
      <c r="D58">
        <f>COUNTIFS('Common line'!$C$4:$C$539,FPY!B58,'Common line'!$M$4:$M$539,"&gt;0")</f>
        <v>0</v>
      </c>
      <c r="E58" s="148">
        <f t="shared" si="0"/>
        <v>1</v>
      </c>
    </row>
    <row r="59" spans="2:5" s="27" customFormat="1" ht="19.5" customHeight="1">
      <c r="B59" s="53">
        <v>46081</v>
      </c>
      <c r="C59">
        <f t="array" ref="C59">SUM(IF('Common line'!$C$4:$C$539=FPY!B59,'Common line'!$K$4:$L$539,""))</f>
        <v>17</v>
      </c>
      <c r="D59">
        <f>COUNTIFS('Common line'!$C$4:$C$539,FPY!B59,'Common line'!$M$4:$M$539,"&gt;0")</f>
        <v>2</v>
      </c>
      <c r="E59" s="148">
        <f t="shared" si="0"/>
        <v>0.88235294117647056</v>
      </c>
    </row>
    <row r="60" spans="2:5" s="27" customFormat="1" ht="19.5" customHeight="1">
      <c r="B60" s="53">
        <v>46082</v>
      </c>
      <c r="C60">
        <f t="array" ref="C60">SUM(IF('Common line'!$C$4:$C$539=FPY!B60,'Common line'!$K$4:$L$539,""))</f>
        <v>0</v>
      </c>
      <c r="D60">
        <f>COUNTIFS('Common line'!$C$4:$C$539,FPY!B60,'Common line'!$M$4:$M$539,"&gt;0")</f>
        <v>0</v>
      </c>
      <c r="E60" s="148" t="str">
        <f t="shared" si="0"/>
        <v xml:space="preserve"> </v>
      </c>
    </row>
    <row r="61" spans="2:5" s="27" customFormat="1" ht="19.5" customHeight="1">
      <c r="B61" s="53">
        <v>46083</v>
      </c>
      <c r="C61">
        <f t="array" ref="C61">SUM(IF('Common line'!$C$4:$C$539=FPY!B61,'Common line'!$K$4:$L$539,""))</f>
        <v>7</v>
      </c>
      <c r="D61">
        <f>COUNTIFS('Common line'!$C$4:$C$539,FPY!B61,'Common line'!$M$4:$M$539,"&gt;0")</f>
        <v>1</v>
      </c>
      <c r="E61" s="148">
        <f t="shared" si="0"/>
        <v>0.8571428571428571</v>
      </c>
    </row>
    <row r="62" spans="2:5" s="27" customFormat="1" ht="19.5" customHeight="1">
      <c r="B62" s="53">
        <v>46084</v>
      </c>
      <c r="C62">
        <f t="array" ref="C62">SUM(IF('Common line'!$C$4:$C$539=FPY!B62,'Common line'!$K$4:$L$539,""))</f>
        <v>6</v>
      </c>
      <c r="D62">
        <f>COUNTIFS('Common line'!$C$4:$C$539,FPY!B62,'Common line'!$M$4:$M$539,"&gt;0")</f>
        <v>1</v>
      </c>
      <c r="E62" s="148">
        <f t="shared" si="0"/>
        <v>0.83333333333333337</v>
      </c>
    </row>
    <row r="63" spans="2:5" s="27" customFormat="1" ht="19.5" customHeight="1">
      <c r="B63" s="53">
        <v>46085</v>
      </c>
      <c r="C63">
        <f t="array" ref="C63">SUM(IF('Common line'!$C$4:$C$539=FPY!B63,'Common line'!$K$4:$L$539,""))</f>
        <v>6</v>
      </c>
      <c r="D63">
        <f>COUNTIFS('Common line'!$C$4:$C$539,FPY!B63,'Common line'!$M$4:$M$539,"&gt;0")</f>
        <v>1</v>
      </c>
      <c r="E63" s="148">
        <f t="shared" si="0"/>
        <v>0.83333333333333337</v>
      </c>
    </row>
    <row r="64" spans="2:5" s="27" customFormat="1" ht="19.5" customHeight="1">
      <c r="B64" s="53">
        <v>46086</v>
      </c>
      <c r="C64">
        <f t="array" ref="C64">SUM(IF('Common line'!$C$4:$C$539=FPY!B64,'Common line'!$K$4:$L$539,""))</f>
        <v>6</v>
      </c>
      <c r="D64">
        <f>COUNTIFS('Common line'!$C$4:$C$539,FPY!B64,'Common line'!$M$4:$M$539,"&gt;0")</f>
        <v>1</v>
      </c>
      <c r="E64" s="148">
        <f t="shared" si="0"/>
        <v>0.83333333333333337</v>
      </c>
    </row>
    <row r="65" spans="2:5" s="27" customFormat="1" ht="19.5" customHeight="1">
      <c r="B65" s="53">
        <v>46087</v>
      </c>
      <c r="C65">
        <f t="array" ref="C65">SUM(IF('Common line'!$C$4:$C$539=FPY!B65,'Common line'!$K$4:$L$539,""))</f>
        <v>9</v>
      </c>
      <c r="D65">
        <f>COUNTIFS('Common line'!$C$4:$C$539,FPY!B65,'Common line'!$M$4:$M$539,"&gt;0")</f>
        <v>1</v>
      </c>
      <c r="E65" s="148">
        <f t="shared" si="0"/>
        <v>0.88888888888888884</v>
      </c>
    </row>
    <row r="66" spans="2:5" s="27" customFormat="1" ht="19.5" customHeight="1">
      <c r="B66" s="53">
        <v>46088</v>
      </c>
      <c r="C66">
        <f t="array" ref="C66">SUM(IF('Common line'!$C$4:$C$539=FPY!B66,'Common line'!$K$4:$L$539,""))</f>
        <v>1</v>
      </c>
      <c r="D66">
        <f>COUNTIFS('Common line'!$C$4:$C$539,FPY!B66,'Common line'!$M$4:$M$539,"&gt;0")</f>
        <v>0</v>
      </c>
      <c r="E66" s="148">
        <f t="shared" si="0"/>
        <v>1</v>
      </c>
    </row>
    <row r="67" spans="2:5" s="27" customFormat="1" ht="19.5" customHeight="1">
      <c r="B67" s="53">
        <v>46089</v>
      </c>
      <c r="C67">
        <f t="array" ref="C67">SUM(IF('Common line'!$C$4:$C$539=FPY!B67,'Common line'!$K$4:$L$539,""))</f>
        <v>0</v>
      </c>
      <c r="D67">
        <f>COUNTIFS('Common line'!$C$4:$C$539,FPY!B67,'Common line'!$M$4:$M$539,"&gt;0")</f>
        <v>0</v>
      </c>
      <c r="E67" s="148" t="str">
        <f t="shared" ref="E67:E130" si="3">IF(C67=0," ",(C67-D67)/C67)</f>
        <v xml:space="preserve"> </v>
      </c>
    </row>
    <row r="68" spans="2:5" s="27" customFormat="1" ht="19.5" customHeight="1">
      <c r="B68" s="53">
        <v>46090</v>
      </c>
      <c r="C68">
        <f t="array" ref="C68">SUM(IF('Common line'!$C$4:$C$539=FPY!B68,'Common line'!$K$4:$L$539,""))</f>
        <v>1</v>
      </c>
      <c r="D68">
        <f>COUNTIFS('Common line'!$C$4:$C$539,FPY!B68,'Common line'!$M$4:$M$539,"&gt;0")</f>
        <v>0</v>
      </c>
      <c r="E68" s="148">
        <f t="shared" si="3"/>
        <v>1</v>
      </c>
    </row>
    <row r="69" spans="2:5" s="27" customFormat="1" ht="19.5" customHeight="1">
      <c r="B69" s="53">
        <v>46091</v>
      </c>
      <c r="C69">
        <f t="array" ref="C69">SUM(IF('Common line'!$C$4:$C$539=FPY!B69,'Common line'!$K$4:$L$539,""))</f>
        <v>7</v>
      </c>
      <c r="D69">
        <f>COUNTIFS('Common line'!$C$4:$C$539,FPY!B69,'Common line'!$M$4:$M$539,"&gt;0")</f>
        <v>1</v>
      </c>
      <c r="E69" s="148">
        <f t="shared" si="3"/>
        <v>0.8571428571428571</v>
      </c>
    </row>
    <row r="70" spans="2:5" s="27" customFormat="1" ht="19.5" customHeight="1">
      <c r="B70" s="53">
        <v>46092</v>
      </c>
      <c r="C70">
        <f t="array" ref="C70">SUM(IF('Common line'!$C$4:$C$539=FPY!B70,'Common line'!$K$4:$L$539,""))</f>
        <v>6</v>
      </c>
      <c r="D70">
        <f>COUNTIFS('Common line'!$C$4:$C$539,FPY!B70,'Common line'!$M$4:$M$539,"&gt;0")</f>
        <v>1</v>
      </c>
      <c r="E70" s="148">
        <f t="shared" si="3"/>
        <v>0.83333333333333337</v>
      </c>
    </row>
    <row r="71" spans="2:5" s="27" customFormat="1" ht="19.5" customHeight="1">
      <c r="B71" s="53">
        <v>46093</v>
      </c>
      <c r="C71">
        <f t="array" ref="C71">SUM(IF('Common line'!$C$4:$C$539=FPY!B71,'Common line'!$K$4:$L$539,""))</f>
        <v>7</v>
      </c>
      <c r="D71">
        <f>COUNTIFS('Common line'!$C$4:$C$539,FPY!B71,'Common line'!$M$4:$M$539,"&gt;0")</f>
        <v>1</v>
      </c>
      <c r="E71" s="148">
        <f t="shared" si="3"/>
        <v>0.8571428571428571</v>
      </c>
    </row>
    <row r="72" spans="2:5" s="27" customFormat="1" ht="19.5" customHeight="1">
      <c r="B72" s="53">
        <v>46094</v>
      </c>
      <c r="C72">
        <f t="array" ref="C72">SUM(IF('Common line'!$C$4:$C$539=FPY!B72,'Common line'!$K$4:$L$539,""))</f>
        <v>1</v>
      </c>
      <c r="D72">
        <f>COUNTIFS('Common line'!$C$4:$C$539,FPY!B72,'Common line'!$M$4:$M$539,"&gt;0")</f>
        <v>0</v>
      </c>
      <c r="E72" s="148">
        <f t="shared" si="3"/>
        <v>1</v>
      </c>
    </row>
    <row r="73" spans="2:5" s="27" customFormat="1" ht="19.5" customHeight="1">
      <c r="B73" s="53">
        <v>46095</v>
      </c>
      <c r="C73">
        <f t="array" ref="C73">SUM(IF('Common line'!$C$4:$C$539=FPY!B73,'Common line'!$K$4:$L$539,""))</f>
        <v>6</v>
      </c>
      <c r="D73">
        <f>COUNTIFS('Common line'!$C$4:$C$539,FPY!B73,'Common line'!$M$4:$M$539,"&gt;0")</f>
        <v>1</v>
      </c>
      <c r="E73" s="148">
        <f t="shared" si="3"/>
        <v>0.83333333333333337</v>
      </c>
    </row>
    <row r="74" spans="2:5" s="27" customFormat="1" ht="19.5" customHeight="1">
      <c r="B74" s="53">
        <v>46096</v>
      </c>
      <c r="C74">
        <f t="array" ref="C74">SUM(IF('Common line'!$C$4:$C$539=FPY!B74,'Common line'!$K$4:$L$539,""))</f>
        <v>0</v>
      </c>
      <c r="D74">
        <f>COUNTIFS('Common line'!$C$4:$C$539,FPY!B74,'Common line'!$M$4:$M$539,"&gt;0")</f>
        <v>0</v>
      </c>
      <c r="E74" s="148" t="str">
        <f t="shared" si="3"/>
        <v xml:space="preserve"> </v>
      </c>
    </row>
    <row r="75" spans="2:5" s="27" customFormat="1" ht="19.5" customHeight="1">
      <c r="B75" s="53">
        <v>46097</v>
      </c>
      <c r="C75">
        <f t="array" ref="C75">SUM(IF('Common line'!$C$4:$C$539=FPY!B75,'Common line'!$K$4:$L$539,""))</f>
        <v>6</v>
      </c>
      <c r="D75">
        <f>COUNTIFS('Common line'!$C$4:$C$539,FPY!B75,'Common line'!$M$4:$M$539,"&gt;0")</f>
        <v>1</v>
      </c>
      <c r="E75" s="148">
        <f t="shared" si="3"/>
        <v>0.83333333333333337</v>
      </c>
    </row>
    <row r="76" spans="2:5" s="27" customFormat="1" ht="19.5" customHeight="1">
      <c r="B76" s="53">
        <v>46098</v>
      </c>
      <c r="C76">
        <f t="array" ref="C76">SUM(IF('Common line'!$C$4:$C$539=FPY!B76,'Common line'!$K$4:$L$539,""))</f>
        <v>1</v>
      </c>
      <c r="D76">
        <f>COUNTIFS('Common line'!$C$4:$C$539,FPY!B76,'Common line'!$M$4:$M$539,"&gt;0")</f>
        <v>0</v>
      </c>
      <c r="E76" s="148">
        <f t="shared" si="3"/>
        <v>1</v>
      </c>
    </row>
    <row r="77" spans="2:5" s="27" customFormat="1" ht="19.5" customHeight="1">
      <c r="B77" s="53">
        <v>46099</v>
      </c>
      <c r="C77">
        <f t="array" ref="C77">SUM(IF('Common line'!$C$4:$C$539=FPY!B77,'Common line'!$K$4:$L$539,""))</f>
        <v>12</v>
      </c>
      <c r="D77">
        <f>COUNTIFS('Common line'!$C$4:$C$539,FPY!B77,'Common line'!$M$4:$M$539,"&gt;0")</f>
        <v>2</v>
      </c>
      <c r="E77" s="148">
        <f t="shared" si="3"/>
        <v>0.83333333333333337</v>
      </c>
    </row>
    <row r="78" spans="2:5" s="27" customFormat="1" ht="19.5" customHeight="1">
      <c r="B78" s="53">
        <v>46100</v>
      </c>
      <c r="C78">
        <f t="array" ref="C78">SUM(IF('Common line'!$C$4:$C$539=FPY!B78,'Common line'!$K$4:$L$539,""))</f>
        <v>1</v>
      </c>
      <c r="D78">
        <f>COUNTIFS('Common line'!$C$4:$C$539,FPY!B78,'Common line'!$M$4:$M$539,"&gt;0")</f>
        <v>0</v>
      </c>
      <c r="E78" s="148">
        <f t="shared" si="3"/>
        <v>1</v>
      </c>
    </row>
    <row r="79" spans="2:5" s="27" customFormat="1" ht="19.5" customHeight="1">
      <c r="B79" s="53">
        <v>46101</v>
      </c>
      <c r="C79">
        <f t="array" ref="C79">SUM(IF('Common line'!$C$4:$C$539=FPY!B79,'Common line'!$K$4:$L$539,""))</f>
        <v>6</v>
      </c>
      <c r="D79">
        <f>COUNTIFS('Common line'!$C$4:$C$539,FPY!B79,'Common line'!$M$4:$M$539,"&gt;0")</f>
        <v>1</v>
      </c>
      <c r="E79" s="148">
        <f t="shared" si="3"/>
        <v>0.83333333333333337</v>
      </c>
    </row>
    <row r="80" spans="2:5" s="27" customFormat="1" ht="19.5" customHeight="1">
      <c r="B80" s="53">
        <v>46102</v>
      </c>
      <c r="C80">
        <f t="array" ref="C80">SUM(IF('Common line'!$C$4:$C$539=FPY!B80,'Common line'!$K$4:$L$539,""))</f>
        <v>1</v>
      </c>
      <c r="D80">
        <f>COUNTIFS('Common line'!$C$4:$C$539,FPY!B80,'Common line'!$M$4:$M$539,"&gt;0")</f>
        <v>0</v>
      </c>
      <c r="E80" s="148">
        <f t="shared" si="3"/>
        <v>1</v>
      </c>
    </row>
    <row r="81" spans="2:5" s="27" customFormat="1" ht="19.5" customHeight="1">
      <c r="B81" s="53">
        <v>46103</v>
      </c>
      <c r="C81">
        <f t="array" ref="C81">SUM(IF('Common line'!$C$4:$C$539=FPY!B81,'Common line'!$K$4:$L$539,""))</f>
        <v>0</v>
      </c>
      <c r="D81">
        <f>COUNTIFS('Common line'!$C$4:$C$539,FPY!B81,'Common line'!$M$4:$M$539,"&gt;0")</f>
        <v>0</v>
      </c>
      <c r="E81" s="148" t="str">
        <f t="shared" si="3"/>
        <v xml:space="preserve"> </v>
      </c>
    </row>
    <row r="82" spans="2:5" s="27" customFormat="1" ht="19.5" customHeight="1">
      <c r="B82" s="53">
        <v>46104</v>
      </c>
      <c r="C82">
        <f t="array" ref="C82">SUM(IF('Common line'!$C$4:$C$539=FPY!B82,'Common line'!$K$4:$L$539,""))</f>
        <v>11</v>
      </c>
      <c r="D82">
        <f>COUNTIFS('Common line'!$C$4:$C$539,FPY!B82,'Common line'!$M$4:$M$539,"&gt;0")</f>
        <v>1</v>
      </c>
      <c r="E82" s="148">
        <f t="shared" si="3"/>
        <v>0.90909090909090906</v>
      </c>
    </row>
    <row r="83" spans="2:5" s="27" customFormat="1" ht="19.5" customHeight="1">
      <c r="B83" s="53">
        <v>46105</v>
      </c>
      <c r="C83">
        <f t="array" ref="C83">SUM(IF('Common line'!$C$4:$C$539=FPY!B83,'Common line'!$K$4:$L$539,""))</f>
        <v>3</v>
      </c>
      <c r="D83">
        <f>COUNTIFS('Common line'!$C$4:$C$539,FPY!B83,'Common line'!$M$4:$M$539,"&gt;0")</f>
        <v>0</v>
      </c>
      <c r="E83" s="148">
        <f t="shared" si="3"/>
        <v>1</v>
      </c>
    </row>
    <row r="84" spans="2:5" s="27" customFormat="1" ht="19.5" customHeight="1">
      <c r="B84" s="53">
        <v>46106</v>
      </c>
      <c r="C84">
        <f t="array" ref="C84">SUM(IF('Common line'!$C$4:$C$539=FPY!B84,'Common line'!$K$4:$L$539,""))</f>
        <v>0</v>
      </c>
      <c r="D84">
        <f>COUNTIFS('Common line'!$C$4:$C$539,FPY!B84,'Common line'!$M$4:$M$539,"&gt;0")</f>
        <v>0</v>
      </c>
      <c r="E84" s="148" t="str">
        <f t="shared" si="3"/>
        <v xml:space="preserve"> </v>
      </c>
    </row>
    <row r="85" spans="2:5" s="27" customFormat="1" ht="19.5" customHeight="1">
      <c r="B85" s="53">
        <v>46107</v>
      </c>
      <c r="C85">
        <f t="array" ref="C85">SUM(IF('Common line'!$C$4:$C$539=FPY!B85,'Common line'!$K$4:$L$539,""))</f>
        <v>1</v>
      </c>
      <c r="D85">
        <f>COUNTIFS('Common line'!$C$4:$C$539,FPY!B85,'Common line'!$M$4:$M$539,"&gt;0")</f>
        <v>0</v>
      </c>
      <c r="E85" s="148">
        <f t="shared" si="3"/>
        <v>1</v>
      </c>
    </row>
    <row r="86" spans="2:5" s="27" customFormat="1" ht="19.5" customHeight="1">
      <c r="B86" s="53">
        <v>46108</v>
      </c>
      <c r="C86">
        <f t="array" ref="C86">SUM(IF('Common line'!$C$4:$C$539=FPY!B86,'Common line'!$K$4:$L$539,""))</f>
        <v>1</v>
      </c>
      <c r="D86">
        <f>COUNTIFS('Common line'!$C$4:$C$539,FPY!B86,'Common line'!$M$4:$M$539,"&gt;0")</f>
        <v>0</v>
      </c>
      <c r="E86" s="148">
        <f t="shared" si="3"/>
        <v>1</v>
      </c>
    </row>
    <row r="87" spans="2:5" s="27" customFormat="1" ht="19.5" customHeight="1">
      <c r="B87" s="53">
        <v>46109</v>
      </c>
      <c r="C87">
        <f t="array" ref="C87">SUM(IF('Common line'!$C$4:$C$539=FPY!B87,'Common line'!$K$4:$L$539,""))</f>
        <v>11</v>
      </c>
      <c r="D87">
        <f>COUNTIFS('Common line'!$C$4:$C$539,FPY!B87,'Common line'!$M$4:$M$539,"&gt;0")</f>
        <v>1</v>
      </c>
      <c r="E87" s="148">
        <f t="shared" si="3"/>
        <v>0.90909090909090906</v>
      </c>
    </row>
    <row r="88" spans="2:5" s="27" customFormat="1" ht="19.5" customHeight="1">
      <c r="B88" s="53">
        <v>46110</v>
      </c>
      <c r="C88">
        <f t="array" ref="C88">SUM(IF('Common line'!$C$4:$C$539=FPY!B88,'Common line'!$K$4:$L$539,""))</f>
        <v>0</v>
      </c>
      <c r="D88">
        <f>COUNTIFS('Common line'!$C$4:$C$539,FPY!B88,'Common line'!$M$4:$M$539,"&gt;0")</f>
        <v>0</v>
      </c>
      <c r="E88" s="148" t="str">
        <f t="shared" si="3"/>
        <v xml:space="preserve"> </v>
      </c>
    </row>
    <row r="89" spans="2:5" s="27" customFormat="1" ht="19.5" customHeight="1">
      <c r="B89" s="53">
        <v>46111</v>
      </c>
      <c r="C89">
        <f t="array" ref="C89">SUM(IF('Common line'!$C$4:$C$539=FPY!B89,'Common line'!$K$4:$L$539,""))</f>
        <v>12</v>
      </c>
      <c r="D89">
        <f>COUNTIFS('Common line'!$C$4:$C$539,FPY!B89,'Common line'!$M$4:$M$539,"&gt;0")</f>
        <v>2</v>
      </c>
      <c r="E89" s="148">
        <f t="shared" si="3"/>
        <v>0.83333333333333337</v>
      </c>
    </row>
    <row r="90" spans="2:5" s="27" customFormat="1" ht="19.5" customHeight="1">
      <c r="B90" s="53">
        <v>46112</v>
      </c>
      <c r="C90">
        <f t="array" ref="C90">SUM(IF('Common line'!$C$4:$C$539=FPY!B90,'Common line'!$K$4:$L$539,""))</f>
        <v>12</v>
      </c>
      <c r="D90">
        <f>COUNTIFS('Common line'!$C$4:$C$539,FPY!B90,'Common line'!$M$4:$M$539,"&gt;0")</f>
        <v>1</v>
      </c>
      <c r="E90" s="148">
        <f t="shared" si="3"/>
        <v>0.91666666666666663</v>
      </c>
    </row>
    <row r="91" spans="2:5" s="27" customFormat="1" ht="19.5" customHeight="1">
      <c r="B91" s="53">
        <v>46113</v>
      </c>
      <c r="C91">
        <f t="array" ref="C91">SUM(IF('Common line'!$C$4:$C$539=FPY!B91,'Common line'!$K$4:$L$539,""))</f>
        <v>6</v>
      </c>
      <c r="D91">
        <f>COUNTIFS('Common line'!$C$4:$C$539,FPY!B91,'Common line'!$M$4:$M$539,"&gt;0")</f>
        <v>1</v>
      </c>
      <c r="E91" s="148">
        <f t="shared" si="3"/>
        <v>0.83333333333333337</v>
      </c>
    </row>
    <row r="92" spans="2:5" s="27" customFormat="1" ht="19.5" customHeight="1">
      <c r="B92" s="53">
        <v>46114</v>
      </c>
      <c r="C92">
        <f t="array" ref="C92">SUM(IF('Common line'!$C$4:$C$539=FPY!B92,'Common line'!$K$4:$L$539,""))</f>
        <v>11</v>
      </c>
      <c r="D92">
        <f>COUNTIFS('Common line'!$C$4:$C$539,FPY!B92,'Common line'!$M$4:$M$539,"&gt;0")</f>
        <v>2</v>
      </c>
      <c r="E92" s="148">
        <f t="shared" si="3"/>
        <v>0.81818181818181823</v>
      </c>
    </row>
    <row r="93" spans="2:5" s="27" customFormat="1" ht="19.5" customHeight="1">
      <c r="B93" s="53">
        <v>46115</v>
      </c>
      <c r="C93">
        <f t="array" ref="C93">SUM(IF('Common line'!$C$4:$C$539=FPY!B93,'Common line'!$K$4:$L$539,""))</f>
        <v>7</v>
      </c>
      <c r="D93">
        <f>COUNTIFS('Common line'!$C$4:$C$539,FPY!B93,'Common line'!$M$4:$M$539,"&gt;0")</f>
        <v>1</v>
      </c>
      <c r="E93" s="148">
        <f t="shared" si="3"/>
        <v>0.8571428571428571</v>
      </c>
    </row>
    <row r="94" spans="2:5" s="27" customFormat="1" ht="19.5" customHeight="1">
      <c r="B94" s="53">
        <v>46116</v>
      </c>
      <c r="C94">
        <f t="array" ref="C94">SUM(IF('Common line'!$C$4:$C$539=FPY!B94,'Common line'!$K$4:$L$539,""))</f>
        <v>6</v>
      </c>
      <c r="D94">
        <f>COUNTIFS('Common line'!$C$4:$C$539,FPY!B94,'Common line'!$M$4:$M$539,"&gt;0")</f>
        <v>1</v>
      </c>
      <c r="E94" s="148">
        <f t="shared" si="3"/>
        <v>0.83333333333333337</v>
      </c>
    </row>
    <row r="95" spans="2:5" s="27" customFormat="1" ht="19.5" customHeight="1">
      <c r="B95" s="53">
        <v>46117</v>
      </c>
      <c r="C95">
        <f t="array" ref="C95">SUM(IF('Common line'!$C$4:$C$539=FPY!B95,'Common line'!$K$4:$L$539,""))</f>
        <v>0</v>
      </c>
      <c r="D95">
        <f>COUNTIFS('Common line'!$C$4:$C$539,FPY!B95,'Common line'!$M$4:$M$539,"&gt;0")</f>
        <v>0</v>
      </c>
      <c r="E95" s="148" t="str">
        <f t="shared" si="3"/>
        <v xml:space="preserve"> </v>
      </c>
    </row>
    <row r="96" spans="2:5" s="27" customFormat="1" ht="19.5" customHeight="1">
      <c r="B96" s="53">
        <v>46118</v>
      </c>
      <c r="C96">
        <f t="array" ref="C96">SUM(IF('Common line'!$C$4:$C$539=FPY!B96,'Common line'!$K$4:$L$539,""))</f>
        <v>0</v>
      </c>
      <c r="D96">
        <f>COUNTIFS('Common line'!$C$4:$C$539,FPY!B96,'Common line'!$M$4:$M$539,"&gt;0")</f>
        <v>0</v>
      </c>
      <c r="E96" s="148" t="str">
        <f t="shared" si="3"/>
        <v xml:space="preserve"> </v>
      </c>
    </row>
    <row r="97" spans="2:5" s="27" customFormat="1" ht="19.5" customHeight="1">
      <c r="B97" s="53">
        <v>46119</v>
      </c>
      <c r="C97">
        <f t="array" ref="C97">SUM(IF('Common line'!$C$4:$C$539=FPY!B97,'Common line'!$K$4:$L$539,""))</f>
        <v>12</v>
      </c>
      <c r="D97">
        <f>COUNTIFS('Common line'!$C$4:$C$539,FPY!B97,'Common line'!$M$4:$M$539,"&gt;0")</f>
        <v>1</v>
      </c>
      <c r="E97" s="148">
        <f t="shared" si="3"/>
        <v>0.91666666666666663</v>
      </c>
    </row>
    <row r="98" spans="2:5" s="27" customFormat="1" ht="19.5" customHeight="1">
      <c r="B98" s="53">
        <v>46120</v>
      </c>
      <c r="C98">
        <f t="array" ref="C98">SUM(IF('Common line'!$C$4:$C$539=FPY!B98,'Common line'!$K$4:$L$539,""))</f>
        <v>7</v>
      </c>
      <c r="D98">
        <f>COUNTIFS('Common line'!$C$4:$C$539,FPY!B98,'Common line'!$M$4:$M$539,"&gt;0")</f>
        <v>1</v>
      </c>
      <c r="E98" s="148">
        <f t="shared" si="3"/>
        <v>0.8571428571428571</v>
      </c>
    </row>
    <row r="99" spans="2:5" s="27" customFormat="1" ht="19.5" customHeight="1">
      <c r="B99" s="53">
        <v>46121</v>
      </c>
      <c r="C99">
        <f t="array" ref="C99">SUM(IF('Common line'!$C$4:$C$539=FPY!B99,'Common line'!$K$4:$L$539,""))</f>
        <v>6</v>
      </c>
      <c r="D99">
        <f>COUNTIFS('Common line'!$C$4:$C$539,FPY!B99,'Common line'!$M$4:$M$539,"&gt;0")</f>
        <v>1</v>
      </c>
      <c r="E99" s="148">
        <f t="shared" si="3"/>
        <v>0.83333333333333337</v>
      </c>
    </row>
    <row r="100" spans="2:5" s="27" customFormat="1" ht="19.5" customHeight="1">
      <c r="B100" s="53">
        <v>46122</v>
      </c>
      <c r="C100">
        <f t="array" ref="C100">SUM(IF('Common line'!$C$4:$C$539=FPY!B100,'Common line'!$K$4:$L$539,""))</f>
        <v>13</v>
      </c>
      <c r="D100">
        <f>COUNTIFS('Common line'!$C$4:$C$539,FPY!B100,'Common line'!$M$4:$M$539,"&gt;0")</f>
        <v>2</v>
      </c>
      <c r="E100" s="148">
        <f t="shared" si="3"/>
        <v>0.84615384615384615</v>
      </c>
    </row>
    <row r="101" spans="2:5" s="27" customFormat="1" ht="19.5" customHeight="1">
      <c r="B101" s="53">
        <v>46123</v>
      </c>
      <c r="C101">
        <f t="array" ref="C101">SUM(IF('Common line'!$C$4:$C$539=FPY!B101,'Common line'!$K$4:$L$539,""))</f>
        <v>7</v>
      </c>
      <c r="D101">
        <f>COUNTIFS('Common line'!$C$4:$C$539,FPY!B101,'Common line'!$M$4:$M$539,"&gt;0")</f>
        <v>1</v>
      </c>
      <c r="E101" s="148">
        <f t="shared" si="3"/>
        <v>0.8571428571428571</v>
      </c>
    </row>
    <row r="102" spans="2:5" s="27" customFormat="1" ht="19.5" customHeight="1">
      <c r="B102" s="53">
        <v>46124</v>
      </c>
      <c r="C102">
        <f t="array" ref="C102">SUM(IF('Common line'!$C$4:$C$539=FPY!B102,'Common line'!$K$4:$L$539,""))</f>
        <v>0</v>
      </c>
      <c r="D102">
        <f>COUNTIFS('Common line'!$C$4:$C$539,FPY!B102,'Common line'!$M$4:$M$539,"&gt;0")</f>
        <v>0</v>
      </c>
      <c r="E102" s="148" t="str">
        <f t="shared" si="3"/>
        <v xml:space="preserve"> </v>
      </c>
    </row>
    <row r="103" spans="2:5" s="27" customFormat="1" ht="19.5" customHeight="1">
      <c r="B103" s="53">
        <v>46125</v>
      </c>
      <c r="C103">
        <f t="array" ref="C103">SUM(IF('Common line'!$C$4:$C$539=FPY!B103,'Common line'!$K$4:$L$539,""))</f>
        <v>1</v>
      </c>
      <c r="D103">
        <f>COUNTIFS('Common line'!$C$4:$C$539,FPY!B103,'Common line'!$M$4:$M$539,"&gt;0")</f>
        <v>0</v>
      </c>
      <c r="E103" s="148">
        <f t="shared" si="3"/>
        <v>1</v>
      </c>
    </row>
    <row r="104" spans="2:5" s="27" customFormat="1" ht="19.5" customHeight="1">
      <c r="B104" s="53">
        <v>46126</v>
      </c>
      <c r="C104">
        <f t="array" ref="C104">SUM(IF('Common line'!$C$4:$C$539=FPY!B104,'Common line'!$K$4:$L$539,""))</f>
        <v>12</v>
      </c>
      <c r="D104">
        <f>COUNTIFS('Common line'!$C$4:$C$539,FPY!B104,'Common line'!$M$4:$M$539,"&gt;0")</f>
        <v>2</v>
      </c>
      <c r="E104" s="148">
        <f t="shared" si="3"/>
        <v>0.83333333333333337</v>
      </c>
    </row>
    <row r="105" spans="2:5" s="27" customFormat="1" ht="19.5" customHeight="1">
      <c r="B105" s="53">
        <v>46127</v>
      </c>
      <c r="C105">
        <f t="array" ref="C105">SUM(IF('Common line'!$C$4:$C$539=FPY!B105,'Common line'!$K$4:$L$539,""))</f>
        <v>1</v>
      </c>
      <c r="D105">
        <f>COUNTIFS('Common line'!$C$4:$C$539,FPY!B105,'Common line'!$M$4:$M$539,"&gt;0")</f>
        <v>0</v>
      </c>
      <c r="E105" s="148">
        <f t="shared" si="3"/>
        <v>1</v>
      </c>
    </row>
    <row r="106" spans="2:5" s="27" customFormat="1" ht="19.5" customHeight="1">
      <c r="B106" s="53">
        <v>46128</v>
      </c>
      <c r="C106">
        <f t="array" ref="C106">SUM(IF('Common line'!$C$4:$C$539=FPY!B106,'Common line'!$K$4:$L$539,""))</f>
        <v>7</v>
      </c>
      <c r="D106">
        <f>COUNTIFS('Common line'!$C$4:$C$539,FPY!B106,'Common line'!$M$4:$M$539,"&gt;0")</f>
        <v>1</v>
      </c>
      <c r="E106" s="148">
        <f t="shared" si="3"/>
        <v>0.8571428571428571</v>
      </c>
    </row>
    <row r="107" spans="2:5" s="27" customFormat="1" ht="19.5" customHeight="1">
      <c r="B107" s="53">
        <v>46129</v>
      </c>
      <c r="C107">
        <f t="array" ref="C107">SUM(IF('Common line'!$C$4:$C$539=FPY!B107,'Common line'!$K$4:$L$539,""))</f>
        <v>12</v>
      </c>
      <c r="D107">
        <f>COUNTIFS('Common line'!$C$4:$C$539,FPY!B107,'Common line'!$M$4:$M$539,"&gt;0")</f>
        <v>2</v>
      </c>
      <c r="E107" s="148">
        <f t="shared" si="3"/>
        <v>0.83333333333333337</v>
      </c>
    </row>
    <row r="108" spans="2:5" s="27" customFormat="1" ht="19.5" customHeight="1">
      <c r="B108" s="53">
        <v>46130</v>
      </c>
      <c r="C108">
        <f t="array" ref="C108">SUM(IF('Common line'!$C$4:$C$539=FPY!B108,'Common line'!$K$4:$L$539,""))</f>
        <v>11</v>
      </c>
      <c r="D108">
        <f>COUNTIFS('Common line'!$C$4:$C$539,FPY!B108,'Common line'!$M$4:$M$539,"&gt;0")</f>
        <v>1</v>
      </c>
      <c r="E108" s="148">
        <f t="shared" si="3"/>
        <v>0.90909090909090906</v>
      </c>
    </row>
    <row r="109" spans="2:5" s="27" customFormat="1" ht="19.5" customHeight="1">
      <c r="B109" s="53">
        <v>46131</v>
      </c>
      <c r="C109">
        <f t="array" ref="C109">SUM(IF('Common line'!$C$4:$C$539=FPY!B109,'Common line'!$K$4:$L$539,""))</f>
        <v>0</v>
      </c>
      <c r="D109">
        <f>COUNTIFS('Common line'!$C$4:$C$539,FPY!B109,'Common line'!$M$4:$M$539,"&gt;0")</f>
        <v>0</v>
      </c>
      <c r="E109" s="148" t="str">
        <f t="shared" si="3"/>
        <v xml:space="preserve"> </v>
      </c>
    </row>
    <row r="110" spans="2:5" s="27" customFormat="1" ht="19.5" customHeight="1">
      <c r="B110" s="53">
        <v>46132</v>
      </c>
      <c r="C110">
        <f t="array" ref="C110">SUM(IF('Common line'!$C$4:$C$539=FPY!B110,'Common line'!$K$4:$L$539,""))</f>
        <v>6</v>
      </c>
      <c r="D110">
        <f>COUNTIFS('Common line'!$C$4:$C$539,FPY!B110,'Common line'!$M$4:$M$539,"&gt;0")</f>
        <v>1</v>
      </c>
      <c r="E110" s="148">
        <f t="shared" si="3"/>
        <v>0.83333333333333337</v>
      </c>
    </row>
    <row r="111" spans="2:5" s="27" customFormat="1" ht="19.5" customHeight="1">
      <c r="B111" s="53">
        <v>46133</v>
      </c>
      <c r="C111">
        <f t="array" ref="C111">SUM(IF('Common line'!$C$4:$C$539=FPY!B111,'Common line'!$K$4:$L$539,""))</f>
        <v>7</v>
      </c>
      <c r="D111">
        <f>COUNTIFS('Common line'!$C$4:$C$539,FPY!B111,'Common line'!$M$4:$M$539,"&gt;0")</f>
        <v>1</v>
      </c>
      <c r="E111" s="148">
        <f t="shared" si="3"/>
        <v>0.8571428571428571</v>
      </c>
    </row>
    <row r="112" spans="2:5" s="27" customFormat="1" ht="19.5" customHeight="1">
      <c r="B112" s="53">
        <v>46134</v>
      </c>
      <c r="C112">
        <f t="array" ref="C112">SUM(IF('Common line'!$C$4:$C$539=FPY!B112,'Common line'!$K$4:$L$539,""))</f>
        <v>1</v>
      </c>
      <c r="D112">
        <f>COUNTIFS('Common line'!$C$4:$C$539,FPY!B112,'Common line'!$M$4:$M$539,"&gt;0")</f>
        <v>0</v>
      </c>
      <c r="E112" s="148">
        <f t="shared" si="3"/>
        <v>1</v>
      </c>
    </row>
    <row r="113" spans="2:5" s="27" customFormat="1" ht="19.5" customHeight="1">
      <c r="B113" s="53">
        <v>46135</v>
      </c>
      <c r="C113">
        <f t="array" ref="C113">SUM(IF('Common line'!$C$4:$C$539=FPY!B113,'Common line'!$K$4:$L$539,""))</f>
        <v>7</v>
      </c>
      <c r="D113">
        <f>COUNTIFS('Common line'!$C$4:$C$539,FPY!B113,'Common line'!$M$4:$M$539,"&gt;0")</f>
        <v>1</v>
      </c>
      <c r="E113" s="148">
        <f t="shared" si="3"/>
        <v>0.8571428571428571</v>
      </c>
    </row>
    <row r="114" spans="2:5" s="27" customFormat="1" ht="19.5" customHeight="1">
      <c r="B114" s="53">
        <v>46136</v>
      </c>
      <c r="C114">
        <f t="array" ref="C114">SUM(IF('Common line'!$C$4:$C$539=FPY!B114,'Common line'!$K$4:$L$539,""))</f>
        <v>12</v>
      </c>
      <c r="D114">
        <f>COUNTIFS('Common line'!$C$4:$C$539,FPY!B114,'Common line'!$M$4:$M$539,"&gt;0")</f>
        <v>2</v>
      </c>
      <c r="E114" s="148">
        <f t="shared" si="3"/>
        <v>0.83333333333333337</v>
      </c>
    </row>
    <row r="115" spans="2:5" s="27" customFormat="1" ht="19.5" customHeight="1">
      <c r="B115" s="53">
        <v>46137</v>
      </c>
      <c r="C115">
        <f t="array" ref="C115">SUM(IF('Common line'!$C$4:$C$539=FPY!B115,'Common line'!$K$4:$L$539,""))</f>
        <v>7</v>
      </c>
      <c r="D115">
        <f>COUNTIFS('Common line'!$C$4:$C$539,FPY!B115,'Common line'!$M$4:$M$539,"&gt;0")</f>
        <v>1</v>
      </c>
      <c r="E115" s="148">
        <f t="shared" si="3"/>
        <v>0.8571428571428571</v>
      </c>
    </row>
    <row r="116" spans="2:5" s="27" customFormat="1" ht="19.5" customHeight="1">
      <c r="B116" s="53">
        <v>46138</v>
      </c>
      <c r="C116">
        <f t="array" ref="C116">SUM(IF('Common line'!$C$4:$C$539=FPY!B116,'Common line'!$K$4:$L$539,""))</f>
        <v>0</v>
      </c>
      <c r="D116">
        <f>COUNTIFS('Common line'!$C$4:$C$539,FPY!B116,'Common line'!$M$4:$M$539,"&gt;0")</f>
        <v>0</v>
      </c>
      <c r="E116" s="148" t="str">
        <f t="shared" si="3"/>
        <v xml:space="preserve"> </v>
      </c>
    </row>
    <row r="117" spans="2:5" s="27" customFormat="1" ht="19.5" customHeight="1">
      <c r="B117" s="53">
        <v>46139</v>
      </c>
      <c r="C117">
        <f t="array" ref="C117">SUM(IF('Common line'!$C$4:$C$539=FPY!B117,'Common line'!$K$4:$L$539,""))</f>
        <v>6</v>
      </c>
      <c r="D117">
        <f>COUNTIFS('Common line'!$C$4:$C$539,FPY!B117,'Common line'!$M$4:$M$539,"&gt;0")</f>
        <v>1</v>
      </c>
      <c r="E117" s="148">
        <f t="shared" si="3"/>
        <v>0.83333333333333337</v>
      </c>
    </row>
    <row r="118" spans="2:5" s="27" customFormat="1" ht="19.5" customHeight="1">
      <c r="B118" s="53">
        <v>46140</v>
      </c>
      <c r="C118">
        <f t="array" ref="C118">SUM(IF('Common line'!$C$4:$C$539=FPY!B118,'Common line'!$K$4:$L$539,""))</f>
        <v>12</v>
      </c>
      <c r="D118">
        <f>COUNTIFS('Common line'!$C$4:$C$539,FPY!B118,'Common line'!$M$4:$M$539,"&gt;0")</f>
        <v>1</v>
      </c>
      <c r="E118" s="148">
        <f t="shared" si="3"/>
        <v>0.91666666666666663</v>
      </c>
    </row>
    <row r="119" spans="2:5" s="27" customFormat="1" ht="19.5" customHeight="1">
      <c r="B119" s="53">
        <v>46141</v>
      </c>
      <c r="C119">
        <f t="array" ref="C119">SUM(IF('Common line'!$C$4:$C$539=FPY!B119,'Common line'!$K$4:$L$539,""))</f>
        <v>2</v>
      </c>
      <c r="D119">
        <f>COUNTIFS('Common line'!$C$4:$C$539,FPY!B119,'Common line'!$M$4:$M$539,"&gt;0")</f>
        <v>0</v>
      </c>
      <c r="E119" s="148">
        <f t="shared" si="3"/>
        <v>1</v>
      </c>
    </row>
    <row r="120" spans="2:5" s="27" customFormat="1" ht="19.5" customHeight="1">
      <c r="B120" s="53">
        <v>46142</v>
      </c>
      <c r="C120">
        <f t="array" ref="C120">SUM(IF('Common line'!$C$4:$C$539=FPY!B120,'Common line'!$K$4:$L$539,""))</f>
        <v>6</v>
      </c>
      <c r="D120">
        <f>COUNTIFS('Common line'!$C$4:$C$539,FPY!B120,'Common line'!$M$4:$M$539,"&gt;0")</f>
        <v>1</v>
      </c>
      <c r="E120" s="148">
        <f t="shared" si="3"/>
        <v>0.83333333333333337</v>
      </c>
    </row>
    <row r="121" spans="2:5" s="27" customFormat="1" ht="19.5" customHeight="1">
      <c r="B121" s="53">
        <v>46143</v>
      </c>
      <c r="C121">
        <f t="array" ref="C121">SUM(IF('Common line'!$C$4:$C$539=FPY!B121,'Common line'!$K$4:$L$539,""))</f>
        <v>0</v>
      </c>
      <c r="D121">
        <f>COUNTIFS('Common line'!$C$4:$C$539,FPY!B121,'Common line'!$M$4:$M$539,"&gt;0")</f>
        <v>0</v>
      </c>
      <c r="E121" s="148" t="str">
        <f t="shared" si="3"/>
        <v xml:space="preserve"> </v>
      </c>
    </row>
    <row r="122" spans="2:5" s="27" customFormat="1" ht="19.5" customHeight="1">
      <c r="B122" s="53">
        <v>46144</v>
      </c>
      <c r="C122">
        <f t="array" ref="C122">SUM(IF('Common line'!$C$4:$C$539=FPY!B122,'Common line'!$K$4:$L$539,""))</f>
        <v>0</v>
      </c>
      <c r="D122">
        <f>COUNTIFS('Common line'!$C$4:$C$539,FPY!B122,'Common line'!$M$4:$M$539,"&gt;0")</f>
        <v>0</v>
      </c>
      <c r="E122" s="148" t="str">
        <f t="shared" si="3"/>
        <v xml:space="preserve"> </v>
      </c>
    </row>
    <row r="123" spans="2:5" s="27" customFormat="1" ht="19.5" customHeight="1">
      <c r="B123" s="53">
        <v>46145</v>
      </c>
      <c r="C123">
        <f t="array" ref="C123">SUM(IF('Common line'!$C$4:$C$539=FPY!B123,'Common line'!$K$4:$L$539,""))</f>
        <v>0</v>
      </c>
      <c r="D123">
        <f>COUNTIFS('Common line'!$C$4:$C$539,FPY!B123,'Common line'!$M$4:$M$539,"&gt;0")</f>
        <v>0</v>
      </c>
      <c r="E123" s="148" t="str">
        <f t="shared" si="3"/>
        <v xml:space="preserve"> </v>
      </c>
    </row>
    <row r="124" spans="2:5" s="27" customFormat="1" ht="19.5" customHeight="1">
      <c r="B124" s="53">
        <v>46146</v>
      </c>
      <c r="C124">
        <f t="array" ref="C124">SUM(IF('Common line'!$C$4:$C$539=FPY!B124,'Common line'!$K$4:$L$539,""))</f>
        <v>6</v>
      </c>
      <c r="D124">
        <f>COUNTIFS('Common line'!$C$4:$C$539,FPY!B124,'Common line'!$M$4:$M$539,"&gt;0")</f>
        <v>1</v>
      </c>
      <c r="E124" s="148">
        <f t="shared" si="3"/>
        <v>0.83333333333333337</v>
      </c>
    </row>
    <row r="125" spans="2:5" s="27" customFormat="1" ht="19.5" customHeight="1">
      <c r="B125" s="53">
        <v>46147</v>
      </c>
      <c r="C125">
        <f t="array" ref="C125">SUM(IF('Common line'!$C$4:$C$539=FPY!B125,'Common line'!$K$4:$L$539,""))</f>
        <v>7</v>
      </c>
      <c r="D125">
        <f>COUNTIFS('Common line'!$C$4:$C$539,FPY!B125,'Common line'!$M$4:$M$539,"&gt;0")</f>
        <v>1</v>
      </c>
      <c r="E125" s="148">
        <f t="shared" si="3"/>
        <v>0.8571428571428571</v>
      </c>
    </row>
    <row r="126" spans="2:5" s="27" customFormat="1" ht="19.5" customHeight="1">
      <c r="B126" s="53">
        <v>46148</v>
      </c>
      <c r="C126">
        <f t="array" ref="C126">SUM(IF('Common line'!$C$4:$C$539=FPY!B126,'Common line'!$K$4:$L$539,""))</f>
        <v>6</v>
      </c>
      <c r="D126">
        <f>COUNTIFS('Common line'!$C$4:$C$539,FPY!B126,'Common line'!$M$4:$M$539,"&gt;0")</f>
        <v>1</v>
      </c>
      <c r="E126" s="148">
        <f t="shared" si="3"/>
        <v>0.83333333333333337</v>
      </c>
    </row>
    <row r="127" spans="2:5" s="27" customFormat="1" ht="19.5" customHeight="1">
      <c r="B127" s="53">
        <v>46149</v>
      </c>
      <c r="C127">
        <f t="array" ref="C127">SUM(IF('Common line'!$C$4:$C$539=FPY!B127,'Common line'!$K$4:$L$539,""))</f>
        <v>6</v>
      </c>
      <c r="D127">
        <f>COUNTIFS('Common line'!$C$4:$C$539,FPY!B127,'Common line'!$M$4:$M$539,"&gt;0")</f>
        <v>1</v>
      </c>
      <c r="E127" s="148">
        <f t="shared" si="3"/>
        <v>0.83333333333333337</v>
      </c>
    </row>
    <row r="128" spans="2:5" s="27" customFormat="1" ht="19.5" customHeight="1">
      <c r="B128" s="53">
        <v>46150</v>
      </c>
      <c r="C128">
        <f t="array" ref="C128">SUM(IF('Common line'!$C$4:$C$539=FPY!B128,'Common line'!$K$4:$L$539,""))</f>
        <v>13</v>
      </c>
      <c r="D128">
        <f>COUNTIFS('Common line'!$C$4:$C$539,FPY!B128,'Common line'!$M$4:$M$539,"&gt;0")</f>
        <v>2</v>
      </c>
      <c r="E128" s="148">
        <f t="shared" si="3"/>
        <v>0.84615384615384615</v>
      </c>
    </row>
    <row r="129" spans="2:5" s="27" customFormat="1" ht="19.5" customHeight="1">
      <c r="B129" s="53">
        <v>46151</v>
      </c>
      <c r="C129">
        <f t="array" ref="C129">SUM(IF('Common line'!$C$4:$C$539=FPY!B129,'Common line'!$K$4:$L$539,""))</f>
        <v>1</v>
      </c>
      <c r="D129">
        <f>COUNTIFS('Common line'!$C$4:$C$539,FPY!B129,'Common line'!$M$4:$M$539,"&gt;0")</f>
        <v>0</v>
      </c>
      <c r="E129" s="148">
        <f t="shared" si="3"/>
        <v>1</v>
      </c>
    </row>
    <row r="130" spans="2:5" s="27" customFormat="1" ht="19.5" customHeight="1">
      <c r="B130" s="53">
        <v>46152</v>
      </c>
      <c r="C130">
        <f t="array" ref="C130">SUM(IF('Common line'!$C$4:$C$539=FPY!B130,'Common line'!$K$4:$L$539,""))</f>
        <v>0</v>
      </c>
      <c r="D130">
        <f>COUNTIFS('Common line'!$C$4:$C$539,FPY!B130,'Common line'!$M$4:$M$539,"&gt;0")</f>
        <v>0</v>
      </c>
      <c r="E130" s="148" t="str">
        <f t="shared" si="3"/>
        <v xml:space="preserve"> </v>
      </c>
    </row>
    <row r="131" spans="2:5" s="27" customFormat="1" ht="19.5" customHeight="1">
      <c r="B131" s="53">
        <v>46153</v>
      </c>
      <c r="C131">
        <f t="array" ref="C131">SUM(IF('Common line'!$C$4:$C$539=FPY!B131,'Common line'!$K$4:$L$539,""))</f>
        <v>1</v>
      </c>
      <c r="D131">
        <f>COUNTIFS('Common line'!$C$4:$C$539,FPY!B131,'Common line'!$M$4:$M$539,"&gt;0")</f>
        <v>0</v>
      </c>
      <c r="E131" s="148">
        <f t="shared" ref="E131:E194" si="4">IF(C131=0," ",(C131-D131)/C131)</f>
        <v>1</v>
      </c>
    </row>
    <row r="132" spans="2:5" s="27" customFormat="1" ht="19.5" customHeight="1">
      <c r="B132" s="53">
        <v>46154</v>
      </c>
      <c r="C132">
        <f t="array" ref="C132">SUM(IF('Common line'!$C$4:$C$539=FPY!B132,'Common line'!$K$4:$L$539,""))</f>
        <v>6</v>
      </c>
      <c r="D132">
        <f>COUNTIFS('Common line'!$C$4:$C$539,FPY!B132,'Common line'!$M$4:$M$539,"&gt;0")</f>
        <v>1</v>
      </c>
      <c r="E132" s="148">
        <f t="shared" si="4"/>
        <v>0.83333333333333337</v>
      </c>
    </row>
    <row r="133" spans="2:5" s="27" customFormat="1" ht="19.5" customHeight="1">
      <c r="B133" s="53">
        <v>46155</v>
      </c>
      <c r="C133">
        <f t="array" ref="C133">SUM(IF('Common line'!$C$4:$C$539=FPY!B133,'Common line'!$K$4:$L$539,""))</f>
        <v>6</v>
      </c>
      <c r="D133">
        <f>COUNTIFS('Common line'!$C$4:$C$539,FPY!B133,'Common line'!$M$4:$M$539,"&gt;0")</f>
        <v>1</v>
      </c>
      <c r="E133" s="148">
        <f t="shared" si="4"/>
        <v>0.83333333333333337</v>
      </c>
    </row>
    <row r="134" spans="2:5" s="27" customFormat="1" ht="19.5" customHeight="1">
      <c r="B134" s="53">
        <v>46156</v>
      </c>
      <c r="C134">
        <f t="array" ref="C134">SUM(IF('Common line'!$C$4:$C$539=FPY!B134,'Common line'!$K$4:$L$539,""))</f>
        <v>2</v>
      </c>
      <c r="D134">
        <f>COUNTIFS('Common line'!$C$4:$C$539,FPY!B134,'Common line'!$M$4:$M$539,"&gt;0")</f>
        <v>0</v>
      </c>
      <c r="E134" s="148">
        <f t="shared" si="4"/>
        <v>1</v>
      </c>
    </row>
    <row r="135" spans="2:5" s="27" customFormat="1" ht="19.5" customHeight="1">
      <c r="B135" s="53">
        <v>46157</v>
      </c>
      <c r="C135">
        <f t="array" ref="C135">SUM(IF('Common line'!$C$4:$C$539=FPY!B135,'Common line'!$K$4:$L$539,""))</f>
        <v>15</v>
      </c>
      <c r="D135">
        <f>COUNTIFS('Common line'!$C$4:$C$539,FPY!B135,'Common line'!$M$4:$M$539,"&gt;0")</f>
        <v>4</v>
      </c>
      <c r="E135" s="148">
        <f t="shared" si="4"/>
        <v>0.73333333333333328</v>
      </c>
    </row>
    <row r="136" spans="2:5" s="27" customFormat="1" ht="19.5" customHeight="1">
      <c r="B136" s="53">
        <v>46158</v>
      </c>
      <c r="C136">
        <f t="array" ref="C136">SUM(IF('Common line'!$C$4:$C$539=FPY!B136,'Common line'!$K$4:$L$539,""))</f>
        <v>9</v>
      </c>
      <c r="D136">
        <f>COUNTIFS('Common line'!$C$4:$C$539,FPY!B136,'Common line'!$M$4:$M$539,"&gt;0")</f>
        <v>2</v>
      </c>
      <c r="E136" s="148">
        <f t="shared" si="4"/>
        <v>0.77777777777777779</v>
      </c>
    </row>
    <row r="137" spans="2:5" s="27" customFormat="1" ht="19.5" customHeight="1">
      <c r="B137" s="53">
        <v>46159</v>
      </c>
      <c r="C137">
        <f t="array" ref="C137">SUM(IF('Common line'!$C$4:$C$539=FPY!B137,'Common line'!$K$4:$L$539,""))</f>
        <v>0</v>
      </c>
      <c r="D137">
        <f>COUNTIFS('Common line'!$C$4:$C$539,FPY!B137,'Common line'!$M$4:$M$539,"&gt;0")</f>
        <v>0</v>
      </c>
      <c r="E137" s="148" t="str">
        <f t="shared" si="4"/>
        <v xml:space="preserve"> </v>
      </c>
    </row>
    <row r="138" spans="2:5" s="27" customFormat="1" ht="19.5" customHeight="1">
      <c r="B138" s="53">
        <v>46160</v>
      </c>
      <c r="C138">
        <f t="array" ref="C138">SUM(IF('Common line'!$C$4:$C$539=FPY!B138,'Common line'!$K$4:$L$539,""))</f>
        <v>6</v>
      </c>
      <c r="D138">
        <f>COUNTIFS('Common line'!$C$4:$C$539,FPY!B138,'Common line'!$M$4:$M$539,"&gt;0")</f>
        <v>1</v>
      </c>
      <c r="E138" s="148">
        <f t="shared" si="4"/>
        <v>0.83333333333333337</v>
      </c>
    </row>
    <row r="139" spans="2:5" s="27" customFormat="1" ht="19.5" customHeight="1">
      <c r="B139" s="53">
        <v>46161</v>
      </c>
      <c r="C139">
        <f t="array" ref="C139">SUM(IF('Common line'!$C$4:$C$539=FPY!B139,'Common line'!$K$4:$L$539,""))</f>
        <v>7</v>
      </c>
      <c r="D139">
        <f>COUNTIFS('Common line'!$C$4:$C$539,FPY!B139,'Common line'!$M$4:$M$539,"&gt;0")</f>
        <v>1</v>
      </c>
      <c r="E139" s="148">
        <f t="shared" si="4"/>
        <v>0.8571428571428571</v>
      </c>
    </row>
    <row r="140" spans="2:5" s="27" customFormat="1" ht="19.5" customHeight="1">
      <c r="B140" s="53">
        <v>46162</v>
      </c>
      <c r="C140">
        <f t="array" ref="C140">SUM(IF('Common line'!$C$4:$C$539=FPY!B140,'Common line'!$K$4:$L$539,""))</f>
        <v>11</v>
      </c>
      <c r="D140">
        <f>COUNTIFS('Common line'!$C$4:$C$539,FPY!B140,'Common line'!$M$4:$M$539,"&gt;0")</f>
        <v>1</v>
      </c>
      <c r="E140" s="148">
        <f t="shared" si="4"/>
        <v>0.90909090909090906</v>
      </c>
    </row>
    <row r="141" spans="2:5" s="27" customFormat="1" ht="19.5" customHeight="1">
      <c r="B141" s="53">
        <v>46163</v>
      </c>
      <c r="C141">
        <f t="array" ref="C141">SUM(IF('Common line'!$C$4:$C$539=FPY!B141,'Common line'!$K$4:$L$539,""))</f>
        <v>2</v>
      </c>
      <c r="D141">
        <f>COUNTIFS('Common line'!$C$4:$C$539,FPY!B141,'Common line'!$M$4:$M$539,"&gt;0")</f>
        <v>0</v>
      </c>
      <c r="E141" s="148">
        <f t="shared" si="4"/>
        <v>1</v>
      </c>
    </row>
    <row r="142" spans="2:5" s="27" customFormat="1" ht="19.5" customHeight="1">
      <c r="B142" s="53">
        <v>46164</v>
      </c>
      <c r="C142">
        <f t="array" ref="C142">SUM(IF('Common line'!$C$4:$C$539=FPY!B142,'Common line'!$K$4:$L$539,""))</f>
        <v>6</v>
      </c>
      <c r="D142">
        <f>COUNTIFS('Common line'!$C$4:$C$539,FPY!B142,'Common line'!$M$4:$M$539,"&gt;0")</f>
        <v>1</v>
      </c>
      <c r="E142" s="148">
        <f t="shared" si="4"/>
        <v>0.83333333333333337</v>
      </c>
    </row>
    <row r="143" spans="2:5" s="27" customFormat="1" ht="19.5" customHeight="1">
      <c r="B143" s="53">
        <v>46165</v>
      </c>
      <c r="C143">
        <f t="array" ref="C143">SUM(IF('Common line'!$C$4:$C$539=FPY!B143,'Common line'!$K$4:$L$539,""))</f>
        <v>6</v>
      </c>
      <c r="D143">
        <f>COUNTIFS('Common line'!$C$4:$C$539,FPY!B143,'Common line'!$M$4:$M$539,"&gt;0")</f>
        <v>1</v>
      </c>
      <c r="E143" s="148">
        <f t="shared" si="4"/>
        <v>0.83333333333333337</v>
      </c>
    </row>
    <row r="144" spans="2:5" s="27" customFormat="1" ht="19.5" customHeight="1">
      <c r="B144" s="53">
        <v>46166</v>
      </c>
      <c r="C144">
        <f t="array" ref="C144">SUM(IF('Common line'!$C$4:$C$539=FPY!B144,'Common line'!$K$4:$L$539,""))</f>
        <v>0</v>
      </c>
      <c r="D144">
        <f>COUNTIFS('Common line'!$C$4:$C$539,FPY!B144,'Common line'!$M$4:$M$539,"&gt;0")</f>
        <v>0</v>
      </c>
      <c r="E144" s="148" t="str">
        <f t="shared" si="4"/>
        <v xml:space="preserve"> </v>
      </c>
    </row>
    <row r="145" spans="2:5" s="27" customFormat="1" ht="19.5" customHeight="1">
      <c r="B145" s="53">
        <v>46167</v>
      </c>
      <c r="C145">
        <f t="array" ref="C145">SUM(IF('Common line'!$C$4:$C$539=FPY!B145,'Common line'!$K$4:$L$539,""))</f>
        <v>6</v>
      </c>
      <c r="D145">
        <f>COUNTIFS('Common line'!$C$4:$C$539,FPY!B145,'Common line'!$M$4:$M$539,"&gt;0")</f>
        <v>1</v>
      </c>
      <c r="E145" s="148">
        <f t="shared" si="4"/>
        <v>0.83333333333333337</v>
      </c>
    </row>
    <row r="146" spans="2:5" s="27" customFormat="1" ht="19.5" customHeight="1">
      <c r="B146" s="53">
        <v>46168</v>
      </c>
      <c r="C146">
        <f t="array" ref="C146">SUM(IF('Common line'!$C$4:$C$539=FPY!B146,'Common line'!$K$4:$L$539,""))</f>
        <v>13</v>
      </c>
      <c r="D146">
        <f>COUNTIFS('Common line'!$C$4:$C$539,FPY!B146,'Common line'!$M$4:$M$539,"&gt;0")</f>
        <v>2</v>
      </c>
      <c r="E146" s="148">
        <f t="shared" si="4"/>
        <v>0.84615384615384615</v>
      </c>
    </row>
    <row r="147" spans="2:5" s="27" customFormat="1" ht="19.5" customHeight="1">
      <c r="B147" s="53">
        <v>46169</v>
      </c>
      <c r="C147">
        <f t="array" ref="C147">SUM(IF('Common line'!$C$4:$C$539=FPY!B147,'Common line'!$K$4:$L$539,""))</f>
        <v>1</v>
      </c>
      <c r="D147">
        <f>COUNTIFS('Common line'!$C$4:$C$539,FPY!B147,'Common line'!$M$4:$M$539,"&gt;0")</f>
        <v>0</v>
      </c>
      <c r="E147" s="148">
        <f t="shared" si="4"/>
        <v>1</v>
      </c>
    </row>
    <row r="148" spans="2:5" s="27" customFormat="1" ht="19.5" customHeight="1">
      <c r="B148" s="53">
        <v>46170</v>
      </c>
      <c r="C148">
        <f t="array" ref="C148">SUM(IF('Common line'!$C$4:$C$539=FPY!B148,'Common line'!$K$4:$L$539,""))</f>
        <v>2</v>
      </c>
      <c r="D148">
        <f>COUNTIFS('Common line'!$C$4:$C$539,FPY!B148,'Common line'!$M$4:$M$539,"&gt;0")</f>
        <v>0</v>
      </c>
      <c r="E148" s="148">
        <f t="shared" si="4"/>
        <v>1</v>
      </c>
    </row>
    <row r="149" spans="2:5" s="27" customFormat="1" ht="19.5" customHeight="1">
      <c r="B149" s="53">
        <v>46171</v>
      </c>
      <c r="C149">
        <f t="array" ref="C149">SUM(IF('Common line'!$C$4:$C$539=FPY!B149,'Common line'!$K$4:$L$539,""))</f>
        <v>6</v>
      </c>
      <c r="D149">
        <f>COUNTIFS('Common line'!$C$4:$C$539,FPY!B149,'Common line'!$M$4:$M$539,"&gt;0")</f>
        <v>1</v>
      </c>
      <c r="E149" s="148">
        <f t="shared" si="4"/>
        <v>0.83333333333333337</v>
      </c>
    </row>
    <row r="150" spans="2:5" s="27" customFormat="1" ht="19.5" customHeight="1">
      <c r="B150" s="53">
        <v>46172</v>
      </c>
      <c r="C150">
        <f t="array" ref="C150">SUM(IF('Common line'!$C$4:$C$539=FPY!B150,'Common line'!$K$4:$L$539,""))</f>
        <v>1</v>
      </c>
      <c r="D150">
        <f>COUNTIFS('Common line'!$C$4:$C$539,FPY!B150,'Common line'!$M$4:$M$539,"&gt;0")</f>
        <v>0</v>
      </c>
      <c r="E150" s="148">
        <f t="shared" si="4"/>
        <v>1</v>
      </c>
    </row>
    <row r="151" spans="2:5" s="27" customFormat="1" ht="19.5" customHeight="1">
      <c r="B151" s="53">
        <v>46173</v>
      </c>
      <c r="C151">
        <f t="array" ref="C151">SUM(IF('Common line'!$C$4:$C$539=FPY!B151,'Common line'!$K$4:$L$539,""))</f>
        <v>0</v>
      </c>
      <c r="D151">
        <f>COUNTIFS('Common line'!$C$4:$C$539,FPY!B151,'Common line'!$M$4:$M$539,"&gt;0")</f>
        <v>0</v>
      </c>
      <c r="E151" s="148" t="str">
        <f t="shared" si="4"/>
        <v xml:space="preserve"> </v>
      </c>
    </row>
    <row r="152" spans="2:5" s="27" customFormat="1" ht="19.5" customHeight="1">
      <c r="B152" s="53">
        <v>46174</v>
      </c>
      <c r="C152">
        <f t="array" ref="C152">SUM(IF('Common line'!$C$4:$C$539=FPY!B152,'Common line'!$K$4:$L$539,""))</f>
        <v>7</v>
      </c>
      <c r="D152">
        <f>COUNTIFS('Common line'!$C$4:$C$539,FPY!B152,'Common line'!$M$4:$M$539,"&gt;0")</f>
        <v>1</v>
      </c>
      <c r="E152" s="148">
        <f t="shared" si="4"/>
        <v>0.8571428571428571</v>
      </c>
    </row>
    <row r="153" spans="2:5" s="27" customFormat="1" ht="19.5" customHeight="1">
      <c r="B153" s="53">
        <v>46175</v>
      </c>
      <c r="C153">
        <f t="array" ref="C153">SUM(IF('Common line'!$C$4:$C$539=FPY!B153,'Common line'!$K$4:$L$539,""))</f>
        <v>6</v>
      </c>
      <c r="D153">
        <f>COUNTIFS('Common line'!$C$4:$C$539,FPY!B153,'Common line'!$M$4:$M$539,"&gt;0")</f>
        <v>1</v>
      </c>
      <c r="E153" s="148">
        <f t="shared" si="4"/>
        <v>0.83333333333333337</v>
      </c>
    </row>
    <row r="154" spans="2:5" s="27" customFormat="1" ht="19.5" customHeight="1">
      <c r="B154" s="53">
        <v>46176</v>
      </c>
      <c r="C154">
        <f t="array" ref="C154">SUM(IF('Common line'!$C$4:$C$539=FPY!B154,'Common line'!$K$4:$L$539,""))</f>
        <v>1</v>
      </c>
      <c r="D154">
        <f>COUNTIFS('Common line'!$C$4:$C$539,FPY!B154,'Common line'!$M$4:$M$539,"&gt;0")</f>
        <v>0</v>
      </c>
      <c r="E154" s="148">
        <f t="shared" si="4"/>
        <v>1</v>
      </c>
    </row>
    <row r="155" spans="2:5" s="27" customFormat="1" ht="19.5" customHeight="1">
      <c r="B155" s="53">
        <v>46177</v>
      </c>
      <c r="C155">
        <f t="array" ref="C155">SUM(IF('Common line'!$C$4:$C$539=FPY!B155,'Common line'!$K$4:$L$539,""))</f>
        <v>11</v>
      </c>
      <c r="D155">
        <f>COUNTIFS('Common line'!$C$4:$C$539,FPY!B155,'Common line'!$M$4:$M$539,"&gt;0")</f>
        <v>2</v>
      </c>
      <c r="E155" s="148">
        <f t="shared" si="4"/>
        <v>0.81818181818181823</v>
      </c>
    </row>
    <row r="156" spans="2:5" s="27" customFormat="1" ht="19.5" customHeight="1">
      <c r="B156" s="53">
        <v>46178</v>
      </c>
      <c r="C156">
        <f t="array" ref="C156">SUM(IF('Common line'!$C$4:$C$539=FPY!B156,'Common line'!$K$4:$L$539,""))</f>
        <v>1</v>
      </c>
      <c r="D156">
        <f>COUNTIFS('Common line'!$C$4:$C$539,FPY!B156,'Common line'!$M$4:$M$539,"&gt;0")</f>
        <v>0</v>
      </c>
      <c r="E156" s="148">
        <f t="shared" si="4"/>
        <v>1</v>
      </c>
    </row>
    <row r="157" spans="2:5" s="27" customFormat="1" ht="19.5" customHeight="1">
      <c r="B157" s="53">
        <v>46179</v>
      </c>
      <c r="C157">
        <f t="array" ref="C157">SUM(IF('Common line'!$C$4:$C$539=FPY!B157,'Common line'!$K$4:$L$539,""))</f>
        <v>7</v>
      </c>
      <c r="D157">
        <f>COUNTIFS('Common line'!$C$4:$C$539,FPY!B157,'Common line'!$M$4:$M$539,"&gt;0")</f>
        <v>1</v>
      </c>
      <c r="E157" s="148">
        <f t="shared" si="4"/>
        <v>0.8571428571428571</v>
      </c>
    </row>
    <row r="158" spans="2:5" s="27" customFormat="1" ht="19.5" customHeight="1">
      <c r="B158" s="53">
        <v>46180</v>
      </c>
      <c r="C158">
        <f t="array" ref="C158">SUM(IF('Common line'!$C$4:$C$539=FPY!B158,'Common line'!$K$4:$L$539,""))</f>
        <v>1</v>
      </c>
      <c r="D158">
        <f>COUNTIFS('Common line'!$C$4:$C$539,FPY!B158,'Common line'!$M$4:$M$539,"&gt;0")</f>
        <v>0</v>
      </c>
      <c r="E158" s="148">
        <f t="shared" si="4"/>
        <v>1</v>
      </c>
    </row>
    <row r="159" spans="2:5" s="27" customFormat="1" ht="19.5" customHeight="1">
      <c r="B159" s="53">
        <v>46181</v>
      </c>
      <c r="C159">
        <f t="array" ref="C159">SUM(IF('Common line'!$C$4:$C$539=FPY!B159,'Common line'!$K$4:$L$539,""))</f>
        <v>7</v>
      </c>
      <c r="D159">
        <f>COUNTIFS('Common line'!$C$4:$C$539,FPY!B159,'Common line'!$M$4:$M$539,"&gt;0")</f>
        <v>1</v>
      </c>
      <c r="E159" s="148">
        <f t="shared" si="4"/>
        <v>0.8571428571428571</v>
      </c>
    </row>
    <row r="160" spans="2:5" s="27" customFormat="1" ht="19.5" customHeight="1">
      <c r="B160" s="53">
        <v>46182</v>
      </c>
      <c r="C160">
        <f t="array" ref="C160">SUM(IF('Common line'!$C$4:$C$539=FPY!B160,'Common line'!$K$4:$L$539,""))</f>
        <v>7</v>
      </c>
      <c r="D160">
        <f>COUNTIFS('Common line'!$C$4:$C$539,FPY!B160,'Common line'!$M$4:$M$539,"&gt;0")</f>
        <v>1</v>
      </c>
      <c r="E160" s="148">
        <f t="shared" si="4"/>
        <v>0.8571428571428571</v>
      </c>
    </row>
    <row r="161" spans="2:5" s="27" customFormat="1" ht="19.5" customHeight="1">
      <c r="B161" s="53">
        <v>46183</v>
      </c>
      <c r="C161">
        <f t="array" ref="C161">SUM(IF('Common line'!$C$4:$C$539=FPY!B161,'Common line'!$K$4:$L$539,""))</f>
        <v>1</v>
      </c>
      <c r="D161">
        <f>COUNTIFS('Common line'!$C$4:$C$539,FPY!B161,'Common line'!$M$4:$M$539,"&gt;0")</f>
        <v>0</v>
      </c>
      <c r="E161" s="148">
        <f t="shared" si="4"/>
        <v>1</v>
      </c>
    </row>
    <row r="162" spans="2:5" s="27" customFormat="1" ht="19.5" customHeight="1">
      <c r="B162" s="53">
        <v>46184</v>
      </c>
      <c r="C162">
        <f t="array" ref="C162">SUM(IF('Common line'!$C$4:$C$539=FPY!B162,'Common line'!$K$4:$L$539,""))</f>
        <v>1</v>
      </c>
      <c r="D162">
        <f>COUNTIFS('Common line'!$C$4:$C$539,FPY!B162,'Common line'!$M$4:$M$539,"&gt;0")</f>
        <v>0</v>
      </c>
      <c r="E162" s="148">
        <f t="shared" si="4"/>
        <v>1</v>
      </c>
    </row>
    <row r="163" spans="2:5" s="27" customFormat="1" ht="19.5" customHeight="1">
      <c r="B163" s="53">
        <v>46185</v>
      </c>
      <c r="C163">
        <f t="array" ref="C163">SUM(IF('Common line'!$C$4:$C$539=FPY!B163,'Common line'!$K$4:$L$539,""))</f>
        <v>7</v>
      </c>
      <c r="D163">
        <f>COUNTIFS('Common line'!$C$4:$C$539,FPY!B163,'Common line'!$M$4:$M$539,"&gt;0")</f>
        <v>1</v>
      </c>
      <c r="E163" s="148">
        <f t="shared" si="4"/>
        <v>0.8571428571428571</v>
      </c>
    </row>
    <row r="164" spans="2:5" s="27" customFormat="1" ht="19.5" customHeight="1">
      <c r="B164" s="53">
        <v>46186</v>
      </c>
      <c r="C164">
        <f t="array" ref="C164">SUM(IF('Common line'!$C$4:$C$539=FPY!B164,'Common line'!$K$4:$L$539,""))</f>
        <v>6</v>
      </c>
      <c r="D164">
        <f>COUNTIFS('Common line'!$C$4:$C$539,FPY!B164,'Common line'!$M$4:$M$539,"&gt;0")</f>
        <v>1</v>
      </c>
      <c r="E164" s="148">
        <f t="shared" si="4"/>
        <v>0.83333333333333337</v>
      </c>
    </row>
    <row r="165" spans="2:5" s="27" customFormat="1" ht="19.5" customHeight="1">
      <c r="B165" s="53">
        <v>46187</v>
      </c>
      <c r="C165">
        <f t="array" ref="C165">SUM(IF('Common line'!$C$4:$C$539=FPY!B165,'Common line'!$K$4:$L$539,""))</f>
        <v>0</v>
      </c>
      <c r="D165">
        <f>COUNTIFS('Common line'!$C$4:$C$539,FPY!B165,'Common line'!$M$4:$M$539,"&gt;0")</f>
        <v>0</v>
      </c>
      <c r="E165" s="148" t="str">
        <f t="shared" si="4"/>
        <v xml:space="preserve"> </v>
      </c>
    </row>
    <row r="166" spans="2:5" s="27" customFormat="1" ht="19.5" customHeight="1">
      <c r="B166" s="53">
        <v>46188</v>
      </c>
      <c r="C166">
        <f t="array" ref="C166">SUM(IF('Common line'!$C$4:$C$539=FPY!B166,'Common line'!$K$4:$L$539,""))</f>
        <v>2</v>
      </c>
      <c r="D166">
        <f>COUNTIFS('Common line'!$C$4:$C$539,FPY!B166,'Common line'!$M$4:$M$539,"&gt;0")</f>
        <v>0</v>
      </c>
      <c r="E166" s="148">
        <f t="shared" si="4"/>
        <v>1</v>
      </c>
    </row>
    <row r="167" spans="2:5" s="27" customFormat="1" ht="19.5" customHeight="1">
      <c r="B167" s="53">
        <v>46189</v>
      </c>
      <c r="C167">
        <f t="array" ref="C167">SUM(IF('Common line'!$C$4:$C$539=FPY!B167,'Common line'!$K$4:$L$539,""))</f>
        <v>7</v>
      </c>
      <c r="D167">
        <f>COUNTIFS('Common line'!$C$4:$C$539,FPY!B167,'Common line'!$M$4:$M$539,"&gt;0")</f>
        <v>1</v>
      </c>
      <c r="E167" s="148">
        <f t="shared" si="4"/>
        <v>0.8571428571428571</v>
      </c>
    </row>
    <row r="168" spans="2:5" s="27" customFormat="1" ht="19.5" customHeight="1">
      <c r="B168" s="53">
        <v>46190</v>
      </c>
      <c r="C168">
        <f t="array" ref="C168">SUM(IF('Common line'!$C$4:$C$539=FPY!B168,'Common line'!$K$4:$L$539,""))</f>
        <v>12</v>
      </c>
      <c r="D168">
        <f>COUNTIFS('Common line'!$C$4:$C$539,FPY!B168,'Common line'!$M$4:$M$539,"&gt;0")</f>
        <v>1</v>
      </c>
      <c r="E168" s="148">
        <f t="shared" si="4"/>
        <v>0.91666666666666663</v>
      </c>
    </row>
    <row r="169" spans="2:5" s="27" customFormat="1" ht="19.5" customHeight="1">
      <c r="B169" s="53">
        <v>46191</v>
      </c>
      <c r="C169">
        <f t="array" ref="C169">SUM(IF('Common line'!$C$4:$C$539=FPY!B169,'Common line'!$K$4:$L$539,""))</f>
        <v>1</v>
      </c>
      <c r="D169">
        <f>COUNTIFS('Common line'!$C$4:$C$539,FPY!B169,'Common line'!$M$4:$M$539,"&gt;0")</f>
        <v>0</v>
      </c>
      <c r="E169" s="148">
        <f t="shared" si="4"/>
        <v>1</v>
      </c>
    </row>
    <row r="170" spans="2:5" s="27" customFormat="1" ht="19.5" customHeight="1">
      <c r="B170" s="53">
        <v>46192</v>
      </c>
      <c r="C170">
        <f t="array" ref="C170">SUM(IF('Common line'!$C$4:$C$539=FPY!B170,'Common line'!$K$4:$L$539,""))</f>
        <v>7</v>
      </c>
      <c r="D170">
        <f>COUNTIFS('Common line'!$C$4:$C$539,FPY!B170,'Common line'!$M$4:$M$539,"&gt;0")</f>
        <v>1</v>
      </c>
      <c r="E170" s="148">
        <f t="shared" si="4"/>
        <v>0.8571428571428571</v>
      </c>
    </row>
    <row r="171" spans="2:5" s="27" customFormat="1" ht="19.5" customHeight="1">
      <c r="B171" s="53">
        <v>46193</v>
      </c>
      <c r="C171">
        <f t="array" ref="C171">SUM(IF('Common line'!$C$4:$C$539=FPY!B171,'Common line'!$K$4:$L$539,""))</f>
        <v>1</v>
      </c>
      <c r="D171">
        <f>COUNTIFS('Common line'!$C$4:$C$539,FPY!B171,'Common line'!$M$4:$M$539,"&gt;0")</f>
        <v>0</v>
      </c>
      <c r="E171" s="148">
        <f t="shared" si="4"/>
        <v>1</v>
      </c>
    </row>
    <row r="172" spans="2:5" s="27" customFormat="1" ht="19.5" customHeight="1">
      <c r="B172" s="53">
        <v>46194</v>
      </c>
      <c r="C172">
        <f t="array" ref="C172">SUM(IF('Common line'!$C$4:$C$539=FPY!B172,'Common line'!$K$4:$L$539,""))</f>
        <v>0</v>
      </c>
      <c r="D172">
        <f>COUNTIFS('Common line'!$C$4:$C$539,FPY!B172,'Common line'!$M$4:$M$539,"&gt;0")</f>
        <v>0</v>
      </c>
      <c r="E172" s="148" t="str">
        <f t="shared" si="4"/>
        <v xml:space="preserve"> </v>
      </c>
    </row>
    <row r="173" spans="2:5" s="27" customFormat="1" ht="19.5" customHeight="1">
      <c r="B173" s="53">
        <v>46195</v>
      </c>
      <c r="C173">
        <f t="array" ref="C173">SUM(IF('Common line'!$C$4:$C$539=FPY!B173,'Common line'!$K$4:$L$539,""))</f>
        <v>12</v>
      </c>
      <c r="D173">
        <f>COUNTIFS('Common line'!$C$4:$C$539,FPY!B173,'Common line'!$M$4:$M$539,"&gt;0")</f>
        <v>1</v>
      </c>
      <c r="E173" s="148">
        <f t="shared" si="4"/>
        <v>0.91666666666666663</v>
      </c>
    </row>
    <row r="174" spans="2:5" s="27" customFormat="1" ht="19.5" customHeight="1">
      <c r="B174" s="53">
        <v>46196</v>
      </c>
      <c r="C174">
        <f t="array" ref="C174">SUM(IF('Common line'!$C$4:$C$539=FPY!B174,'Common line'!$K$4:$L$539,""))</f>
        <v>7</v>
      </c>
      <c r="D174">
        <f>COUNTIFS('Common line'!$C$4:$C$539,FPY!B174,'Common line'!$M$4:$M$539,"&gt;0")</f>
        <v>1</v>
      </c>
      <c r="E174" s="148">
        <f t="shared" si="4"/>
        <v>0.8571428571428571</v>
      </c>
    </row>
    <row r="175" spans="2:5" s="27" customFormat="1" ht="19.5" customHeight="1">
      <c r="B175" s="53">
        <v>46197</v>
      </c>
      <c r="C175">
        <f t="array" ref="C175">SUM(IF('Common line'!$C$4:$C$539=FPY!B175,'Common line'!$K$4:$L$539,""))</f>
        <v>2</v>
      </c>
      <c r="D175">
        <f>COUNTIFS('Common line'!$C$4:$C$539,FPY!B175,'Common line'!$M$4:$M$539,"&gt;0")</f>
        <v>0</v>
      </c>
      <c r="E175" s="148">
        <f t="shared" si="4"/>
        <v>1</v>
      </c>
    </row>
    <row r="176" spans="2:5" s="27" customFormat="1" ht="19.5" customHeight="1">
      <c r="B176" s="53">
        <v>46198</v>
      </c>
      <c r="C176">
        <f t="array" ref="C176">SUM(IF('Common line'!$C$4:$C$539=FPY!B176,'Common line'!$K$4:$L$539,""))</f>
        <v>2</v>
      </c>
      <c r="D176">
        <f>COUNTIFS('Common line'!$C$4:$C$539,FPY!B176,'Common line'!$M$4:$M$539,"&gt;0")</f>
        <v>0</v>
      </c>
      <c r="E176" s="148">
        <f t="shared" si="4"/>
        <v>1</v>
      </c>
    </row>
    <row r="177" spans="2:5" s="27" customFormat="1" ht="19.5" customHeight="1">
      <c r="B177" s="53">
        <v>46199</v>
      </c>
      <c r="C177">
        <f t="array" ref="C177">SUM(IF('Common line'!$C$4:$C$539=FPY!B177,'Common line'!$K$4:$L$539,""))</f>
        <v>0</v>
      </c>
      <c r="D177">
        <f>COUNTIFS('Common line'!$C$4:$C$539,FPY!B177,'Common line'!$M$4:$M$539,"&gt;0")</f>
        <v>0</v>
      </c>
      <c r="E177" s="148" t="str">
        <f t="shared" si="4"/>
        <v xml:space="preserve"> </v>
      </c>
    </row>
    <row r="178" spans="2:5" s="27" customFormat="1" ht="19.5" customHeight="1">
      <c r="B178" s="53">
        <v>46200</v>
      </c>
      <c r="C178">
        <f t="array" ref="C178">SUM(IF('Common line'!$C$4:$C$539=FPY!B178,'Common line'!$K$4:$L$539,""))</f>
        <v>0</v>
      </c>
      <c r="D178">
        <f>COUNTIFS('Common line'!$C$4:$C$539,FPY!B178,'Common line'!$M$4:$M$539,"&gt;0")</f>
        <v>0</v>
      </c>
      <c r="E178" s="148" t="str">
        <f t="shared" si="4"/>
        <v xml:space="preserve"> </v>
      </c>
    </row>
    <row r="179" spans="2:5" s="27" customFormat="1" ht="19.5" customHeight="1">
      <c r="B179" s="53">
        <v>46201</v>
      </c>
      <c r="C179">
        <f t="array" ref="C179">SUM(IF('Common line'!$C$4:$C$539=FPY!B179,'Common line'!$K$4:$L$539,""))</f>
        <v>0</v>
      </c>
      <c r="D179">
        <f>COUNTIFS('Common line'!$C$4:$C$539,FPY!B179,'Common line'!$M$4:$M$539,"&gt;0")</f>
        <v>0</v>
      </c>
      <c r="E179" s="148" t="str">
        <f t="shared" si="4"/>
        <v xml:space="preserve"> </v>
      </c>
    </row>
    <row r="180" spans="2:5" s="27" customFormat="1" ht="19.5" customHeight="1">
      <c r="B180" s="53">
        <v>46202</v>
      </c>
      <c r="C180">
        <f t="array" ref="C180">SUM(IF('Common line'!$C$4:$C$539=FPY!B180,'Common line'!$K$4:$L$539,""))</f>
        <v>0</v>
      </c>
      <c r="D180">
        <f>COUNTIFS('Common line'!$C$4:$C$539,FPY!B180,'Common line'!$M$4:$M$539,"&gt;0")</f>
        <v>0</v>
      </c>
      <c r="E180" s="148" t="str">
        <f t="shared" si="4"/>
        <v xml:space="preserve"> </v>
      </c>
    </row>
    <row r="181" spans="2:5" s="27" customFormat="1" ht="19.5" customHeight="1">
      <c r="B181" s="53">
        <v>46203</v>
      </c>
      <c r="C181">
        <f t="array" ref="C181">SUM(IF('Common line'!$C$4:$C$539=FPY!B181,'Common line'!$K$4:$L$539,""))</f>
        <v>6</v>
      </c>
      <c r="D181">
        <f>COUNTIFS('Common line'!$C$4:$C$539,FPY!B181,'Common line'!$M$4:$M$539,"&gt;0")</f>
        <v>1</v>
      </c>
      <c r="E181" s="148">
        <f t="shared" si="4"/>
        <v>0.83333333333333337</v>
      </c>
    </row>
    <row r="182" spans="2:5" s="27" customFormat="1" ht="19.5" customHeight="1">
      <c r="B182" s="53">
        <v>46204</v>
      </c>
      <c r="C182">
        <f t="array" ref="C182">SUM(IF('Common line'!$C$4:$C$539=FPY!B182,'Common line'!$K$4:$L$539,""))</f>
        <v>6</v>
      </c>
      <c r="D182">
        <f>COUNTIFS('Common line'!$C$4:$C$539,FPY!B182,'Common line'!$M$4:$M$539,"&gt;0")</f>
        <v>1</v>
      </c>
      <c r="E182" s="148">
        <f t="shared" si="4"/>
        <v>0.83333333333333337</v>
      </c>
    </row>
    <row r="183" spans="2:5" s="27" customFormat="1" ht="19.5" customHeight="1">
      <c r="B183" s="53">
        <v>46205</v>
      </c>
      <c r="C183">
        <f t="array" ref="C183">SUM(IF('Common line'!$C$4:$C$539=FPY!B183,'Common line'!$K$4:$L$539,""))</f>
        <v>3</v>
      </c>
      <c r="D183">
        <f>COUNTIFS('Common line'!$C$4:$C$539,FPY!B183,'Common line'!$M$4:$M$539,"&gt;0")</f>
        <v>0</v>
      </c>
      <c r="E183" s="148">
        <f t="shared" si="4"/>
        <v>1</v>
      </c>
    </row>
    <row r="184" spans="2:5" s="27" customFormat="1" ht="19.5" customHeight="1">
      <c r="B184" s="53">
        <v>46206</v>
      </c>
      <c r="C184">
        <f t="array" ref="C184">SUM(IF('Common line'!$C$4:$C$539=FPY!B184,'Common line'!$K$4:$L$539,""))</f>
        <v>6</v>
      </c>
      <c r="D184">
        <f>COUNTIFS('Common line'!$C$4:$C$539,FPY!B184,'Common line'!$M$4:$M$539,"&gt;0")</f>
        <v>1</v>
      </c>
      <c r="E184" s="148">
        <f t="shared" si="4"/>
        <v>0.83333333333333337</v>
      </c>
    </row>
    <row r="185" spans="2:5" s="27" customFormat="1" ht="19.5" customHeight="1">
      <c r="B185" s="53">
        <v>46207</v>
      </c>
      <c r="C185">
        <f t="array" ref="C185">SUM(IF('Common line'!$C$4:$C$539=FPY!B185,'Common line'!$K$4:$L$539,""))</f>
        <v>1</v>
      </c>
      <c r="D185">
        <f>COUNTIFS('Common line'!$C$4:$C$539,FPY!B185,'Common line'!$M$4:$M$539,"&gt;0")</f>
        <v>0</v>
      </c>
      <c r="E185" s="148">
        <f t="shared" si="4"/>
        <v>1</v>
      </c>
    </row>
    <row r="186" spans="2:5" s="27" customFormat="1" ht="19.5" customHeight="1">
      <c r="B186" s="53">
        <v>46208</v>
      </c>
      <c r="C186">
        <f t="array" ref="C186">SUM(IF('Common line'!$C$4:$C$539=FPY!B186,'Common line'!$K$4:$L$539,""))</f>
        <v>0</v>
      </c>
      <c r="D186">
        <f>COUNTIFS('Common line'!$C$4:$C$539,FPY!B186,'Common line'!$M$4:$M$539,"&gt;0")</f>
        <v>0</v>
      </c>
      <c r="E186" s="148" t="str">
        <f t="shared" si="4"/>
        <v xml:space="preserve"> </v>
      </c>
    </row>
    <row r="187" spans="2:5" s="27" customFormat="1" ht="19.5" customHeight="1">
      <c r="B187" s="53">
        <v>46209</v>
      </c>
      <c r="C187">
        <f t="array" ref="C187">SUM(IF('Common line'!$C$4:$C$539=FPY!B187,'Common line'!$K$4:$L$539,""))</f>
        <v>10</v>
      </c>
      <c r="D187">
        <f>COUNTIFS('Common line'!$C$4:$C$539,FPY!B187,'Common line'!$M$4:$M$539,"&gt;0")</f>
        <v>2</v>
      </c>
      <c r="E187" s="148">
        <f t="shared" si="4"/>
        <v>0.8</v>
      </c>
    </row>
    <row r="188" spans="2:5" s="27" customFormat="1" ht="19.5" customHeight="1">
      <c r="B188" s="53">
        <v>46210</v>
      </c>
      <c r="C188">
        <f t="array" ref="C188">SUM(IF('Common line'!$C$4:$C$539=FPY!B188,'Common line'!$K$4:$L$539,""))</f>
        <v>0</v>
      </c>
      <c r="D188">
        <f>COUNTIFS('Common line'!$C$4:$C$539,FPY!B188,'Common line'!$M$4:$M$539,"&gt;0")</f>
        <v>0</v>
      </c>
      <c r="E188" s="148" t="str">
        <f t="shared" si="4"/>
        <v xml:space="preserve"> </v>
      </c>
    </row>
    <row r="189" spans="2:5" s="27" customFormat="1" ht="19.5" customHeight="1">
      <c r="B189" s="53">
        <v>46211</v>
      </c>
      <c r="C189">
        <f t="array" ref="C189">SUM(IF('Common line'!$C$4:$C$539=FPY!B189,'Common line'!$K$4:$L$539,""))</f>
        <v>0</v>
      </c>
      <c r="D189">
        <f>COUNTIFS('Common line'!$C$4:$C$539,FPY!B189,'Common line'!$M$4:$M$539,"&gt;0")</f>
        <v>0</v>
      </c>
      <c r="E189" s="148" t="str">
        <f t="shared" si="4"/>
        <v xml:space="preserve"> </v>
      </c>
    </row>
    <row r="190" spans="2:5" s="27" customFormat="1" ht="19.5" customHeight="1">
      <c r="B190" s="53">
        <v>46212</v>
      </c>
      <c r="C190">
        <f t="array" ref="C190">SUM(IF('Common line'!$C$4:$C$539=FPY!B190,'Common line'!$K$4:$L$539,""))</f>
        <v>2</v>
      </c>
      <c r="D190">
        <f>COUNTIFS('Common line'!$C$4:$C$539,FPY!B190,'Common line'!$M$4:$M$539,"&gt;0")</f>
        <v>0</v>
      </c>
      <c r="E190" s="148">
        <f t="shared" si="4"/>
        <v>1</v>
      </c>
    </row>
    <row r="191" spans="2:5" s="27" customFormat="1" ht="19.5" customHeight="1">
      <c r="B191" s="53">
        <v>46213</v>
      </c>
      <c r="C191">
        <f t="array" ref="C191">SUM(IF('Common line'!$C$4:$C$539=FPY!B191,'Common line'!$K$4:$L$539,""))</f>
        <v>0</v>
      </c>
      <c r="D191">
        <f>COUNTIFS('Common line'!$C$4:$C$539,FPY!B191,'Common line'!$M$4:$M$539,"&gt;0")</f>
        <v>0</v>
      </c>
      <c r="E191" s="148" t="str">
        <f t="shared" si="4"/>
        <v xml:space="preserve"> </v>
      </c>
    </row>
    <row r="192" spans="2:5" s="27" customFormat="1" ht="19.5" customHeight="1">
      <c r="B192" s="53">
        <v>46214</v>
      </c>
      <c r="C192">
        <f t="array" ref="C192">SUM(IF('Common line'!$C$4:$C$539=FPY!B192,'Common line'!$K$4:$L$539,""))</f>
        <v>6</v>
      </c>
      <c r="D192">
        <f>COUNTIFS('Common line'!$C$4:$C$539,FPY!B192,'Common line'!$M$4:$M$539,"&gt;0")</f>
        <v>1</v>
      </c>
      <c r="E192" s="148">
        <f t="shared" si="4"/>
        <v>0.83333333333333337</v>
      </c>
    </row>
    <row r="193" spans="2:5" s="27" customFormat="1" ht="19.5" customHeight="1">
      <c r="B193" s="53">
        <v>46215</v>
      </c>
      <c r="C193">
        <f t="array" ref="C193">SUM(IF('Common line'!$C$4:$C$539=FPY!B193,'Common line'!$K$4:$L$539,""))</f>
        <v>0</v>
      </c>
      <c r="D193">
        <f>COUNTIFS('Common line'!$C$4:$C$539,FPY!B193,'Common line'!$M$4:$M$539,"&gt;0")</f>
        <v>0</v>
      </c>
      <c r="E193" s="148" t="str">
        <f t="shared" si="4"/>
        <v xml:space="preserve"> </v>
      </c>
    </row>
    <row r="194" spans="2:5" s="27" customFormat="1" ht="19.5" customHeight="1">
      <c r="B194" s="53">
        <v>46216</v>
      </c>
      <c r="C194">
        <f t="array" ref="C194">SUM(IF('Common line'!$C$4:$C$539=FPY!B194,'Common line'!$K$4:$L$539,""))</f>
        <v>12</v>
      </c>
      <c r="D194">
        <f>COUNTIFS('Common line'!$C$4:$C$539,FPY!B194,'Common line'!$M$4:$M$539,"&gt;0")</f>
        <v>1</v>
      </c>
      <c r="E194" s="148">
        <f t="shared" si="4"/>
        <v>0.91666666666666663</v>
      </c>
    </row>
    <row r="195" spans="2:5" s="27" customFormat="1" ht="19.5" customHeight="1">
      <c r="B195" s="53">
        <v>46217</v>
      </c>
      <c r="C195">
        <f t="array" ref="C195">SUM(IF('Common line'!$C$4:$C$539=FPY!B195,'Common line'!$K$4:$L$539,""))</f>
        <v>0</v>
      </c>
      <c r="D195">
        <f>COUNTIFS('Common line'!$C$4:$C$539,FPY!B195,'Common line'!$M$4:$M$539,"&gt;0")</f>
        <v>0</v>
      </c>
      <c r="E195" s="148" t="str">
        <f t="shared" ref="E195:E258" si="5">IF(C195=0," ",(C195-D195)/C195)</f>
        <v xml:space="preserve"> </v>
      </c>
    </row>
    <row r="196" spans="2:5" s="27" customFormat="1" ht="19.5" customHeight="1">
      <c r="B196" s="53">
        <v>46218</v>
      </c>
      <c r="C196">
        <f t="array" ref="C196">SUM(IF('Common line'!$C$4:$C$539=FPY!B196,'Common line'!$K$4:$L$539,""))</f>
        <v>0</v>
      </c>
      <c r="D196">
        <f>COUNTIFS('Common line'!$C$4:$C$539,FPY!B196,'Common line'!$M$4:$M$539,"&gt;0")</f>
        <v>0</v>
      </c>
      <c r="E196" s="148" t="str">
        <f t="shared" si="5"/>
        <v xml:space="preserve"> </v>
      </c>
    </row>
    <row r="197" spans="2:5" s="27" customFormat="1" ht="19.5" customHeight="1">
      <c r="B197" s="53">
        <v>46219</v>
      </c>
      <c r="C197">
        <f t="array" ref="C197">SUM(IF('Common line'!$C$4:$C$539=FPY!B197,'Common line'!$K$4:$L$539,""))</f>
        <v>0</v>
      </c>
      <c r="D197">
        <f>COUNTIFS('Common line'!$C$4:$C$539,FPY!B197,'Common line'!$M$4:$M$539,"&gt;0")</f>
        <v>0</v>
      </c>
      <c r="E197" s="148" t="str">
        <f t="shared" si="5"/>
        <v xml:space="preserve"> </v>
      </c>
    </row>
    <row r="198" spans="2:5" s="27" customFormat="1" ht="19.5" customHeight="1">
      <c r="B198" s="53">
        <v>46220</v>
      </c>
      <c r="C198">
        <f t="array" ref="C198">SUM(IF('Common line'!$C$4:$C$539=FPY!B198,'Common line'!$K$4:$L$539,""))</f>
        <v>0</v>
      </c>
      <c r="D198">
        <f>COUNTIFS('Common line'!$C$4:$C$539,FPY!B198,'Common line'!$M$4:$M$539,"&gt;0")</f>
        <v>0</v>
      </c>
      <c r="E198" s="148" t="str">
        <f t="shared" si="5"/>
        <v xml:space="preserve"> </v>
      </c>
    </row>
    <row r="199" spans="2:5" s="27" customFormat="1" ht="19.5" customHeight="1">
      <c r="B199" s="53">
        <v>46221</v>
      </c>
      <c r="C199">
        <f t="array" ref="C199">SUM(IF('Common line'!$C$4:$C$539=FPY!B199,'Common line'!$K$4:$L$539,""))</f>
        <v>0</v>
      </c>
      <c r="D199">
        <f>COUNTIFS('Common line'!$C$4:$C$539,FPY!B199,'Common line'!$M$4:$M$539,"&gt;0")</f>
        <v>0</v>
      </c>
      <c r="E199" s="148" t="str">
        <f t="shared" si="5"/>
        <v xml:space="preserve"> </v>
      </c>
    </row>
    <row r="200" spans="2:5" s="27" customFormat="1" ht="19.5" customHeight="1">
      <c r="B200" s="53">
        <v>46222</v>
      </c>
      <c r="C200">
        <f t="array" ref="C200">SUM(IF('Common line'!$C$4:$C$539=FPY!B200,'Common line'!$K$4:$L$539,""))</f>
        <v>0</v>
      </c>
      <c r="D200">
        <f>COUNTIFS('Common line'!$C$4:$C$539,FPY!B200,'Common line'!$M$4:$M$539,"&gt;0")</f>
        <v>0</v>
      </c>
      <c r="E200" s="148" t="str">
        <f t="shared" si="5"/>
        <v xml:space="preserve"> </v>
      </c>
    </row>
    <row r="201" spans="2:5" s="27" customFormat="1" ht="19.5" customHeight="1">
      <c r="B201" s="53">
        <v>46223</v>
      </c>
      <c r="C201">
        <f t="array" ref="C201">SUM(IF('Common line'!$C$4:$C$539=FPY!B201,'Common line'!$K$4:$L$539,""))</f>
        <v>0</v>
      </c>
      <c r="D201">
        <f>COUNTIFS('Common line'!$C$4:$C$539,FPY!B201,'Common line'!$M$4:$M$539,"&gt;0")</f>
        <v>0</v>
      </c>
      <c r="E201" s="148" t="str">
        <f t="shared" si="5"/>
        <v xml:space="preserve"> </v>
      </c>
    </row>
    <row r="202" spans="2:5" s="27" customFormat="1" ht="19.5" customHeight="1">
      <c r="B202" s="53">
        <v>46224</v>
      </c>
      <c r="C202">
        <f t="array" ref="C202">SUM(IF('Common line'!$C$4:$C$539=FPY!B202,'Common line'!$K$4:$L$539,""))</f>
        <v>0</v>
      </c>
      <c r="D202">
        <f>COUNTIFS('Common line'!$C$4:$C$539,FPY!B202,'Common line'!$M$4:$M$539,"&gt;0")</f>
        <v>0</v>
      </c>
      <c r="E202" s="148" t="str">
        <f t="shared" si="5"/>
        <v xml:space="preserve"> </v>
      </c>
    </row>
    <row r="203" spans="2:5" s="27" customFormat="1" ht="19.5" customHeight="1">
      <c r="B203" s="53">
        <v>46225</v>
      </c>
      <c r="C203">
        <f t="array" ref="C203">SUM(IF('Common line'!$C$4:$C$539=FPY!B1000,'Common line'!$K$4:$L$539,""))</f>
        <v>0</v>
      </c>
      <c r="D203">
        <f>COUNTIFS('Common line'!$C$4:$C$539,FPY!B203,'Common line'!$M$4:$M$539,"&gt;0")</f>
        <v>0</v>
      </c>
      <c r="E203" s="148" t="str">
        <f t="shared" si="5"/>
        <v xml:space="preserve"> </v>
      </c>
    </row>
    <row r="204" spans="2:5" s="27" customFormat="1" ht="19.5" customHeight="1">
      <c r="B204" s="53">
        <v>46226</v>
      </c>
      <c r="C204">
        <f t="array" ref="C204">SUM(IF('Common line'!$C$4:$C$539=FPY!B204,'Common line'!$K$4:$L$539,""))</f>
        <v>0</v>
      </c>
      <c r="D204">
        <f>COUNTIFS('Common line'!$C$4:$C$539,FPY!B204,'Common line'!$M$4:$M$539,"&gt;0")</f>
        <v>0</v>
      </c>
      <c r="E204" s="148" t="str">
        <f t="shared" si="5"/>
        <v xml:space="preserve"> </v>
      </c>
    </row>
    <row r="205" spans="2:5" s="27" customFormat="1" ht="19.5" customHeight="1">
      <c r="B205" s="53">
        <v>46227</v>
      </c>
      <c r="C205">
        <f t="array" ref="C205">SUM(IF('Common line'!$C$4:$C$539=FPY!B205,'Common line'!$K$4:$L$539,""))</f>
        <v>0</v>
      </c>
      <c r="D205">
        <f>COUNTIFS('Common line'!$C$4:$C$539,FPY!B205,'Common line'!$M$4:$M$539,"&gt;0")</f>
        <v>0</v>
      </c>
      <c r="E205" s="148" t="str">
        <f t="shared" si="5"/>
        <v xml:space="preserve"> </v>
      </c>
    </row>
    <row r="206" spans="2:5" s="27" customFormat="1" ht="19.5" customHeight="1">
      <c r="B206" s="53">
        <v>46228</v>
      </c>
      <c r="C206">
        <f t="array" ref="C206">SUM(IF('Common line'!$C$4:$C$539=FPY!B206,'Common line'!$K$4:$L$539,""))</f>
        <v>0</v>
      </c>
      <c r="D206">
        <f>COUNTIFS('Common line'!$C$4:$C$539,FPY!B206,'Common line'!$M$4:$M$539,"&gt;0")</f>
        <v>0</v>
      </c>
      <c r="E206" s="148" t="str">
        <f t="shared" si="5"/>
        <v xml:space="preserve"> </v>
      </c>
    </row>
    <row r="207" spans="2:5" s="27" customFormat="1" ht="19.5" customHeight="1">
      <c r="B207" s="53">
        <v>46229</v>
      </c>
      <c r="C207">
        <f t="array" ref="C207">SUM(IF('Common line'!$C$4:$C$539=FPY!B207,'Common line'!$K$4:$L$539,""))</f>
        <v>0</v>
      </c>
      <c r="D207">
        <f>COUNTIFS('Common line'!$C$4:$C$539,FPY!B207,'Common line'!$M$4:$M$539,"&gt;0")</f>
        <v>0</v>
      </c>
      <c r="E207" s="148" t="str">
        <f t="shared" si="5"/>
        <v xml:space="preserve"> </v>
      </c>
    </row>
    <row r="208" spans="2:5" s="27" customFormat="1" ht="19.5" customHeight="1">
      <c r="B208" s="53">
        <v>46230</v>
      </c>
      <c r="C208">
        <f t="array" ref="C208">SUM(IF('Common line'!$C$4:$C$539=FPY!B208,'Common line'!$K$4:$L$539,""))</f>
        <v>0</v>
      </c>
      <c r="D208">
        <f>COUNTIFS('Common line'!$C$4:$C$539,FPY!B208,'Common line'!$M$4:$M$539,"&gt;0")</f>
        <v>0</v>
      </c>
      <c r="E208" s="148" t="str">
        <f t="shared" si="5"/>
        <v xml:space="preserve"> </v>
      </c>
    </row>
    <row r="209" spans="2:5" s="27" customFormat="1" ht="19.5" customHeight="1">
      <c r="B209" s="53">
        <v>46231</v>
      </c>
      <c r="C209">
        <f t="array" ref="C209">SUM(IF('Common line'!$C$4:$C$539=FPY!B209,'Common line'!$K$4:$L$539,""))</f>
        <v>0</v>
      </c>
      <c r="D209">
        <f>COUNTIFS('Common line'!$C$4:$C$539,FPY!B209,'Common line'!$M$4:$M$539,"&gt;0")</f>
        <v>0</v>
      </c>
      <c r="E209" s="148" t="str">
        <f t="shared" si="5"/>
        <v xml:space="preserve"> </v>
      </c>
    </row>
    <row r="210" spans="2:5" s="27" customFormat="1" ht="19.5" customHeight="1">
      <c r="B210" s="53">
        <v>46232</v>
      </c>
      <c r="C210">
        <f t="array" ref="C210">SUM(IF('Common line'!$C$4:$C$539=FPY!B210,'Common line'!$K$4:$L$539,""))</f>
        <v>0</v>
      </c>
      <c r="D210">
        <f>COUNTIFS('Common line'!$C$4:$C$539,FPY!B210,'Common line'!$M$4:$M$539,"&gt;0")</f>
        <v>0</v>
      </c>
      <c r="E210" s="148" t="str">
        <f t="shared" si="5"/>
        <v xml:space="preserve"> </v>
      </c>
    </row>
    <row r="211" spans="2:5" s="27" customFormat="1" ht="19.5" customHeight="1">
      <c r="B211" s="53">
        <v>46233</v>
      </c>
      <c r="C211">
        <f t="array" ref="C211">SUM(IF('Common line'!$C$4:$C$539=FPY!B211,'Common line'!$K$4:$L$539,""))</f>
        <v>0</v>
      </c>
      <c r="D211">
        <f>COUNTIFS('Common line'!$C$4:$C$539,FPY!B211,'Common line'!$M$4:$M$539,"&gt;0")</f>
        <v>0</v>
      </c>
      <c r="E211" s="148" t="str">
        <f t="shared" si="5"/>
        <v xml:space="preserve"> </v>
      </c>
    </row>
    <row r="212" spans="2:5" s="27" customFormat="1" ht="19.5" customHeight="1">
      <c r="B212" s="53">
        <v>46234</v>
      </c>
      <c r="C212">
        <f t="array" ref="C212">SUM(IF('Common line'!$C$4:$C$539=FPY!B212,'Common line'!$K$4:$L$539,""))</f>
        <v>0</v>
      </c>
      <c r="D212">
        <f>COUNTIFS('Common line'!$C$4:$C$539,FPY!B212,'Common line'!$M$4:$M$539,"&gt;0")</f>
        <v>0</v>
      </c>
      <c r="E212" s="148" t="str">
        <f t="shared" si="5"/>
        <v xml:space="preserve"> </v>
      </c>
    </row>
    <row r="213" spans="2:5" s="27" customFormat="1" ht="19.5" customHeight="1">
      <c r="B213" s="53">
        <v>46235</v>
      </c>
      <c r="C213">
        <f t="array" ref="C213">SUM(IF('Common line'!$C$4:$C$539=FPY!B213,'Common line'!$K$4:$L$539,""))</f>
        <v>0</v>
      </c>
      <c r="D213">
        <f>COUNTIFS('Common line'!$C$4:$C$539,FPY!B213,'Common line'!$M$4:$M$539,"&gt;0")</f>
        <v>0</v>
      </c>
      <c r="E213" s="148" t="str">
        <f t="shared" si="5"/>
        <v xml:space="preserve"> </v>
      </c>
    </row>
    <row r="214" spans="2:5" s="27" customFormat="1" ht="19.5" customHeight="1">
      <c r="B214" s="53">
        <v>46236</v>
      </c>
      <c r="C214">
        <f t="array" ref="C214">SUM(IF('Common line'!$C$4:$C$539=FPY!B214,'Common line'!$K$4:$L$539,""))</f>
        <v>0</v>
      </c>
      <c r="D214">
        <f>COUNTIFS('Common line'!$C$4:$C$539,FPY!B214,'Common line'!$M$4:$M$539,"&gt;0")</f>
        <v>0</v>
      </c>
      <c r="E214" s="148" t="str">
        <f t="shared" si="5"/>
        <v xml:space="preserve"> </v>
      </c>
    </row>
    <row r="215" spans="2:5" s="27" customFormat="1" ht="19.5" customHeight="1">
      <c r="B215" s="53">
        <v>46237</v>
      </c>
      <c r="C215">
        <f t="array" ref="C215">SUM(IF('Common line'!$C$4:$C$539=FPY!B215,'Common line'!$K$4:$L$539,""))</f>
        <v>0</v>
      </c>
      <c r="D215">
        <f>COUNTIFS('Common line'!$C$4:$C$539,FPY!B215,'Common line'!$M$4:$M$539,"&gt;0")</f>
        <v>0</v>
      </c>
      <c r="E215" s="148" t="str">
        <f t="shared" si="5"/>
        <v xml:space="preserve"> </v>
      </c>
    </row>
    <row r="216" spans="2:5" s="27" customFormat="1" ht="19.5" customHeight="1">
      <c r="B216" s="53">
        <v>46238</v>
      </c>
      <c r="C216">
        <f t="array" ref="C216">SUM(IF('Common line'!$C$4:$C$539=FPY!B216,'Common line'!$K$4:$L$539,""))</f>
        <v>0</v>
      </c>
      <c r="D216">
        <f>COUNTIFS('Common line'!$C$4:$C$539,FPY!B216,'Common line'!$M$4:$M$539,"&gt;0")</f>
        <v>0</v>
      </c>
      <c r="E216" s="148" t="str">
        <f t="shared" si="5"/>
        <v xml:space="preserve"> </v>
      </c>
    </row>
    <row r="217" spans="2:5" s="27" customFormat="1" ht="19.5" customHeight="1">
      <c r="B217" s="53">
        <v>46239</v>
      </c>
      <c r="C217">
        <f t="array" ref="C217">SUM(IF('Common line'!$C$4:$C$539=FPY!B217,'Common line'!$K$4:$L$539,""))</f>
        <v>0</v>
      </c>
      <c r="D217">
        <f>COUNTIFS('Common line'!$C$4:$C$539,FPY!B217,'Common line'!$M$4:$M$539,"&gt;0")</f>
        <v>0</v>
      </c>
      <c r="E217" s="148" t="str">
        <f t="shared" si="5"/>
        <v xml:space="preserve"> </v>
      </c>
    </row>
    <row r="218" spans="2:5" s="27" customFormat="1" ht="19.5" customHeight="1">
      <c r="B218" s="53">
        <v>46240</v>
      </c>
      <c r="C218">
        <f t="array" ref="C218">SUM(IF('Common line'!$C$4:$C$539=FPY!B218,'Common line'!$K$4:$L$539,""))</f>
        <v>0</v>
      </c>
      <c r="D218">
        <f>COUNTIFS('Common line'!$C$4:$C$539,FPY!B218,'Common line'!$M$4:$M$539,"&gt;0")</f>
        <v>0</v>
      </c>
      <c r="E218" s="148" t="str">
        <f t="shared" si="5"/>
        <v xml:space="preserve"> </v>
      </c>
    </row>
    <row r="219" spans="2:5" s="27" customFormat="1" ht="19.5" customHeight="1">
      <c r="B219" s="53">
        <v>46241</v>
      </c>
      <c r="C219">
        <f t="array" ref="C219">SUM(IF('Common line'!$C$4:$C$539=FPY!B219,'Common line'!$K$4:$L$539,""))</f>
        <v>0</v>
      </c>
      <c r="D219">
        <f>COUNTIFS('Common line'!$C$4:$C$539,FPY!B219,'Common line'!$M$4:$M$539,"&gt;0")</f>
        <v>0</v>
      </c>
      <c r="E219" s="148" t="str">
        <f t="shared" si="5"/>
        <v xml:space="preserve"> </v>
      </c>
    </row>
    <row r="220" spans="2:5" s="27" customFormat="1" ht="19.5" customHeight="1">
      <c r="B220" s="53">
        <v>46242</v>
      </c>
      <c r="C220">
        <f t="array" ref="C220">SUM(IF('Common line'!$C$4:$C$539=FPY!B220,'Common line'!$K$4:$L$539,""))</f>
        <v>0</v>
      </c>
      <c r="D220">
        <f>COUNTIFS('Common line'!$C$4:$C$539,FPY!B220,'Common line'!$M$4:$M$539,"&gt;0")</f>
        <v>0</v>
      </c>
      <c r="E220" s="148" t="str">
        <f t="shared" si="5"/>
        <v xml:space="preserve"> </v>
      </c>
    </row>
    <row r="221" spans="2:5" s="27" customFormat="1" ht="19.5" customHeight="1">
      <c r="B221" s="53">
        <v>46243</v>
      </c>
      <c r="C221">
        <f t="array" ref="C221">SUM(IF('Common line'!$C$4:$C$539=FPY!B221,'Common line'!$K$4:$L$539,""))</f>
        <v>0</v>
      </c>
      <c r="D221">
        <f>COUNTIFS('Common line'!$C$4:$C$539,FPY!B221,'Common line'!$M$4:$M$539,"&gt;0")</f>
        <v>0</v>
      </c>
      <c r="E221" s="148" t="str">
        <f t="shared" si="5"/>
        <v xml:space="preserve"> </v>
      </c>
    </row>
    <row r="222" spans="2:5" s="27" customFormat="1" ht="19.5" customHeight="1">
      <c r="B222" s="53">
        <v>46244</v>
      </c>
      <c r="C222">
        <f t="array" ref="C222">SUM(IF('Common line'!$C$4:$C$539=FPY!B222,'Common line'!$K$4:$L$539,""))</f>
        <v>0</v>
      </c>
      <c r="D222">
        <f>COUNTIFS('Common line'!$C$4:$C$539,FPY!B222,'Common line'!$M$4:$M$539,"&gt;0")</f>
        <v>0</v>
      </c>
      <c r="E222" s="148" t="str">
        <f t="shared" si="5"/>
        <v xml:space="preserve"> </v>
      </c>
    </row>
    <row r="223" spans="2:5" s="27" customFormat="1" ht="19.5" customHeight="1">
      <c r="B223" s="53">
        <v>46245</v>
      </c>
      <c r="C223">
        <f t="array" ref="C223">SUM(IF('Common line'!$C$4:$C$539=FPY!B223,'Common line'!$K$4:$L$539,""))</f>
        <v>0</v>
      </c>
      <c r="D223">
        <f>COUNTIFS('Common line'!$C$4:$C$539,FPY!B223,'Common line'!$M$4:$M$539,"&gt;0")</f>
        <v>0</v>
      </c>
      <c r="E223" s="148" t="str">
        <f t="shared" si="5"/>
        <v xml:space="preserve"> </v>
      </c>
    </row>
    <row r="224" spans="2:5" s="27" customFormat="1" ht="19.5" customHeight="1">
      <c r="B224" s="53">
        <v>46246</v>
      </c>
      <c r="C224">
        <f t="array" ref="C224">SUM(IF('Common line'!$C$4:$C$539=FPY!B224,'Common line'!$K$4:$L$539,""))</f>
        <v>0</v>
      </c>
      <c r="D224">
        <f>COUNTIFS('Common line'!$C$4:$C$539,FPY!B224,'Common line'!$M$4:$M$539,"&gt;0")</f>
        <v>0</v>
      </c>
      <c r="E224" s="148" t="str">
        <f t="shared" si="5"/>
        <v xml:space="preserve"> </v>
      </c>
    </row>
    <row r="225" spans="2:5" s="27" customFormat="1" ht="19.5" customHeight="1">
      <c r="B225" s="53">
        <v>46247</v>
      </c>
      <c r="C225">
        <f t="array" ref="C225">SUM(IF('Common line'!$C$4:$C$539=FPY!B225,'Common line'!$K$4:$L$539,""))</f>
        <v>0</v>
      </c>
      <c r="D225">
        <f>COUNTIFS('Common line'!$C$4:$C$539,FPY!B225,'Common line'!$M$4:$M$539,"&gt;0")</f>
        <v>0</v>
      </c>
      <c r="E225" s="148" t="str">
        <f t="shared" si="5"/>
        <v xml:space="preserve"> </v>
      </c>
    </row>
    <row r="226" spans="2:5" s="27" customFormat="1" ht="19.5" customHeight="1">
      <c r="B226" s="53">
        <v>46248</v>
      </c>
      <c r="C226">
        <f t="array" ref="C226">SUM(IF('Common line'!$C$4:$C$539=FPY!B226,'Common line'!$K$4:$L$539,""))</f>
        <v>0</v>
      </c>
      <c r="D226">
        <f>COUNTIFS('Common line'!$C$4:$C$539,FPY!B226,'Common line'!$M$4:$M$539,"&gt;0")</f>
        <v>0</v>
      </c>
      <c r="E226" s="148" t="str">
        <f t="shared" si="5"/>
        <v xml:space="preserve"> </v>
      </c>
    </row>
    <row r="227" spans="2:5" s="27" customFormat="1" ht="19.5" customHeight="1">
      <c r="B227" s="53">
        <v>46249</v>
      </c>
      <c r="C227">
        <f t="array" ref="C227">SUM(IF('Common line'!$C$4:$C$539=FPY!B227,'Common line'!$K$4:$L$539,""))</f>
        <v>0</v>
      </c>
      <c r="D227">
        <f>COUNTIFS('Common line'!$C$4:$C$539,FPY!B227,'Common line'!$M$4:$M$539,"&gt;0")</f>
        <v>0</v>
      </c>
      <c r="E227" s="148" t="str">
        <f t="shared" si="5"/>
        <v xml:space="preserve"> </v>
      </c>
    </row>
    <row r="228" spans="2:5" s="27" customFormat="1" ht="19.5" customHeight="1">
      <c r="B228" s="53">
        <v>46250</v>
      </c>
      <c r="C228">
        <f t="array" ref="C228">SUM(IF('Common line'!$C$4:$C$539=FPY!B228,'Common line'!$K$4:$L$539,""))</f>
        <v>0</v>
      </c>
      <c r="D228">
        <f>COUNTIFS('Common line'!$C$4:$C$539,FPY!B228,'Common line'!$M$4:$M$539,"&gt;0")</f>
        <v>0</v>
      </c>
      <c r="E228" s="148" t="str">
        <f t="shared" si="5"/>
        <v xml:space="preserve"> </v>
      </c>
    </row>
    <row r="229" spans="2:5" s="27" customFormat="1" ht="19.5" customHeight="1">
      <c r="B229" s="53">
        <v>46251</v>
      </c>
      <c r="C229">
        <f t="array" ref="C229">SUM(IF('Common line'!$C$4:$C$539=FPY!B229,'Common line'!$K$4:$L$539,""))</f>
        <v>0</v>
      </c>
      <c r="D229">
        <f>COUNTIFS('Common line'!$C$4:$C$539,FPY!B229,'Common line'!$M$4:$M$539,"&gt;0")</f>
        <v>0</v>
      </c>
      <c r="E229" s="148" t="str">
        <f t="shared" si="5"/>
        <v xml:space="preserve"> </v>
      </c>
    </row>
    <row r="230" spans="2:5" s="27" customFormat="1" ht="19.5" customHeight="1">
      <c r="B230" s="53">
        <v>46252</v>
      </c>
      <c r="C230">
        <f t="array" ref="C230">SUM(IF('Common line'!$C$4:$C$539=FPY!B230,'Common line'!$K$4:$L$539,""))</f>
        <v>0</v>
      </c>
      <c r="D230">
        <f>COUNTIFS('Common line'!$C$4:$C$539,FPY!B230,'Common line'!$M$4:$M$539,"&gt;0")</f>
        <v>0</v>
      </c>
      <c r="E230" s="148" t="str">
        <f t="shared" si="5"/>
        <v xml:space="preserve"> </v>
      </c>
    </row>
    <row r="231" spans="2:5" s="27" customFormat="1" ht="19.5" customHeight="1">
      <c r="B231" s="53">
        <v>46253</v>
      </c>
      <c r="C231">
        <f t="array" ref="C231">SUM(IF('Common line'!$C$4:$C$539=FPY!B231,'Common line'!$K$4:$L$539,""))</f>
        <v>0</v>
      </c>
      <c r="D231">
        <f>COUNTIFS('Common line'!$C$4:$C$539,FPY!B231,'Common line'!$M$4:$M$539,"&gt;0")</f>
        <v>0</v>
      </c>
      <c r="E231" s="148" t="str">
        <f t="shared" si="5"/>
        <v xml:space="preserve"> </v>
      </c>
    </row>
    <row r="232" spans="2:5" s="27" customFormat="1" ht="19.5" customHeight="1">
      <c r="B232" s="53">
        <v>46254</v>
      </c>
      <c r="C232">
        <f t="array" ref="C232">SUM(IF('Common line'!$C$4:$C$539=FPY!B232,'Common line'!$K$4:$L$539,""))</f>
        <v>0</v>
      </c>
      <c r="D232">
        <f>COUNTIFS('Common line'!$C$4:$C$539,FPY!B232,'Common line'!$M$4:$M$539,"&gt;0")</f>
        <v>0</v>
      </c>
      <c r="E232" s="148" t="str">
        <f t="shared" si="5"/>
        <v xml:space="preserve"> </v>
      </c>
    </row>
    <row r="233" spans="2:5" s="27" customFormat="1" ht="19.5" customHeight="1">
      <c r="B233" s="53">
        <v>46255</v>
      </c>
      <c r="C233">
        <f t="array" ref="C233">SUM(IF('Common line'!$C$4:$C$539=FPY!B233,'Common line'!$K$4:$L$539,""))</f>
        <v>0</v>
      </c>
      <c r="D233">
        <f>COUNTIFS('Common line'!$C$4:$C$539,FPY!B233,'Common line'!$M$4:$M$539,"&gt;0")</f>
        <v>0</v>
      </c>
      <c r="E233" s="148" t="str">
        <f t="shared" si="5"/>
        <v xml:space="preserve"> </v>
      </c>
    </row>
    <row r="234" spans="2:5" s="27" customFormat="1" ht="19.5" customHeight="1">
      <c r="B234" s="53">
        <v>46256</v>
      </c>
      <c r="C234">
        <f t="array" ref="C234">SUM(IF('Common line'!$C$4:$C$539=FPY!B234,'Common line'!$K$4:$L$539,""))</f>
        <v>0</v>
      </c>
      <c r="D234">
        <f>COUNTIFS('Common line'!$C$4:$C$539,FPY!B234,'Common line'!$M$4:$M$539,"&gt;0")</f>
        <v>0</v>
      </c>
      <c r="E234" s="148" t="str">
        <f t="shared" si="5"/>
        <v xml:space="preserve"> </v>
      </c>
    </row>
    <row r="235" spans="2:5" s="27" customFormat="1" ht="19.5" customHeight="1">
      <c r="B235" s="53">
        <v>46257</v>
      </c>
      <c r="C235">
        <f t="array" ref="C235">SUM(IF('Common line'!$C$4:$C$539=FPY!B235,'Common line'!$K$4:$L$539,""))</f>
        <v>0</v>
      </c>
      <c r="D235">
        <f>COUNTIFS('Common line'!$C$4:$C$539,FPY!B235,'Common line'!$M$4:$M$539,"&gt;0")</f>
        <v>0</v>
      </c>
      <c r="E235" s="148" t="str">
        <f t="shared" si="5"/>
        <v xml:space="preserve"> </v>
      </c>
    </row>
    <row r="236" spans="2:5" s="27" customFormat="1" ht="19.5" customHeight="1">
      <c r="B236" s="53">
        <v>46258</v>
      </c>
      <c r="C236">
        <f t="array" ref="C236">SUM(IF('Common line'!$C$4:$C$539=FPY!B236,'Common line'!$K$4:$L$539,""))</f>
        <v>0</v>
      </c>
      <c r="D236">
        <f>COUNTIFS('Common line'!$C$4:$C$539,FPY!B236,'Common line'!$M$4:$M$539,"&gt;0")</f>
        <v>0</v>
      </c>
      <c r="E236" s="148" t="str">
        <f t="shared" si="5"/>
        <v xml:space="preserve"> </v>
      </c>
    </row>
    <row r="237" spans="2:5" s="27" customFormat="1" ht="19.5" customHeight="1">
      <c r="B237" s="53">
        <v>46259</v>
      </c>
      <c r="C237">
        <f t="array" ref="C237">SUM(IF('Common line'!$C$4:$C$539=FPY!B237,'Common line'!$K$4:$L$539,""))</f>
        <v>0</v>
      </c>
      <c r="D237">
        <f>COUNTIFS('Common line'!$C$4:$C$539,FPY!B237,'Common line'!$M$4:$M$539,"&gt;0")</f>
        <v>0</v>
      </c>
      <c r="E237" s="148" t="str">
        <f t="shared" si="5"/>
        <v xml:space="preserve"> </v>
      </c>
    </row>
    <row r="238" spans="2:5" s="27" customFormat="1" ht="19.5" customHeight="1">
      <c r="B238" s="53">
        <v>46260</v>
      </c>
      <c r="C238">
        <f t="array" ref="C238">SUM(IF('Common line'!$C$4:$C$539=FPY!B238,'Common line'!$K$4:$L$539,""))</f>
        <v>0</v>
      </c>
      <c r="D238">
        <f>COUNTIFS('Common line'!$C$4:$C$539,FPY!B238,'Common line'!$M$4:$M$539,"&gt;0")</f>
        <v>0</v>
      </c>
      <c r="E238" s="148" t="str">
        <f t="shared" si="5"/>
        <v xml:space="preserve"> </v>
      </c>
    </row>
    <row r="239" spans="2:5" s="27" customFormat="1" ht="19.5" customHeight="1">
      <c r="B239" s="53">
        <v>46261</v>
      </c>
      <c r="C239">
        <f t="array" ref="C239">SUM(IF('Common line'!$C$4:$C$539=FPY!B239,'Common line'!$K$4:$L$539,""))</f>
        <v>0</v>
      </c>
      <c r="D239">
        <f>COUNTIFS('Common line'!$C$4:$C$539,FPY!B239,'Common line'!$M$4:$M$539,"&gt;0")</f>
        <v>0</v>
      </c>
      <c r="E239" s="148" t="str">
        <f t="shared" si="5"/>
        <v xml:space="preserve"> </v>
      </c>
    </row>
    <row r="240" spans="2:5" s="27" customFormat="1" ht="19.5" customHeight="1">
      <c r="B240" s="53">
        <v>46262</v>
      </c>
      <c r="C240">
        <f t="array" ref="C240">SUM(IF('Common line'!$C$4:$C$539=FPY!B240,'Common line'!$K$4:$L$539,""))</f>
        <v>0</v>
      </c>
      <c r="D240">
        <f>COUNTIFS('Common line'!$C$4:$C$539,FPY!B240,'Common line'!$M$4:$M$539,"&gt;0")</f>
        <v>0</v>
      </c>
      <c r="E240" s="148" t="str">
        <f t="shared" si="5"/>
        <v xml:space="preserve"> </v>
      </c>
    </row>
    <row r="241" spans="2:5" s="27" customFormat="1" ht="19.5" customHeight="1">
      <c r="B241" s="53">
        <v>46263</v>
      </c>
      <c r="C241">
        <f t="array" ref="C241">SUM(IF('Common line'!$C$4:$C$539=FPY!B241,'Common line'!$K$4:$L$539,""))</f>
        <v>0</v>
      </c>
      <c r="D241">
        <f>COUNTIFS('Common line'!$C$4:$C$539,FPY!B241,'Common line'!$M$4:$M$539,"&gt;0")</f>
        <v>0</v>
      </c>
      <c r="E241" s="148" t="str">
        <f t="shared" si="5"/>
        <v xml:space="preserve"> </v>
      </c>
    </row>
    <row r="242" spans="2:5" s="27" customFormat="1" ht="19.5" customHeight="1">
      <c r="B242" s="53">
        <v>46264</v>
      </c>
      <c r="C242">
        <f t="array" ref="C242">SUM(IF('Common line'!$C$4:$C$539=FPY!B242,'Common line'!$K$4:$L$539,""))</f>
        <v>0</v>
      </c>
      <c r="D242">
        <f>COUNTIFS('Common line'!$C$4:$C$539,FPY!B242,'Common line'!$M$4:$M$539,"&gt;0")</f>
        <v>0</v>
      </c>
      <c r="E242" s="148" t="str">
        <f t="shared" si="5"/>
        <v xml:space="preserve"> </v>
      </c>
    </row>
    <row r="243" spans="2:5" s="27" customFormat="1" ht="19.5" customHeight="1">
      <c r="B243" s="53">
        <v>46265</v>
      </c>
      <c r="C243">
        <f t="array" ref="C243">SUM(IF('Common line'!$C$4:$C$539=FPY!B243,'Common line'!$K$4:$L$539,""))</f>
        <v>0</v>
      </c>
      <c r="D243">
        <f>COUNTIFS('Common line'!$C$4:$C$539,FPY!B243,'Common line'!$M$4:$M$539,"&gt;0")</f>
        <v>0</v>
      </c>
      <c r="E243" s="148" t="str">
        <f t="shared" si="5"/>
        <v xml:space="preserve"> </v>
      </c>
    </row>
    <row r="244" spans="2:5" s="27" customFormat="1" ht="19.5" customHeight="1">
      <c r="B244" s="53">
        <v>46266</v>
      </c>
      <c r="C244">
        <f t="array" ref="C244">SUM(IF('Common line'!$C$4:$C$539=FPY!B244,'Common line'!$K$4:$L$539,""))</f>
        <v>0</v>
      </c>
      <c r="D244">
        <f>COUNTIFS('Common line'!$C$4:$C$539,FPY!B244,'Common line'!$M$4:$M$539,"&gt;0")</f>
        <v>0</v>
      </c>
      <c r="E244" s="148" t="str">
        <f t="shared" si="5"/>
        <v xml:space="preserve"> </v>
      </c>
    </row>
    <row r="245" spans="2:5" s="27" customFormat="1" ht="19.5" customHeight="1">
      <c r="B245" s="53">
        <v>46267</v>
      </c>
      <c r="C245">
        <f t="array" ref="C245">SUM(IF('Common line'!$C$4:$C$539=FPY!B245,'Common line'!$K$4:$L$539,""))</f>
        <v>0</v>
      </c>
      <c r="D245">
        <f>COUNTIFS('Common line'!$C$4:$C$539,FPY!B245,'Common line'!$M$4:$M$539,"&gt;0")</f>
        <v>0</v>
      </c>
      <c r="E245" s="148" t="str">
        <f t="shared" si="5"/>
        <v xml:space="preserve"> </v>
      </c>
    </row>
    <row r="246" spans="2:5" s="27" customFormat="1" ht="19.5" customHeight="1">
      <c r="B246" s="53">
        <v>46268</v>
      </c>
      <c r="C246">
        <f t="array" ref="C246">SUM(IF('Common line'!$C$4:$C$539=FPY!B246,'Common line'!$K$4:$L$539,""))</f>
        <v>0</v>
      </c>
      <c r="D246">
        <f>COUNTIFS('Common line'!$C$4:$C$539,FPY!B246,'Common line'!$M$4:$M$539,"&gt;0")</f>
        <v>0</v>
      </c>
      <c r="E246" s="148" t="str">
        <f t="shared" si="5"/>
        <v xml:space="preserve"> </v>
      </c>
    </row>
    <row r="247" spans="2:5" s="27" customFormat="1" ht="19.5" customHeight="1">
      <c r="B247" s="53">
        <v>46269</v>
      </c>
      <c r="C247">
        <f t="array" ref="C247">SUM(IF('Common line'!$C$4:$C$539=FPY!B247,'Common line'!$K$4:$L$539,""))</f>
        <v>0</v>
      </c>
      <c r="D247">
        <f>COUNTIFS('Common line'!$C$4:$C$539,FPY!B247,'Common line'!$M$4:$M$539,"&gt;0")</f>
        <v>0</v>
      </c>
      <c r="E247" s="148" t="str">
        <f t="shared" si="5"/>
        <v xml:space="preserve"> </v>
      </c>
    </row>
    <row r="248" spans="2:5" s="27" customFormat="1" ht="19.5" customHeight="1">
      <c r="B248" s="53">
        <v>46270</v>
      </c>
      <c r="C248">
        <f t="array" ref="C248">SUM(IF('Common line'!$C$4:$C$539=FPY!B248,'Common line'!$K$4:$L$539,""))</f>
        <v>0</v>
      </c>
      <c r="D248">
        <f>COUNTIFS('Common line'!$C$4:$C$539,FPY!B248,'Common line'!$M$4:$M$539,"&gt;0")</f>
        <v>0</v>
      </c>
      <c r="E248" s="148" t="str">
        <f t="shared" si="5"/>
        <v xml:space="preserve"> </v>
      </c>
    </row>
    <row r="249" spans="2:5" s="27" customFormat="1" ht="19.5" customHeight="1">
      <c r="B249" s="53">
        <v>46271</v>
      </c>
      <c r="C249">
        <f t="array" ref="C249">SUM(IF('Common line'!$C$4:$C$539=FPY!B249,'Common line'!$K$4:$L$539,""))</f>
        <v>0</v>
      </c>
      <c r="D249">
        <f>COUNTIFS('Common line'!$C$4:$C$539,FPY!B249,'Common line'!$M$4:$M$539,"&gt;0")</f>
        <v>0</v>
      </c>
      <c r="E249" s="148" t="str">
        <f t="shared" si="5"/>
        <v xml:space="preserve"> </v>
      </c>
    </row>
    <row r="250" spans="2:5" s="27" customFormat="1" ht="19.5" customHeight="1">
      <c r="B250" s="53">
        <v>46272</v>
      </c>
      <c r="C250">
        <f t="array" ref="C250">SUM(IF('Common line'!$C$4:$C$539=FPY!B250,'Common line'!$K$4:$L$539,""))</f>
        <v>0</v>
      </c>
      <c r="D250">
        <f>COUNTIFS('Common line'!$C$4:$C$539,FPY!B250,'Common line'!$M$4:$M$539,"&gt;0")</f>
        <v>0</v>
      </c>
      <c r="E250" s="148" t="str">
        <f t="shared" si="5"/>
        <v xml:space="preserve"> </v>
      </c>
    </row>
    <row r="251" spans="2:5" s="27" customFormat="1" ht="19.5" customHeight="1">
      <c r="B251" s="53">
        <v>46273</v>
      </c>
      <c r="C251">
        <f t="array" ref="C251">SUM(IF('Common line'!$C$4:$C$539=FPY!B251,'Common line'!$K$4:$L$539,""))</f>
        <v>0</v>
      </c>
      <c r="D251">
        <f>COUNTIFS('Common line'!$C$4:$C$539,FPY!B251,'Common line'!$M$4:$M$539,"&gt;0")</f>
        <v>0</v>
      </c>
      <c r="E251" s="148" t="str">
        <f t="shared" si="5"/>
        <v xml:space="preserve"> </v>
      </c>
    </row>
    <row r="252" spans="2:5" s="27" customFormat="1" ht="19.5" customHeight="1">
      <c r="B252" s="53">
        <v>46274</v>
      </c>
      <c r="C252">
        <f t="array" ref="C252">SUM(IF('Common line'!$C$4:$C$539=FPY!B252,'Common line'!$K$4:$L$539,""))</f>
        <v>0</v>
      </c>
      <c r="D252">
        <f>COUNTIFS('Common line'!$C$4:$C$539,FPY!B252,'Common line'!$M$4:$M$539,"&gt;0")</f>
        <v>0</v>
      </c>
      <c r="E252" s="148" t="str">
        <f t="shared" si="5"/>
        <v xml:space="preserve"> </v>
      </c>
    </row>
    <row r="253" spans="2:5" s="27" customFormat="1" ht="19.5" customHeight="1">
      <c r="B253" s="53">
        <v>46275</v>
      </c>
      <c r="C253">
        <f t="array" ref="C253">SUM(IF('Common line'!$C$4:$C$539=FPY!B253,'Common line'!$K$4:$L$539,""))</f>
        <v>0</v>
      </c>
      <c r="D253">
        <f>COUNTIFS('Common line'!$C$4:$C$539,FPY!B253,'Common line'!$M$4:$M$539,"&gt;0")</f>
        <v>0</v>
      </c>
      <c r="E253" s="148" t="str">
        <f t="shared" si="5"/>
        <v xml:space="preserve"> </v>
      </c>
    </row>
    <row r="254" spans="2:5" s="27" customFormat="1" ht="19.5" customHeight="1">
      <c r="B254" s="53">
        <v>46276</v>
      </c>
      <c r="C254">
        <f t="array" ref="C254">SUM(IF('Common line'!$C$4:$C$539=FPY!B254,'Common line'!$K$4:$L$539,""))</f>
        <v>0</v>
      </c>
      <c r="D254">
        <f>COUNTIFS('Common line'!$C$4:$C$539,FPY!B254,'Common line'!$M$4:$M$539,"&gt;0")</f>
        <v>0</v>
      </c>
      <c r="E254" s="148" t="str">
        <f t="shared" si="5"/>
        <v xml:space="preserve"> </v>
      </c>
    </row>
    <row r="255" spans="2:5" s="27" customFormat="1" ht="19.5" customHeight="1">
      <c r="B255" s="53">
        <v>46277</v>
      </c>
      <c r="C255">
        <f t="array" ref="C255">SUM(IF('Common line'!$C$4:$C$539=FPY!B255,'Common line'!$K$4:$L$539,""))</f>
        <v>0</v>
      </c>
      <c r="D255">
        <f>COUNTIFS('Common line'!$C$4:$C$539,FPY!B255,'Common line'!$M$4:$M$539,"&gt;0")</f>
        <v>0</v>
      </c>
      <c r="E255" s="148" t="str">
        <f t="shared" si="5"/>
        <v xml:space="preserve"> </v>
      </c>
    </row>
    <row r="256" spans="2:5" s="27" customFormat="1" ht="19.5" customHeight="1">
      <c r="B256" s="53">
        <v>46278</v>
      </c>
      <c r="C256">
        <f t="array" ref="C256">SUM(IF('Common line'!$C$4:$C$539=FPY!B256,'Common line'!$K$4:$L$539,""))</f>
        <v>0</v>
      </c>
      <c r="D256">
        <f>COUNTIFS('Common line'!$C$4:$C$539,FPY!B256,'Common line'!$M$4:$M$539,"&gt;0")</f>
        <v>0</v>
      </c>
      <c r="E256" s="148" t="str">
        <f t="shared" si="5"/>
        <v xml:space="preserve"> </v>
      </c>
    </row>
    <row r="257" spans="2:5" s="27" customFormat="1" ht="19.5" customHeight="1">
      <c r="B257" s="53">
        <v>46279</v>
      </c>
      <c r="C257">
        <f t="array" ref="C257">SUM(IF('Common line'!$C$4:$C$539=FPY!B257,'Common line'!$K$4:$L$539,""))</f>
        <v>0</v>
      </c>
      <c r="D257">
        <f>COUNTIFS('Common line'!$C$4:$C$539,FPY!B257,'Common line'!$M$4:$M$539,"&gt;0")</f>
        <v>0</v>
      </c>
      <c r="E257" s="148" t="str">
        <f t="shared" si="5"/>
        <v xml:space="preserve"> </v>
      </c>
    </row>
    <row r="258" spans="2:5" s="27" customFormat="1" ht="19.5" customHeight="1">
      <c r="B258" s="53">
        <v>46280</v>
      </c>
      <c r="C258">
        <f t="array" ref="C258">SUM(IF('Common line'!$C$4:$C$539=FPY!B258,'Common line'!$K$4:$L$539,""))</f>
        <v>0</v>
      </c>
      <c r="D258">
        <f>COUNTIFS('Common line'!$C$4:$C$539,FPY!B258,'Common line'!$M$4:$M$539,"&gt;0")</f>
        <v>0</v>
      </c>
      <c r="E258" s="148" t="str">
        <f t="shared" si="5"/>
        <v xml:space="preserve"> </v>
      </c>
    </row>
    <row r="259" spans="2:5" s="27" customFormat="1" ht="19.5" customHeight="1">
      <c r="B259" s="53">
        <v>46281</v>
      </c>
      <c r="C259">
        <f t="array" ref="C259">SUM(IF('Common line'!$C$4:$C$539=FPY!B259,'Common line'!$K$4:$L$539,""))</f>
        <v>0</v>
      </c>
      <c r="D259">
        <f>COUNTIFS('Common line'!$C$4:$C$539,FPY!B259,'Common line'!$M$4:$M$539,"&gt;0")</f>
        <v>0</v>
      </c>
      <c r="E259" s="148" t="str">
        <f t="shared" ref="E259:E322" si="6">IF(C259=0," ",(C259-D259)/C259)</f>
        <v xml:space="preserve"> </v>
      </c>
    </row>
    <row r="260" spans="2:5" s="27" customFormat="1" ht="19.5" customHeight="1">
      <c r="B260" s="53">
        <v>46282</v>
      </c>
      <c r="C260">
        <f t="array" ref="C260">SUM(IF('Common line'!$C$4:$C$539=FPY!B260,'Common line'!$K$4:$L$539,""))</f>
        <v>0</v>
      </c>
      <c r="D260">
        <f>COUNTIFS('Common line'!$C$4:$C$539,FPY!B260,'Common line'!$M$4:$M$539,"&gt;0")</f>
        <v>0</v>
      </c>
      <c r="E260" s="148" t="str">
        <f t="shared" si="6"/>
        <v xml:space="preserve"> </v>
      </c>
    </row>
    <row r="261" spans="2:5" s="27" customFormat="1" ht="19.5" customHeight="1">
      <c r="B261" s="53">
        <v>46283</v>
      </c>
      <c r="C261">
        <f t="array" ref="C261">SUM(IF('Common line'!$C$4:$C$539=FPY!B261,'Common line'!$K$4:$L$539,""))</f>
        <v>0</v>
      </c>
      <c r="D261">
        <f>COUNTIFS('Common line'!$C$4:$C$539,FPY!B261,'Common line'!$M$4:$M$539,"&gt;0")</f>
        <v>0</v>
      </c>
      <c r="E261" s="148" t="str">
        <f t="shared" si="6"/>
        <v xml:space="preserve"> </v>
      </c>
    </row>
    <row r="262" spans="2:5" s="27" customFormat="1" ht="19.5" customHeight="1">
      <c r="B262" s="53">
        <v>46284</v>
      </c>
      <c r="C262">
        <f t="array" ref="C262">SUM(IF('Common line'!$C$4:$C$539=FPY!B262,'Common line'!$K$4:$L$539,""))</f>
        <v>0</v>
      </c>
      <c r="D262">
        <f>COUNTIFS('Common line'!$C$4:$C$539,FPY!B262,'Common line'!$M$4:$M$539,"&gt;0")</f>
        <v>0</v>
      </c>
      <c r="E262" s="148" t="str">
        <f t="shared" si="6"/>
        <v xml:space="preserve"> </v>
      </c>
    </row>
    <row r="263" spans="2:5" s="27" customFormat="1" ht="19.5" customHeight="1">
      <c r="B263" s="53">
        <v>46285</v>
      </c>
      <c r="C263">
        <f t="array" ref="C263">SUM(IF('Common line'!$C$4:$C$539=FPY!B263,'Common line'!$K$4:$L$539,""))</f>
        <v>0</v>
      </c>
      <c r="D263">
        <f>COUNTIFS('Common line'!$C$4:$C$539,FPY!B263,'Common line'!$M$4:$M$539,"&gt;0")</f>
        <v>0</v>
      </c>
      <c r="E263" s="148" t="str">
        <f t="shared" si="6"/>
        <v xml:space="preserve"> </v>
      </c>
    </row>
    <row r="264" spans="2:5" s="27" customFormat="1" ht="19.5" customHeight="1">
      <c r="B264" s="53">
        <v>46286</v>
      </c>
      <c r="C264">
        <f t="array" ref="C264">SUM(IF('Common line'!$C$4:$C$539=FPY!B264,'Common line'!$K$4:$L$539,""))</f>
        <v>0</v>
      </c>
      <c r="D264">
        <f>COUNTIFS('Common line'!$C$4:$C$539,FPY!B264,'Common line'!$M$4:$M$539,"&gt;0")</f>
        <v>0</v>
      </c>
      <c r="E264" s="148" t="str">
        <f t="shared" si="6"/>
        <v xml:space="preserve"> </v>
      </c>
    </row>
    <row r="265" spans="2:5" s="27" customFormat="1" ht="19.5" customHeight="1">
      <c r="B265" s="53">
        <v>46287</v>
      </c>
      <c r="C265">
        <f t="array" ref="C265">SUM(IF('Common line'!$C$4:$C$539=FPY!B265,'Common line'!$K$4:$L$539,""))</f>
        <v>0</v>
      </c>
      <c r="D265">
        <f>COUNTIFS('Common line'!$C$4:$C$539,FPY!B265,'Common line'!$M$4:$M$539,"&gt;0")</f>
        <v>0</v>
      </c>
      <c r="E265" s="148" t="str">
        <f t="shared" si="6"/>
        <v xml:space="preserve"> </v>
      </c>
    </row>
    <row r="266" spans="2:5" s="27" customFormat="1" ht="19.5" customHeight="1">
      <c r="B266" s="53">
        <v>46288</v>
      </c>
      <c r="C266">
        <f t="array" ref="C266">SUM(IF('Common line'!$C$4:$C$539=FPY!B266,'Common line'!$K$4:$L$539,""))</f>
        <v>0</v>
      </c>
      <c r="D266">
        <f>COUNTIFS('Common line'!$C$4:$C$539,FPY!B266,'Common line'!$M$4:$M$539,"&gt;0")</f>
        <v>0</v>
      </c>
      <c r="E266" s="148" t="str">
        <f t="shared" si="6"/>
        <v xml:space="preserve"> </v>
      </c>
    </row>
    <row r="267" spans="2:5" s="27" customFormat="1" ht="19.5" customHeight="1">
      <c r="B267" s="53">
        <v>46289</v>
      </c>
      <c r="C267">
        <f t="array" ref="C267">SUM(IF('Common line'!$C$4:$C$539=FPY!B267,'Common line'!$K$4:$L$539,""))</f>
        <v>0</v>
      </c>
      <c r="D267">
        <f>COUNTIFS('Common line'!$C$4:$C$539,FPY!B267,'Common line'!$M$4:$M$539,"&gt;0")</f>
        <v>0</v>
      </c>
      <c r="E267" s="148" t="str">
        <f t="shared" si="6"/>
        <v xml:space="preserve"> </v>
      </c>
    </row>
    <row r="268" spans="2:5" s="27" customFormat="1" ht="19.5" customHeight="1">
      <c r="B268" s="53">
        <v>46290</v>
      </c>
      <c r="C268">
        <f t="array" ref="C268">SUM(IF('Common line'!$C$4:$C$539=FPY!B268,'Common line'!$K$4:$L$539,""))</f>
        <v>0</v>
      </c>
      <c r="D268">
        <f>COUNTIFS('Common line'!$C$4:$C$539,FPY!B268,'Common line'!$M$4:$M$539,"&gt;0")</f>
        <v>0</v>
      </c>
      <c r="E268" s="148" t="str">
        <f t="shared" si="6"/>
        <v xml:space="preserve"> </v>
      </c>
    </row>
    <row r="269" spans="2:5" s="27" customFormat="1" ht="19.5" customHeight="1">
      <c r="B269" s="53">
        <v>46291</v>
      </c>
      <c r="C269">
        <f t="array" ref="C269">SUM(IF('Common line'!$C$4:$C$539=FPY!B269,'Common line'!$K$4:$L$539,""))</f>
        <v>0</v>
      </c>
      <c r="D269">
        <f>COUNTIFS('Common line'!$C$4:$C$539,FPY!B269,'Common line'!$M$4:$M$539,"&gt;0")</f>
        <v>0</v>
      </c>
      <c r="E269" s="148" t="str">
        <f t="shared" si="6"/>
        <v xml:space="preserve"> </v>
      </c>
    </row>
    <row r="270" spans="2:5" s="27" customFormat="1" ht="19.5" customHeight="1">
      <c r="B270" s="53">
        <v>46292</v>
      </c>
      <c r="C270">
        <f t="array" ref="C270">SUM(IF('Common line'!$C$4:$C$539=FPY!B270,'Common line'!$K$4:$L$539,""))</f>
        <v>0</v>
      </c>
      <c r="D270">
        <f>COUNTIFS('Common line'!$C$4:$C$539,FPY!B270,'Common line'!$M$4:$M$539,"&gt;0")</f>
        <v>0</v>
      </c>
      <c r="E270" s="148" t="str">
        <f t="shared" si="6"/>
        <v xml:space="preserve"> </v>
      </c>
    </row>
    <row r="271" spans="2:5" s="27" customFormat="1" ht="19.5" customHeight="1">
      <c r="B271" s="53">
        <v>46293</v>
      </c>
      <c r="C271">
        <f t="array" ref="C271">SUM(IF('Common line'!$C$4:$C$539=FPY!B271,'Common line'!$K$4:$L$539,""))</f>
        <v>0</v>
      </c>
      <c r="D271">
        <f>COUNTIFS('Common line'!$C$4:$C$539,FPY!B271,'Common line'!$M$4:$M$539,"&gt;0")</f>
        <v>0</v>
      </c>
      <c r="E271" s="148" t="str">
        <f t="shared" si="6"/>
        <v xml:space="preserve"> </v>
      </c>
    </row>
    <row r="272" spans="2:5" s="27" customFormat="1" ht="19.5" customHeight="1">
      <c r="B272" s="53">
        <v>46294</v>
      </c>
      <c r="C272">
        <f t="array" ref="C272">SUM(IF('Common line'!$C$4:$C$539=FPY!B272,'Common line'!$K$4:$L$539,""))</f>
        <v>0</v>
      </c>
      <c r="D272">
        <f>COUNTIFS('Common line'!$C$4:$C$539,FPY!B272,'Common line'!$M$4:$M$539,"&gt;0")</f>
        <v>0</v>
      </c>
      <c r="E272" s="148" t="str">
        <f t="shared" si="6"/>
        <v xml:space="preserve"> </v>
      </c>
    </row>
    <row r="273" spans="2:5" s="27" customFormat="1" ht="19.5" customHeight="1">
      <c r="B273" s="53">
        <v>46295</v>
      </c>
      <c r="C273">
        <f t="array" ref="C273">SUM(IF('Common line'!$C$4:$C$539=FPY!B273,'Common line'!$K$4:$L$539,""))</f>
        <v>0</v>
      </c>
      <c r="D273">
        <f>COUNTIFS('Common line'!$C$4:$C$539,FPY!B273,'Common line'!$M$4:$M$539,"&gt;0")</f>
        <v>0</v>
      </c>
      <c r="E273" s="148" t="str">
        <f t="shared" si="6"/>
        <v xml:space="preserve"> </v>
      </c>
    </row>
    <row r="274" spans="2:5" s="27" customFormat="1" ht="19.5" customHeight="1">
      <c r="B274" s="53">
        <v>46296</v>
      </c>
      <c r="C274">
        <f t="array" ref="C274">SUM(IF('Common line'!$C$4:$C$539=FPY!B274,'Common line'!$K$4:$L$539,""))</f>
        <v>0</v>
      </c>
      <c r="D274">
        <f>COUNTIFS('Common line'!$C$4:$C$539,FPY!B274,'Common line'!$M$4:$M$539,"&gt;0")</f>
        <v>0</v>
      </c>
      <c r="E274" s="148" t="str">
        <f t="shared" si="6"/>
        <v xml:space="preserve"> </v>
      </c>
    </row>
    <row r="275" spans="2:5" s="27" customFormat="1" ht="19.5" customHeight="1">
      <c r="B275" s="53">
        <v>46297</v>
      </c>
      <c r="C275">
        <f t="array" ref="C275">SUM(IF('Common line'!$C$4:$C$539=FPY!B275,'Common line'!$K$4:$L$539,""))</f>
        <v>0</v>
      </c>
      <c r="D275">
        <f>COUNTIFS('Common line'!$C$4:$C$539,FPY!B275,'Common line'!$M$4:$M$539,"&gt;0")</f>
        <v>0</v>
      </c>
      <c r="E275" s="148" t="str">
        <f t="shared" si="6"/>
        <v xml:space="preserve"> </v>
      </c>
    </row>
    <row r="276" spans="2:5" s="27" customFormat="1" ht="19.5" customHeight="1">
      <c r="B276" s="53">
        <v>46298</v>
      </c>
      <c r="C276">
        <f t="array" ref="C276">SUM(IF('Common line'!$C$4:$C$539=FPY!B276,'Common line'!$K$4:$L$539,""))</f>
        <v>0</v>
      </c>
      <c r="D276">
        <f>COUNTIFS('Common line'!$C$4:$C$539,FPY!B276,'Common line'!$M$4:$M$539,"&gt;0")</f>
        <v>0</v>
      </c>
      <c r="E276" s="148" t="str">
        <f t="shared" si="6"/>
        <v xml:space="preserve"> </v>
      </c>
    </row>
    <row r="277" spans="2:5" s="27" customFormat="1" ht="19.5" customHeight="1">
      <c r="B277" s="53">
        <v>46299</v>
      </c>
      <c r="C277">
        <f t="array" ref="C277">SUM(IF('Common line'!$C$4:$C$539=FPY!B277,'Common line'!$K$4:$L$539,""))</f>
        <v>0</v>
      </c>
      <c r="D277">
        <f>COUNTIFS('Common line'!$C$4:$C$539,FPY!B277,'Common line'!$M$4:$M$539,"&gt;0")</f>
        <v>0</v>
      </c>
      <c r="E277" s="148" t="str">
        <f t="shared" si="6"/>
        <v xml:space="preserve"> </v>
      </c>
    </row>
    <row r="278" spans="2:5" s="27" customFormat="1" ht="19.5" customHeight="1">
      <c r="B278" s="53">
        <v>46300</v>
      </c>
      <c r="C278">
        <f t="array" ref="C278">SUM(IF('Common line'!$C$4:$C$539=FPY!B278,'Common line'!$K$4:$L$539,""))</f>
        <v>0</v>
      </c>
      <c r="D278">
        <f>COUNTIFS('Common line'!$C$4:$C$539,FPY!B278,'Common line'!$M$4:$M$539,"&gt;0")</f>
        <v>0</v>
      </c>
      <c r="E278" s="148" t="str">
        <f t="shared" si="6"/>
        <v xml:space="preserve"> </v>
      </c>
    </row>
    <row r="279" spans="2:5" s="27" customFormat="1" ht="19.5" customHeight="1">
      <c r="B279" s="53">
        <v>46301</v>
      </c>
      <c r="C279">
        <f t="array" ref="C279">SUM(IF('Common line'!$C$4:$C$539=FPY!B279,'Common line'!$K$4:$L$539,""))</f>
        <v>0</v>
      </c>
      <c r="D279">
        <f>COUNTIFS('Common line'!$C$4:$C$539,FPY!B279,'Common line'!$M$4:$M$539,"&gt;0")</f>
        <v>0</v>
      </c>
      <c r="E279" s="148" t="str">
        <f t="shared" si="6"/>
        <v xml:space="preserve"> </v>
      </c>
    </row>
    <row r="280" spans="2:5" s="27" customFormat="1" ht="19.5" customHeight="1">
      <c r="B280" s="53">
        <v>46302</v>
      </c>
      <c r="C280">
        <f t="array" ref="C280">SUM(IF('Common line'!$C$4:$C$539=FPY!B280,'Common line'!$K$4:$L$539,""))</f>
        <v>0</v>
      </c>
      <c r="D280">
        <f>COUNTIFS('Common line'!$C$4:$C$539,FPY!B280,'Common line'!$M$4:$M$539,"&gt;0")</f>
        <v>0</v>
      </c>
      <c r="E280" s="148" t="str">
        <f t="shared" si="6"/>
        <v xml:space="preserve"> </v>
      </c>
    </row>
    <row r="281" spans="2:5" s="27" customFormat="1" ht="19.5" customHeight="1">
      <c r="B281" s="53">
        <v>46303</v>
      </c>
      <c r="C281">
        <f t="array" ref="C281">SUM(IF('Common line'!$C$4:$C$539=FPY!B281,'Common line'!$K$4:$L$539,""))</f>
        <v>0</v>
      </c>
      <c r="D281">
        <f>COUNTIFS('Common line'!$C$4:$C$539,FPY!B281,'Common line'!$M$4:$M$539,"&gt;0")</f>
        <v>0</v>
      </c>
      <c r="E281" s="148" t="str">
        <f t="shared" si="6"/>
        <v xml:space="preserve"> </v>
      </c>
    </row>
    <row r="282" spans="2:5" s="27" customFormat="1" ht="19.5" customHeight="1">
      <c r="B282" s="53">
        <v>46304</v>
      </c>
      <c r="C282">
        <f t="array" ref="C282">SUM(IF('Common line'!$C$4:$C$539=FPY!B282,'Common line'!$K$4:$L$539,""))</f>
        <v>0</v>
      </c>
      <c r="D282">
        <f>COUNTIFS('Common line'!$C$4:$C$539,FPY!B282,'Common line'!$M$4:$M$539,"&gt;0")</f>
        <v>0</v>
      </c>
      <c r="E282" s="148" t="str">
        <f t="shared" si="6"/>
        <v xml:space="preserve"> </v>
      </c>
    </row>
    <row r="283" spans="2:5" s="27" customFormat="1" ht="19.5" customHeight="1">
      <c r="B283" s="53">
        <v>46305</v>
      </c>
      <c r="C283">
        <f t="array" ref="C283">SUM(IF('Common line'!$C$4:$C$539=FPY!B283,'Common line'!$K$4:$L$539,""))</f>
        <v>0</v>
      </c>
      <c r="D283">
        <f>COUNTIFS('Common line'!$C$4:$C$539,FPY!B283,'Common line'!$M$4:$M$539,"&gt;0")</f>
        <v>0</v>
      </c>
      <c r="E283" s="148" t="str">
        <f t="shared" si="6"/>
        <v xml:space="preserve"> </v>
      </c>
    </row>
    <row r="284" spans="2:5" s="27" customFormat="1" ht="19.5" customHeight="1">
      <c r="B284" s="53">
        <v>46306</v>
      </c>
      <c r="C284">
        <f t="array" ref="C284">SUM(IF('Common line'!$C$4:$C$539=FPY!B284,'Common line'!$K$4:$L$539,""))</f>
        <v>0</v>
      </c>
      <c r="D284">
        <f>COUNTIFS('Common line'!$C$4:$C$539,FPY!B284,'Common line'!$M$4:$M$539,"&gt;0")</f>
        <v>0</v>
      </c>
      <c r="E284" s="148" t="str">
        <f t="shared" si="6"/>
        <v xml:space="preserve"> </v>
      </c>
    </row>
    <row r="285" spans="2:5" s="27" customFormat="1" ht="19.5" customHeight="1">
      <c r="B285" s="53">
        <v>46307</v>
      </c>
      <c r="C285">
        <f t="array" ref="C285">SUM(IF('Common line'!$C$4:$C$539=FPY!B285,'Common line'!$K$4:$L$539,""))</f>
        <v>0</v>
      </c>
      <c r="D285">
        <f>COUNTIFS('Common line'!$C$4:$C$539,FPY!B285,'Common line'!$M$4:$M$539,"&gt;0")</f>
        <v>0</v>
      </c>
      <c r="E285" s="148" t="str">
        <f t="shared" si="6"/>
        <v xml:space="preserve"> </v>
      </c>
    </row>
    <row r="286" spans="2:5" s="27" customFormat="1" ht="19.5" customHeight="1">
      <c r="B286" s="53">
        <v>46308</v>
      </c>
      <c r="C286">
        <f t="array" ref="C286">SUM(IF('Common line'!$C$4:$C$539=FPY!B286,'Common line'!$K$4:$L$539,""))</f>
        <v>0</v>
      </c>
      <c r="D286">
        <f>COUNTIFS('Common line'!$C$4:$C$539,FPY!B286,'Common line'!$M$4:$M$539,"&gt;0")</f>
        <v>0</v>
      </c>
      <c r="E286" s="148" t="str">
        <f t="shared" si="6"/>
        <v xml:space="preserve"> </v>
      </c>
    </row>
    <row r="287" spans="2:5" s="27" customFormat="1" ht="19.5" customHeight="1">
      <c r="B287" s="53">
        <v>46309</v>
      </c>
      <c r="C287">
        <f t="array" ref="C287">SUM(IF('Common line'!$C$4:$C$539=FPY!B287,'Common line'!$K$4:$L$539,""))</f>
        <v>0</v>
      </c>
      <c r="D287">
        <f>COUNTIFS('Common line'!$C$4:$C$539,FPY!B287,'Common line'!$M$4:$M$539,"&gt;0")</f>
        <v>0</v>
      </c>
      <c r="E287" s="148" t="str">
        <f t="shared" si="6"/>
        <v xml:space="preserve"> </v>
      </c>
    </row>
    <row r="288" spans="2:5" s="27" customFormat="1" ht="19.5" customHeight="1">
      <c r="B288" s="53">
        <v>46310</v>
      </c>
      <c r="C288">
        <f t="array" ref="C288">SUM(IF('Common line'!$C$4:$C$539=FPY!B288,'Common line'!$K$4:$L$539,""))</f>
        <v>0</v>
      </c>
      <c r="D288">
        <f>COUNTIFS('Common line'!$C$4:$C$539,FPY!B288,'Common line'!$M$4:$M$539,"&gt;0")</f>
        <v>0</v>
      </c>
      <c r="E288" s="148" t="str">
        <f t="shared" si="6"/>
        <v xml:space="preserve"> </v>
      </c>
    </row>
    <row r="289" spans="2:5" s="27" customFormat="1" ht="19.5" customHeight="1">
      <c r="B289" s="53">
        <v>46311</v>
      </c>
      <c r="C289">
        <f t="array" ref="C289">SUM(IF('Common line'!$C$4:$C$539=FPY!B289,'Common line'!$K$4:$L$539,""))</f>
        <v>0</v>
      </c>
      <c r="D289">
        <f>COUNTIFS('Common line'!$C$4:$C$539,FPY!B289,'Common line'!$M$4:$M$539,"&gt;0")</f>
        <v>0</v>
      </c>
      <c r="E289" s="148" t="str">
        <f t="shared" si="6"/>
        <v xml:space="preserve"> </v>
      </c>
    </row>
    <row r="290" spans="2:5" s="27" customFormat="1" ht="19.5" customHeight="1">
      <c r="B290" s="53">
        <v>46312</v>
      </c>
      <c r="C290">
        <f t="array" ref="C290">SUM(IF('Common line'!$C$4:$C$539=FPY!B290,'Common line'!$K$4:$L$539,""))</f>
        <v>0</v>
      </c>
      <c r="D290">
        <f>COUNTIFS('Common line'!$C$4:$C$539,FPY!B290,'Common line'!$M$4:$M$539,"&gt;0")</f>
        <v>0</v>
      </c>
      <c r="E290" s="148" t="str">
        <f t="shared" si="6"/>
        <v xml:space="preserve"> </v>
      </c>
    </row>
    <row r="291" spans="2:5" s="27" customFormat="1" ht="19.5" customHeight="1">
      <c r="B291" s="53">
        <v>46313</v>
      </c>
      <c r="C291">
        <f t="array" ref="C291">SUM(IF('Common line'!$C$4:$C$539=FPY!B291,'Common line'!$K$4:$L$539,""))</f>
        <v>0</v>
      </c>
      <c r="D291">
        <f>COUNTIFS('Common line'!$C$4:$C$539,FPY!B291,'Common line'!$M$4:$M$539,"&gt;0")</f>
        <v>0</v>
      </c>
      <c r="E291" s="148" t="str">
        <f t="shared" si="6"/>
        <v xml:space="preserve"> </v>
      </c>
    </row>
    <row r="292" spans="2:5" s="27" customFormat="1" ht="19.5" customHeight="1">
      <c r="B292" s="53">
        <v>46314</v>
      </c>
      <c r="C292">
        <f t="array" ref="C292">SUM(IF('Common line'!$C$4:$C$539=FPY!B292,'Common line'!$K$4:$L$539,""))</f>
        <v>0</v>
      </c>
      <c r="D292">
        <f>COUNTIFS('Common line'!$C$4:$C$539,FPY!B292,'Common line'!$M$4:$M$539,"&gt;0")</f>
        <v>0</v>
      </c>
      <c r="E292" s="148" t="str">
        <f t="shared" si="6"/>
        <v xml:space="preserve"> </v>
      </c>
    </row>
    <row r="293" spans="2:5" s="27" customFormat="1" ht="19.5" customHeight="1">
      <c r="B293" s="53">
        <v>46315</v>
      </c>
      <c r="C293">
        <f t="array" ref="C293">SUM(IF('Common line'!$C$4:$C$539=FPY!B293,'Common line'!$K$4:$L$539,""))</f>
        <v>0</v>
      </c>
      <c r="D293">
        <f>COUNTIFS('Common line'!$C$4:$C$539,FPY!B293,'Common line'!$M$4:$M$539,"&gt;0")</f>
        <v>0</v>
      </c>
      <c r="E293" s="148" t="str">
        <f t="shared" si="6"/>
        <v xml:space="preserve"> </v>
      </c>
    </row>
    <row r="294" spans="2:5" s="27" customFormat="1" ht="19.5" customHeight="1">
      <c r="B294" s="53">
        <v>46316</v>
      </c>
      <c r="C294">
        <f t="array" ref="C294">SUM(IF('Common line'!$C$4:$C$539=FPY!B294,'Common line'!$K$4:$L$539,""))</f>
        <v>0</v>
      </c>
      <c r="D294">
        <f>COUNTIFS('Common line'!$C$4:$C$539,FPY!B294,'Common line'!$M$4:$M$539,"&gt;0")</f>
        <v>0</v>
      </c>
      <c r="E294" s="148" t="str">
        <f t="shared" si="6"/>
        <v xml:space="preserve"> </v>
      </c>
    </row>
    <row r="295" spans="2:5" s="27" customFormat="1" ht="19.5" customHeight="1">
      <c r="B295" s="53">
        <v>46317</v>
      </c>
      <c r="C295">
        <f t="array" ref="C295">SUM(IF('Common line'!$C$4:$C$539=FPY!B295,'Common line'!$K$4:$L$539,""))</f>
        <v>0</v>
      </c>
      <c r="D295">
        <f>COUNTIFS('Common line'!$C$4:$C$539,FPY!B295,'Common line'!$M$4:$M$539,"&gt;0")</f>
        <v>0</v>
      </c>
      <c r="E295" s="148" t="str">
        <f t="shared" si="6"/>
        <v xml:space="preserve"> </v>
      </c>
    </row>
    <row r="296" spans="2:5" s="27" customFormat="1" ht="19.5" customHeight="1">
      <c r="B296" s="53">
        <v>46318</v>
      </c>
      <c r="C296">
        <f t="array" ref="C296">SUM(IF('Common line'!$C$4:$C$539=FPY!B296,'Common line'!$K$4:$L$539,""))</f>
        <v>0</v>
      </c>
      <c r="D296">
        <f>COUNTIFS('Common line'!$C$4:$C$539,FPY!B296,'Common line'!$M$4:$M$539,"&gt;0")</f>
        <v>0</v>
      </c>
      <c r="E296" s="148" t="str">
        <f t="shared" si="6"/>
        <v xml:space="preserve"> </v>
      </c>
    </row>
    <row r="297" spans="2:5" s="27" customFormat="1" ht="19.5" customHeight="1">
      <c r="B297" s="53">
        <v>46319</v>
      </c>
      <c r="C297">
        <f t="array" ref="C297">SUM(IF('Common line'!$C$4:$C$539=FPY!B297,'Common line'!$K$4:$L$539,""))</f>
        <v>0</v>
      </c>
      <c r="D297">
        <f>COUNTIFS('Common line'!$C$4:$C$539,FPY!B297,'Common line'!$M$4:$M$539,"&gt;0")</f>
        <v>0</v>
      </c>
      <c r="E297" s="148" t="str">
        <f t="shared" si="6"/>
        <v xml:space="preserve"> </v>
      </c>
    </row>
    <row r="298" spans="2:5" s="27" customFormat="1" ht="19.5" customHeight="1">
      <c r="B298" s="53">
        <v>46320</v>
      </c>
      <c r="C298">
        <f t="array" ref="C298">SUM(IF('Common line'!$C$4:$C$539=FPY!B298,'Common line'!$K$4:$L$539,""))</f>
        <v>0</v>
      </c>
      <c r="D298">
        <f>COUNTIFS('Common line'!$C$4:$C$539,FPY!B298,'Common line'!$M$4:$M$539,"&gt;0")</f>
        <v>0</v>
      </c>
      <c r="E298" s="148" t="str">
        <f t="shared" si="6"/>
        <v xml:space="preserve"> </v>
      </c>
    </row>
    <row r="299" spans="2:5" s="27" customFormat="1" ht="19.5" customHeight="1">
      <c r="B299" s="53">
        <v>46321</v>
      </c>
      <c r="C299">
        <f t="array" ref="C299">SUM(IF('Common line'!$C$4:$C$539=FPY!B299,'Common line'!$K$4:$L$539,""))</f>
        <v>0</v>
      </c>
      <c r="D299">
        <f>COUNTIFS('Common line'!$C$4:$C$539,FPY!B299,'Common line'!$M$4:$M$539,"&gt;0")</f>
        <v>0</v>
      </c>
      <c r="E299" s="148" t="str">
        <f t="shared" si="6"/>
        <v xml:space="preserve"> </v>
      </c>
    </row>
    <row r="300" spans="2:5" s="27" customFormat="1" ht="19.5" customHeight="1">
      <c r="B300" s="53">
        <v>46322</v>
      </c>
      <c r="C300">
        <f t="array" ref="C300">SUM(IF('Common line'!$C$4:$C$539=FPY!B300,'Common line'!$K$4:$L$539,""))</f>
        <v>0</v>
      </c>
      <c r="D300">
        <f>COUNTIFS('Common line'!$C$4:$C$539,FPY!B300,'Common line'!$M$4:$M$539,"&gt;0")</f>
        <v>0</v>
      </c>
      <c r="E300" s="148" t="str">
        <f t="shared" si="6"/>
        <v xml:space="preserve"> </v>
      </c>
    </row>
    <row r="301" spans="2:5" s="27" customFormat="1" ht="19.5" customHeight="1">
      <c r="B301" s="53">
        <v>46323</v>
      </c>
      <c r="C301">
        <f t="array" ref="C301">SUM(IF('Common line'!$C$4:$C$539=FPY!B301,'Common line'!$K$4:$L$539,""))</f>
        <v>0</v>
      </c>
      <c r="D301">
        <f>COUNTIFS('Common line'!$C$4:$C$539,FPY!B301,'Common line'!$M$4:$M$539,"&gt;0")</f>
        <v>0</v>
      </c>
      <c r="E301" s="148" t="str">
        <f t="shared" si="6"/>
        <v xml:space="preserve"> </v>
      </c>
    </row>
    <row r="302" spans="2:5" s="27" customFormat="1" ht="19.5" customHeight="1">
      <c r="B302" s="53">
        <v>46324</v>
      </c>
      <c r="C302">
        <f t="array" ref="C302">SUM(IF('Common line'!$C$4:$C$539=FPY!B302,'Common line'!$K$4:$L$539,""))</f>
        <v>0</v>
      </c>
      <c r="D302">
        <f>COUNTIFS('Common line'!$C$4:$C$539,FPY!B302,'Common line'!$M$4:$M$539,"&gt;0")</f>
        <v>0</v>
      </c>
      <c r="E302" s="148" t="str">
        <f t="shared" si="6"/>
        <v xml:space="preserve"> </v>
      </c>
    </row>
    <row r="303" spans="2:5" s="27" customFormat="1" ht="19.5" customHeight="1">
      <c r="B303" s="53">
        <v>46325</v>
      </c>
      <c r="C303">
        <f t="array" ref="C303">SUM(IF('Common line'!$C$4:$C$539=FPY!B303,'Common line'!$K$4:$L$539,""))</f>
        <v>0</v>
      </c>
      <c r="D303">
        <f>COUNTIFS('Common line'!$C$4:$C$539,FPY!B303,'Common line'!$M$4:$M$539,"&gt;0")</f>
        <v>0</v>
      </c>
      <c r="E303" s="148" t="str">
        <f t="shared" si="6"/>
        <v xml:space="preserve"> </v>
      </c>
    </row>
    <row r="304" spans="2:5" s="27" customFormat="1" ht="19.5" customHeight="1">
      <c r="B304" s="53">
        <v>46326</v>
      </c>
      <c r="C304">
        <f t="array" ref="C304">SUM(IF('Common line'!$C$4:$C$539=FPY!B304,'Common line'!$K$4:$L$539,""))</f>
        <v>0</v>
      </c>
      <c r="D304">
        <f>COUNTIFS('Common line'!$C$4:$C$539,FPY!B304,'Common line'!$M$4:$M$539,"&gt;0")</f>
        <v>0</v>
      </c>
      <c r="E304" s="148" t="str">
        <f t="shared" si="6"/>
        <v xml:space="preserve"> </v>
      </c>
    </row>
    <row r="305" spans="2:5" s="27" customFormat="1" ht="19.5" customHeight="1">
      <c r="B305" s="53">
        <v>46327</v>
      </c>
      <c r="C305">
        <f t="array" ref="C305">SUM(IF('Common line'!$C$4:$C$539=FPY!B305,'Common line'!$K$4:$L$539,""))</f>
        <v>0</v>
      </c>
      <c r="D305">
        <f>COUNTIFS('Common line'!$C$4:$C$539,FPY!B305,'Common line'!$M$4:$M$539,"&gt;0")</f>
        <v>0</v>
      </c>
      <c r="E305" s="148" t="str">
        <f t="shared" si="6"/>
        <v xml:space="preserve"> </v>
      </c>
    </row>
    <row r="306" spans="2:5" s="27" customFormat="1" ht="19.5" customHeight="1">
      <c r="B306" s="53">
        <v>46328</v>
      </c>
      <c r="C306">
        <f t="array" ref="C306">SUM(IF('Common line'!$C$4:$C$539=FPY!B306,'Common line'!$K$4:$L$539,""))</f>
        <v>0</v>
      </c>
      <c r="D306">
        <f>COUNTIFS('Common line'!$C$4:$C$539,FPY!B306,'Common line'!$M$4:$M$539,"&gt;0")</f>
        <v>0</v>
      </c>
      <c r="E306" s="148" t="str">
        <f t="shared" si="6"/>
        <v xml:space="preserve"> </v>
      </c>
    </row>
    <row r="307" spans="2:5" s="27" customFormat="1" ht="19.5" customHeight="1">
      <c r="B307" s="53">
        <v>46329</v>
      </c>
      <c r="C307">
        <f t="array" ref="C307">SUM(IF('Common line'!$C$4:$C$539=FPY!B307,'Common line'!$K$4:$L$539,""))</f>
        <v>0</v>
      </c>
      <c r="D307">
        <f>COUNTIFS('Common line'!$C$4:$C$539,FPY!B307,'Common line'!$M$4:$M$539,"&gt;0")</f>
        <v>0</v>
      </c>
      <c r="E307" s="148" t="str">
        <f t="shared" si="6"/>
        <v xml:space="preserve"> </v>
      </c>
    </row>
    <row r="308" spans="2:5" s="27" customFormat="1" ht="19.5" customHeight="1">
      <c r="B308" s="53">
        <v>46330</v>
      </c>
      <c r="C308">
        <f t="array" ref="C308">SUM(IF('Common line'!$C$4:$C$539=FPY!B308,'Common line'!$K$4:$L$539,""))</f>
        <v>0</v>
      </c>
      <c r="D308">
        <f>COUNTIFS('Common line'!$C$4:$C$539,FPY!B308,'Common line'!$M$4:$M$539,"&gt;0")</f>
        <v>0</v>
      </c>
      <c r="E308" s="148" t="str">
        <f t="shared" si="6"/>
        <v xml:space="preserve"> </v>
      </c>
    </row>
    <row r="309" spans="2:5" s="27" customFormat="1" ht="19.5" customHeight="1">
      <c r="B309" s="53">
        <v>46331</v>
      </c>
      <c r="C309">
        <f t="array" ref="C309">SUM(IF('Common line'!$C$4:$C$539=FPY!B309,'Common line'!$K$4:$L$539,""))</f>
        <v>0</v>
      </c>
      <c r="D309">
        <f>COUNTIFS('Common line'!$C$4:$C$539,FPY!B309,'Common line'!$M$4:$M$539,"&gt;0")</f>
        <v>0</v>
      </c>
      <c r="E309" s="148" t="str">
        <f t="shared" si="6"/>
        <v xml:space="preserve"> </v>
      </c>
    </row>
    <row r="310" spans="2:5" s="27" customFormat="1" ht="19.5" customHeight="1">
      <c r="B310" s="53">
        <v>46332</v>
      </c>
      <c r="C310">
        <f t="array" ref="C310">SUM(IF('Common line'!$C$4:$C$539=FPY!B310,'Common line'!$K$4:$L$539,""))</f>
        <v>0</v>
      </c>
      <c r="D310">
        <f>COUNTIFS('Common line'!$C$4:$C$539,FPY!B310,'Common line'!$M$4:$M$539,"&gt;0")</f>
        <v>0</v>
      </c>
      <c r="E310" s="148" t="str">
        <f t="shared" si="6"/>
        <v xml:space="preserve"> </v>
      </c>
    </row>
    <row r="311" spans="2:5" s="27" customFormat="1" ht="19.5" customHeight="1">
      <c r="B311" s="53">
        <v>46333</v>
      </c>
      <c r="C311">
        <f t="array" ref="C311">SUM(IF('Common line'!$C$4:$C$539=FPY!B311,'Common line'!$K$4:$L$539,""))</f>
        <v>0</v>
      </c>
      <c r="D311">
        <f>COUNTIFS('Common line'!$C$4:$C$539,FPY!B311,'Common line'!$M$4:$M$539,"&gt;0")</f>
        <v>0</v>
      </c>
      <c r="E311" s="148" t="str">
        <f t="shared" si="6"/>
        <v xml:space="preserve"> </v>
      </c>
    </row>
    <row r="312" spans="2:5" s="27" customFormat="1" ht="19.5" customHeight="1">
      <c r="B312" s="53">
        <v>46334</v>
      </c>
      <c r="C312">
        <f t="array" ref="C312">SUM(IF('Common line'!$C$4:$C$539=FPY!B312,'Common line'!$K$4:$L$539,""))</f>
        <v>0</v>
      </c>
      <c r="D312">
        <f>COUNTIFS('Common line'!$C$4:$C$539,FPY!B312,'Common line'!$M$4:$M$539,"&gt;0")</f>
        <v>0</v>
      </c>
      <c r="E312" s="148" t="str">
        <f t="shared" si="6"/>
        <v xml:space="preserve"> </v>
      </c>
    </row>
    <row r="313" spans="2:5" s="27" customFormat="1" ht="19.5" customHeight="1">
      <c r="B313" s="53">
        <v>46335</v>
      </c>
      <c r="C313">
        <f t="array" ref="C313">SUM(IF('Common line'!$C$4:$C$539=FPY!B313,'Common line'!$K$4:$L$539,""))</f>
        <v>0</v>
      </c>
      <c r="D313">
        <f>COUNTIFS('Common line'!$C$4:$C$539,FPY!B313,'Common line'!$M$4:$M$539,"&gt;0")</f>
        <v>0</v>
      </c>
      <c r="E313" s="148" t="str">
        <f t="shared" si="6"/>
        <v xml:space="preserve"> </v>
      </c>
    </row>
    <row r="314" spans="2:5" s="27" customFormat="1" ht="19.5" customHeight="1">
      <c r="B314" s="53">
        <v>46336</v>
      </c>
      <c r="C314">
        <f t="array" ref="C314">SUM(IF('Common line'!$C$4:$C$539=FPY!B314,'Common line'!$K$4:$L$539,""))</f>
        <v>0</v>
      </c>
      <c r="D314">
        <f>COUNTIFS('Common line'!$C$4:$C$539,FPY!B314,'Common line'!$M$4:$M$539,"&gt;0")</f>
        <v>0</v>
      </c>
      <c r="E314" s="148" t="str">
        <f t="shared" si="6"/>
        <v xml:space="preserve"> </v>
      </c>
    </row>
    <row r="315" spans="2:5" s="27" customFormat="1" ht="19.5" customHeight="1">
      <c r="B315" s="53">
        <v>46337</v>
      </c>
      <c r="C315">
        <f t="array" ref="C315">SUM(IF('Common line'!$C$4:$C$539=FPY!B315,'Common line'!$K$4:$L$539,""))</f>
        <v>0</v>
      </c>
      <c r="D315">
        <f>COUNTIFS('Common line'!$C$4:$C$539,FPY!B315,'Common line'!$M$4:$M$539,"&gt;0")</f>
        <v>0</v>
      </c>
      <c r="E315" s="148" t="str">
        <f t="shared" si="6"/>
        <v xml:space="preserve"> </v>
      </c>
    </row>
    <row r="316" spans="2:5" s="27" customFormat="1" ht="19.5" customHeight="1">
      <c r="B316" s="53">
        <v>46338</v>
      </c>
      <c r="C316">
        <f t="array" ref="C316">SUM(IF('Common line'!$C$4:$C$539=FPY!B316,'Common line'!$K$4:$L$539,""))</f>
        <v>0</v>
      </c>
      <c r="D316">
        <f>COUNTIFS('Common line'!$C$4:$C$539,FPY!B316,'Common line'!$M$4:$M$539,"&gt;0")</f>
        <v>0</v>
      </c>
      <c r="E316" s="148" t="str">
        <f t="shared" si="6"/>
        <v xml:space="preserve"> </v>
      </c>
    </row>
    <row r="317" spans="2:5" s="27" customFormat="1" ht="19.5" customHeight="1">
      <c r="B317" s="53">
        <v>46339</v>
      </c>
      <c r="C317">
        <f t="array" ref="C317">SUM(IF('Common line'!$C$4:$C$539=FPY!B317,'Common line'!$K$4:$L$539,""))</f>
        <v>0</v>
      </c>
      <c r="D317">
        <f>COUNTIFS('Common line'!$C$4:$C$539,FPY!B317,'Common line'!$M$4:$M$539,"&gt;0")</f>
        <v>0</v>
      </c>
      <c r="E317" s="148" t="str">
        <f t="shared" si="6"/>
        <v xml:space="preserve"> </v>
      </c>
    </row>
    <row r="318" spans="2:5" s="27" customFormat="1" ht="19.5" customHeight="1">
      <c r="B318" s="53">
        <v>46340</v>
      </c>
      <c r="C318">
        <f t="array" ref="C318">SUM(IF('Common line'!$C$4:$C$539=FPY!B318,'Common line'!$K$4:$L$539,""))</f>
        <v>0</v>
      </c>
      <c r="D318">
        <f>COUNTIFS('Common line'!$C$4:$C$539,FPY!B318,'Common line'!$M$4:$M$539,"&gt;0")</f>
        <v>0</v>
      </c>
      <c r="E318" s="148" t="str">
        <f t="shared" si="6"/>
        <v xml:space="preserve"> </v>
      </c>
    </row>
    <row r="319" spans="2:5" s="27" customFormat="1" ht="19.5" customHeight="1">
      <c r="B319" s="53">
        <v>46341</v>
      </c>
      <c r="C319">
        <f t="array" ref="C319">SUM(IF('Common line'!$C$4:$C$539=FPY!B319,'Common line'!$K$4:$L$539,""))</f>
        <v>0</v>
      </c>
      <c r="D319">
        <f>COUNTIFS('Common line'!$C$4:$C$539,FPY!B319,'Common line'!$M$4:$M$539,"&gt;0")</f>
        <v>0</v>
      </c>
      <c r="E319" s="148" t="str">
        <f t="shared" si="6"/>
        <v xml:space="preserve"> </v>
      </c>
    </row>
    <row r="320" spans="2:5" s="27" customFormat="1" ht="19.5" customHeight="1">
      <c r="B320" s="53">
        <v>46342</v>
      </c>
      <c r="C320">
        <f t="array" ref="C320">SUM(IF('Common line'!$C$4:$C$539=FPY!B320,'Common line'!$K$4:$L$539,""))</f>
        <v>0</v>
      </c>
      <c r="D320">
        <f>COUNTIFS('Common line'!$C$4:$C$539,FPY!B320,'Common line'!$M$4:$M$539,"&gt;0")</f>
        <v>0</v>
      </c>
      <c r="E320" s="148" t="str">
        <f t="shared" si="6"/>
        <v xml:space="preserve"> </v>
      </c>
    </row>
    <row r="321" spans="2:5" s="27" customFormat="1" ht="19.5" customHeight="1">
      <c r="B321" s="53">
        <v>46343</v>
      </c>
      <c r="C321">
        <f t="array" ref="C321">SUM(IF('Common line'!$C$4:$C$539=FPY!B321,'Common line'!$K$4:$L$539,""))</f>
        <v>0</v>
      </c>
      <c r="D321">
        <f>COUNTIFS('Common line'!$C$4:$C$539,FPY!B321,'Common line'!$M$4:$M$539,"&gt;0")</f>
        <v>0</v>
      </c>
      <c r="E321" s="148" t="str">
        <f t="shared" si="6"/>
        <v xml:space="preserve"> </v>
      </c>
    </row>
    <row r="322" spans="2:5" s="27" customFormat="1" ht="19.5" customHeight="1">
      <c r="B322" s="53">
        <v>46344</v>
      </c>
      <c r="C322">
        <f t="array" ref="C322">SUM(IF('Common line'!$C$4:$C$539=FPY!B322,'Common line'!$K$4:$L$539,""))</f>
        <v>0</v>
      </c>
      <c r="D322">
        <f>COUNTIFS('Common line'!$C$4:$C$539,FPY!B322,'Common line'!$M$4:$M$539,"&gt;0")</f>
        <v>0</v>
      </c>
      <c r="E322" s="148" t="str">
        <f t="shared" si="6"/>
        <v xml:space="preserve"> </v>
      </c>
    </row>
    <row r="323" spans="2:5" s="27" customFormat="1" ht="19.5" customHeight="1">
      <c r="B323" s="53">
        <v>46345</v>
      </c>
      <c r="C323">
        <f t="array" ref="C323">SUM(IF('Common line'!$C$4:$C$539=FPY!B323,'Common line'!$K$4:$L$539,""))</f>
        <v>0</v>
      </c>
      <c r="D323">
        <f>COUNTIFS('Common line'!$C$4:$C$539,FPY!B323,'Common line'!$M$4:$M$539,"&gt;0")</f>
        <v>0</v>
      </c>
      <c r="E323" s="148" t="str">
        <f t="shared" ref="E323:E365" si="7">IF(C323=0," ",(C323-D323)/C323)</f>
        <v xml:space="preserve"> </v>
      </c>
    </row>
    <row r="324" spans="2:5" s="27" customFormat="1" ht="19.5" customHeight="1">
      <c r="B324" s="53">
        <v>46346</v>
      </c>
      <c r="C324">
        <f t="array" ref="C324">SUM(IF('Common line'!$C$4:$C$539=FPY!B324,'Common line'!$K$4:$L$539,""))</f>
        <v>0</v>
      </c>
      <c r="D324">
        <f>COUNTIFS('Common line'!$C$4:$C$539,FPY!B324,'Common line'!$M$4:$M$539,"&gt;0")</f>
        <v>0</v>
      </c>
      <c r="E324" s="148" t="str">
        <f t="shared" si="7"/>
        <v xml:space="preserve"> </v>
      </c>
    </row>
    <row r="325" spans="2:5" s="27" customFormat="1" ht="19.5" customHeight="1">
      <c r="B325" s="53">
        <v>46347</v>
      </c>
      <c r="C325">
        <f t="array" ref="C325">SUM(IF('Common line'!$C$4:$C$539=FPY!B325,'Common line'!$K$4:$L$539,""))</f>
        <v>0</v>
      </c>
      <c r="D325">
        <f>COUNTIFS('Common line'!$C$4:$C$539,FPY!B325,'Common line'!$M$4:$M$539,"&gt;0")</f>
        <v>0</v>
      </c>
      <c r="E325" s="148" t="str">
        <f t="shared" si="7"/>
        <v xml:space="preserve"> </v>
      </c>
    </row>
    <row r="326" spans="2:5" s="27" customFormat="1" ht="19.5" customHeight="1">
      <c r="B326" s="53">
        <v>46348</v>
      </c>
      <c r="C326">
        <f t="array" ref="C326">SUM(IF('Common line'!$C$4:$C$539=FPY!B326,'Common line'!$K$4:$L$539,""))</f>
        <v>0</v>
      </c>
      <c r="D326">
        <f>COUNTIFS('Common line'!$C$4:$C$539,FPY!B326,'Common line'!$M$4:$M$539,"&gt;0")</f>
        <v>0</v>
      </c>
      <c r="E326" s="148" t="str">
        <f t="shared" si="7"/>
        <v xml:space="preserve"> </v>
      </c>
    </row>
    <row r="327" spans="2:5" s="27" customFormat="1" ht="19.5" customHeight="1">
      <c r="B327" s="53">
        <v>46349</v>
      </c>
      <c r="C327">
        <f t="array" ref="C327">SUM(IF('Common line'!$C$4:$C$539=FPY!B327,'Common line'!$K$4:$L$539,""))</f>
        <v>0</v>
      </c>
      <c r="D327">
        <f>COUNTIFS('Common line'!$C$4:$C$539,FPY!B327,'Common line'!$M$4:$M$539,"&gt;0")</f>
        <v>0</v>
      </c>
      <c r="E327" s="148" t="str">
        <f t="shared" si="7"/>
        <v xml:space="preserve"> </v>
      </c>
    </row>
    <row r="328" spans="2:5" s="27" customFormat="1" ht="19.5" customHeight="1">
      <c r="B328" s="53">
        <v>46350</v>
      </c>
      <c r="C328">
        <f t="array" ref="C328">SUM(IF('Common line'!$C$4:$C$539=FPY!B328,'Common line'!$K$4:$L$539,""))</f>
        <v>0</v>
      </c>
      <c r="D328">
        <f>COUNTIFS('Common line'!$C$4:$C$539,FPY!B328,'Common line'!$M$4:$M$539,"&gt;0")</f>
        <v>0</v>
      </c>
      <c r="E328" s="148" t="str">
        <f t="shared" si="7"/>
        <v xml:space="preserve"> </v>
      </c>
    </row>
    <row r="329" spans="2:5" s="27" customFormat="1" ht="19.5" customHeight="1">
      <c r="B329" s="53">
        <v>46351</v>
      </c>
      <c r="C329">
        <f t="array" ref="C329">SUM(IF('Common line'!$C$4:$C$539=FPY!B329,'Common line'!$K$4:$L$539,""))</f>
        <v>0</v>
      </c>
      <c r="D329">
        <f>COUNTIFS('Common line'!$C$4:$C$539,FPY!B329,'Common line'!$M$4:$M$539,"&gt;0")</f>
        <v>0</v>
      </c>
      <c r="E329" s="148" t="str">
        <f t="shared" si="7"/>
        <v xml:space="preserve"> </v>
      </c>
    </row>
    <row r="330" spans="2:5" s="27" customFormat="1" ht="19.5" customHeight="1">
      <c r="B330" s="53">
        <v>46352</v>
      </c>
      <c r="C330">
        <f t="array" ref="C330">SUM(IF('Common line'!$C$4:$C$539=FPY!B330,'Common line'!$K$4:$L$539,""))</f>
        <v>0</v>
      </c>
      <c r="D330">
        <f>COUNTIFS('Common line'!$C$4:$C$539,FPY!B330,'Common line'!$M$4:$M$539,"&gt;0")</f>
        <v>0</v>
      </c>
      <c r="E330" s="148" t="str">
        <f t="shared" si="7"/>
        <v xml:space="preserve"> </v>
      </c>
    </row>
    <row r="331" spans="2:5" s="27" customFormat="1" ht="19.5" customHeight="1">
      <c r="B331" s="53">
        <v>46353</v>
      </c>
      <c r="C331">
        <f t="array" ref="C331">SUM(IF('Common line'!$C$4:$C$539=FPY!B331,'Common line'!$K$4:$L$539,""))</f>
        <v>0</v>
      </c>
      <c r="D331">
        <f>COUNTIFS('Common line'!$C$4:$C$539,FPY!B331,'Common line'!$M$4:$M$539,"&gt;0")</f>
        <v>0</v>
      </c>
      <c r="E331" s="148" t="str">
        <f t="shared" si="7"/>
        <v xml:space="preserve"> </v>
      </c>
    </row>
    <row r="332" spans="2:5" s="27" customFormat="1" ht="19.5" customHeight="1">
      <c r="B332" s="53">
        <v>46354</v>
      </c>
      <c r="C332">
        <f t="array" ref="C332">SUM(IF('Common line'!$C$4:$C$539=FPY!B332,'Common line'!$K$4:$L$539,""))</f>
        <v>0</v>
      </c>
      <c r="D332">
        <f>COUNTIFS('Common line'!$C$4:$C$539,FPY!B332,'Common line'!$M$4:$M$539,"&gt;0")</f>
        <v>0</v>
      </c>
      <c r="E332" s="148" t="str">
        <f t="shared" si="7"/>
        <v xml:space="preserve"> </v>
      </c>
    </row>
    <row r="333" spans="2:5" s="27" customFormat="1" ht="19.5" customHeight="1">
      <c r="B333" s="53">
        <v>46355</v>
      </c>
      <c r="C333">
        <f t="array" ref="C333">SUM(IF('Common line'!$C$4:$C$539=FPY!B333,'Common line'!$K$4:$L$539,""))</f>
        <v>0</v>
      </c>
      <c r="D333">
        <f>COUNTIFS('Common line'!$C$4:$C$539,FPY!B333,'Common line'!$M$4:$M$539,"&gt;0")</f>
        <v>0</v>
      </c>
      <c r="E333" s="148" t="str">
        <f t="shared" si="7"/>
        <v xml:space="preserve"> </v>
      </c>
    </row>
    <row r="334" spans="2:5" s="27" customFormat="1" ht="19.5" customHeight="1">
      <c r="B334" s="53">
        <v>46356</v>
      </c>
      <c r="C334">
        <f t="array" ref="C334">SUM(IF('Common line'!$C$4:$C$539=FPY!B334,'Common line'!$K$4:$L$539,""))</f>
        <v>0</v>
      </c>
      <c r="D334">
        <f>COUNTIFS('Common line'!$C$4:$C$539,FPY!B334,'Common line'!$M$4:$M$539,"&gt;0")</f>
        <v>0</v>
      </c>
      <c r="E334" s="148" t="str">
        <f t="shared" si="7"/>
        <v xml:space="preserve"> </v>
      </c>
    </row>
    <row r="335" spans="2:5" s="27" customFormat="1" ht="19.5" customHeight="1">
      <c r="B335" s="53">
        <v>46357</v>
      </c>
      <c r="C335">
        <f t="array" ref="C335">SUM(IF('Common line'!$C$4:$C$539=FPY!B335,'Common line'!$K$4:$L$539,""))</f>
        <v>0</v>
      </c>
      <c r="D335">
        <f>COUNTIFS('Common line'!$C$4:$C$539,FPY!B335,'Common line'!$M$4:$M$539,"&gt;0")</f>
        <v>0</v>
      </c>
      <c r="E335" s="148" t="str">
        <f t="shared" si="7"/>
        <v xml:space="preserve"> </v>
      </c>
    </row>
    <row r="336" spans="2:5" s="27" customFormat="1" ht="19.5" customHeight="1">
      <c r="B336" s="53">
        <v>46358</v>
      </c>
      <c r="C336">
        <f t="array" ref="C336">SUM(IF('Common line'!$C$4:$C$539=FPY!B336,'Common line'!$K$4:$L$539,""))</f>
        <v>0</v>
      </c>
      <c r="D336">
        <f>COUNTIFS('Common line'!$C$4:$C$539,FPY!B336,'Common line'!$M$4:$M$539,"&gt;0")</f>
        <v>0</v>
      </c>
      <c r="E336" s="148" t="str">
        <f t="shared" si="7"/>
        <v xml:space="preserve"> </v>
      </c>
    </row>
    <row r="337" spans="2:5" s="27" customFormat="1" ht="19.5" customHeight="1">
      <c r="B337" s="53">
        <v>46359</v>
      </c>
      <c r="C337">
        <f t="array" ref="C337">SUM(IF('Common line'!$C$4:$C$539=FPY!B337,'Common line'!$K$4:$L$539,""))</f>
        <v>0</v>
      </c>
      <c r="D337">
        <f>COUNTIFS('Common line'!$C$4:$C$539,FPY!B337,'Common line'!$M$4:$M$539,"&gt;0")</f>
        <v>0</v>
      </c>
      <c r="E337" s="148" t="str">
        <f t="shared" si="7"/>
        <v xml:space="preserve"> </v>
      </c>
    </row>
    <row r="338" spans="2:5" s="27" customFormat="1" ht="19.5" customHeight="1">
      <c r="B338" s="53">
        <v>46360</v>
      </c>
      <c r="C338">
        <f t="array" ref="C338">SUM(IF('Common line'!$C$4:$C$539=FPY!B338,'Common line'!$K$4:$L$539,""))</f>
        <v>0</v>
      </c>
      <c r="D338">
        <f>COUNTIFS('Common line'!$C$4:$C$539,FPY!B338,'Common line'!$M$4:$M$539,"&gt;0")</f>
        <v>0</v>
      </c>
      <c r="E338" s="148" t="str">
        <f t="shared" si="7"/>
        <v xml:space="preserve"> </v>
      </c>
    </row>
    <row r="339" spans="2:5" s="27" customFormat="1" ht="19.5" customHeight="1">
      <c r="B339" s="53">
        <v>46361</v>
      </c>
      <c r="C339">
        <f t="array" ref="C339">SUM(IF('Common line'!$C$4:$C$539=FPY!B339,'Common line'!$K$4:$L$539,""))</f>
        <v>0</v>
      </c>
      <c r="D339">
        <f>COUNTIFS('Common line'!$C$4:$C$539,FPY!B339,'Common line'!$M$4:$M$539,"&gt;0")</f>
        <v>0</v>
      </c>
      <c r="E339" s="148" t="str">
        <f t="shared" si="7"/>
        <v xml:space="preserve"> </v>
      </c>
    </row>
    <row r="340" spans="2:5" s="27" customFormat="1" ht="19.5" customHeight="1">
      <c r="B340" s="53">
        <v>46362</v>
      </c>
      <c r="C340">
        <f t="array" ref="C340">SUM(IF('Common line'!$C$4:$C$539=FPY!B340,'Common line'!$K$4:$L$539,""))</f>
        <v>0</v>
      </c>
      <c r="D340">
        <f>COUNTIFS('Common line'!$C$4:$C$539,FPY!B340,'Common line'!$M$4:$M$539,"&gt;0")</f>
        <v>0</v>
      </c>
      <c r="E340" s="148" t="str">
        <f t="shared" si="7"/>
        <v xml:space="preserve"> </v>
      </c>
    </row>
    <row r="341" spans="2:5" s="27" customFormat="1" ht="19.5" customHeight="1">
      <c r="B341" s="53">
        <v>46363</v>
      </c>
      <c r="C341">
        <f t="array" ref="C341">SUM(IF('Common line'!$C$4:$C$539=FPY!B341,'Common line'!$K$4:$L$539,""))</f>
        <v>0</v>
      </c>
      <c r="D341">
        <f>COUNTIFS('Common line'!$C$4:$C$539,FPY!B341,'Common line'!$M$4:$M$539,"&gt;0")</f>
        <v>0</v>
      </c>
      <c r="E341" s="148" t="str">
        <f t="shared" si="7"/>
        <v xml:space="preserve"> </v>
      </c>
    </row>
    <row r="342" spans="2:5" s="27" customFormat="1" ht="19.5" customHeight="1">
      <c r="B342" s="53">
        <v>46364</v>
      </c>
      <c r="C342">
        <f t="array" ref="C342">SUM(IF('Common line'!$C$4:$C$539=FPY!B342,'Common line'!$K$4:$L$539,""))</f>
        <v>0</v>
      </c>
      <c r="D342">
        <f>COUNTIFS('Common line'!$C$4:$C$539,FPY!B342,'Common line'!$M$4:$M$539,"&gt;0")</f>
        <v>0</v>
      </c>
      <c r="E342" s="148" t="str">
        <f t="shared" si="7"/>
        <v xml:space="preserve"> </v>
      </c>
    </row>
    <row r="343" spans="2:5" s="27" customFormat="1" ht="19.5" customHeight="1">
      <c r="B343" s="53">
        <v>46365</v>
      </c>
      <c r="C343">
        <f t="array" ref="C343">SUM(IF('Common line'!$C$4:$C$539=FPY!B343,'Common line'!$K$4:$L$539,""))</f>
        <v>0</v>
      </c>
      <c r="D343">
        <f>COUNTIFS('Common line'!$C$4:$C$539,FPY!B343,'Common line'!$M$4:$M$539,"&gt;0")</f>
        <v>0</v>
      </c>
      <c r="E343" s="148" t="str">
        <f t="shared" si="7"/>
        <v xml:space="preserve"> </v>
      </c>
    </row>
    <row r="344" spans="2:5" s="27" customFormat="1" ht="19.5" customHeight="1">
      <c r="B344" s="53">
        <v>46366</v>
      </c>
      <c r="C344">
        <f t="array" ref="C344">SUM(IF('Common line'!$C$4:$C$539=FPY!B344,'Common line'!$K$4:$L$539,""))</f>
        <v>0</v>
      </c>
      <c r="D344">
        <f>COUNTIFS('Common line'!$C$4:$C$539,FPY!B344,'Common line'!$M$4:$M$539,"&gt;0")</f>
        <v>0</v>
      </c>
      <c r="E344" s="148" t="str">
        <f t="shared" si="7"/>
        <v xml:space="preserve"> </v>
      </c>
    </row>
    <row r="345" spans="2:5" s="27" customFormat="1" ht="19.5" customHeight="1">
      <c r="B345" s="53">
        <v>46367</v>
      </c>
      <c r="C345">
        <f t="array" ref="C345">SUM(IF('Common line'!$C$4:$C$539=FPY!B345,'Common line'!$K$4:$L$539,""))</f>
        <v>0</v>
      </c>
      <c r="D345">
        <f>COUNTIFS('Common line'!$C$4:$C$539,FPY!B345,'Common line'!$M$4:$M$539,"&gt;0")</f>
        <v>0</v>
      </c>
      <c r="E345" s="148" t="str">
        <f t="shared" si="7"/>
        <v xml:space="preserve"> </v>
      </c>
    </row>
    <row r="346" spans="2:5" s="27" customFormat="1" ht="19.5" customHeight="1">
      <c r="B346" s="53">
        <v>46368</v>
      </c>
      <c r="C346">
        <f t="array" ref="C346">SUM(IF('Common line'!$C$4:$C$539=FPY!B346,'Common line'!$K$4:$L$539,""))</f>
        <v>0</v>
      </c>
      <c r="D346">
        <f>COUNTIFS('Common line'!$C$4:$C$539,FPY!B346,'Common line'!$M$4:$M$539,"&gt;0")</f>
        <v>0</v>
      </c>
      <c r="E346" s="148" t="str">
        <f t="shared" si="7"/>
        <v xml:space="preserve"> </v>
      </c>
    </row>
    <row r="347" spans="2:5" s="27" customFormat="1" ht="19.5" customHeight="1">
      <c r="B347" s="53">
        <v>46369</v>
      </c>
      <c r="C347">
        <f t="array" ref="C347">SUM(IF('Common line'!$C$4:$C$539=FPY!B347,'Common line'!$K$4:$L$539,""))</f>
        <v>0</v>
      </c>
      <c r="D347">
        <f>COUNTIFS('Common line'!$C$4:$C$539,FPY!B347,'Common line'!$M$4:$M$539,"&gt;0")</f>
        <v>0</v>
      </c>
      <c r="E347" s="148" t="str">
        <f t="shared" si="7"/>
        <v xml:space="preserve"> </v>
      </c>
    </row>
    <row r="348" spans="2:5" s="27" customFormat="1" ht="19.5" customHeight="1">
      <c r="B348" s="53">
        <v>46370</v>
      </c>
      <c r="C348">
        <f t="array" ref="C348">SUM(IF('Common line'!$C$4:$C$539=FPY!B348,'Common line'!$K$4:$L$539,""))</f>
        <v>0</v>
      </c>
      <c r="D348">
        <f>COUNTIFS('Common line'!$C$4:$C$539,FPY!B348,'Common line'!$M$4:$M$539,"&gt;0")</f>
        <v>0</v>
      </c>
      <c r="E348" s="148" t="str">
        <f t="shared" si="7"/>
        <v xml:space="preserve"> </v>
      </c>
    </row>
    <row r="349" spans="2:5" s="27" customFormat="1" ht="19.5" customHeight="1">
      <c r="B349" s="53">
        <v>46371</v>
      </c>
      <c r="C349">
        <f t="array" ref="C349">SUM(IF('Common line'!$C$4:$C$539=FPY!B349,'Common line'!$K$4:$L$539,""))</f>
        <v>0</v>
      </c>
      <c r="D349">
        <f>COUNTIFS('Common line'!$C$4:$C$539,FPY!B349,'Common line'!$M$4:$M$539,"&gt;0")</f>
        <v>0</v>
      </c>
      <c r="E349" s="148" t="str">
        <f t="shared" si="7"/>
        <v xml:space="preserve"> </v>
      </c>
    </row>
    <row r="350" spans="2:5" s="27" customFormat="1" ht="19.5" customHeight="1">
      <c r="B350" s="53">
        <v>46372</v>
      </c>
      <c r="C350">
        <f t="array" ref="C350">SUM(IF('Common line'!$C$4:$C$539=FPY!B350,'Common line'!$K$4:$L$539,""))</f>
        <v>0</v>
      </c>
      <c r="D350">
        <f>COUNTIFS('Common line'!$C$4:$C$539,FPY!B350,'Common line'!$M$4:$M$539,"&gt;0")</f>
        <v>0</v>
      </c>
      <c r="E350" s="148" t="str">
        <f t="shared" si="7"/>
        <v xml:space="preserve"> </v>
      </c>
    </row>
    <row r="351" spans="2:5" s="27" customFormat="1" ht="19.5" customHeight="1">
      <c r="B351" s="53">
        <v>46373</v>
      </c>
      <c r="C351">
        <f t="array" ref="C351">SUM(IF('Common line'!$C$4:$C$539=FPY!B351,'Common line'!$K$4:$L$539,""))</f>
        <v>0</v>
      </c>
      <c r="D351">
        <f>COUNTIFS('Common line'!$C$4:$C$539,FPY!B351,'Common line'!$M$4:$M$539,"&gt;0")</f>
        <v>0</v>
      </c>
      <c r="E351" s="148" t="str">
        <f t="shared" si="7"/>
        <v xml:space="preserve"> </v>
      </c>
    </row>
    <row r="352" spans="2:5" s="27" customFormat="1" ht="19.5" customHeight="1">
      <c r="B352" s="53">
        <v>46374</v>
      </c>
      <c r="C352">
        <f t="array" ref="C352">SUM(IF('Common line'!$C$4:$C$539=FPY!B352,'Common line'!$K$4:$L$539,""))</f>
        <v>0</v>
      </c>
      <c r="D352">
        <f>COUNTIFS('Common line'!$C$4:$C$539,FPY!B352,'Common line'!$M$4:$M$539,"&gt;0")</f>
        <v>0</v>
      </c>
      <c r="E352" s="148" t="str">
        <f t="shared" si="7"/>
        <v xml:space="preserve"> </v>
      </c>
    </row>
    <row r="353" spans="2:5" s="27" customFormat="1" ht="19.5" customHeight="1">
      <c r="B353" s="53">
        <v>46375</v>
      </c>
      <c r="C353">
        <f t="array" ref="C353">SUM(IF('Common line'!$C$4:$C$539=FPY!B353,'Common line'!$K$4:$L$539,""))</f>
        <v>0</v>
      </c>
      <c r="D353">
        <f>COUNTIFS('Common line'!$C$4:$C$539,FPY!B353,'Common line'!$M$4:$M$539,"&gt;0")</f>
        <v>0</v>
      </c>
      <c r="E353" s="148" t="str">
        <f t="shared" si="7"/>
        <v xml:space="preserve"> </v>
      </c>
    </row>
    <row r="354" spans="2:5" s="27" customFormat="1" ht="19.5" customHeight="1">
      <c r="B354" s="53">
        <v>46376</v>
      </c>
      <c r="C354">
        <f t="array" ref="C354">SUM(IF('Common line'!$C$4:$C$539=FPY!B354,'Common line'!$K$4:$L$539,""))</f>
        <v>0</v>
      </c>
      <c r="D354">
        <f>COUNTIFS('Common line'!$C$4:$C$539,FPY!B354,'Common line'!$M$4:$M$539,"&gt;0")</f>
        <v>0</v>
      </c>
      <c r="E354" s="148" t="str">
        <f t="shared" si="7"/>
        <v xml:space="preserve"> </v>
      </c>
    </row>
    <row r="355" spans="2:5" s="27" customFormat="1" ht="19.5" customHeight="1">
      <c r="B355" s="53">
        <v>46377</v>
      </c>
      <c r="C355">
        <f t="array" ref="C355">SUM(IF('Common line'!$C$4:$C$539=FPY!B355,'Common line'!$K$4:$L$539,""))</f>
        <v>0</v>
      </c>
      <c r="D355">
        <f>COUNTIFS('Common line'!$C$4:$C$539,FPY!B355,'Common line'!$M$4:$M$539,"&gt;0")</f>
        <v>0</v>
      </c>
      <c r="E355" s="148" t="str">
        <f t="shared" si="7"/>
        <v xml:space="preserve"> </v>
      </c>
    </row>
    <row r="356" spans="2:5" s="27" customFormat="1" ht="19.5" customHeight="1">
      <c r="B356" s="53">
        <v>46378</v>
      </c>
      <c r="C356">
        <f t="array" ref="C356">SUM(IF('Common line'!$C$4:$C$539=FPY!B356,'Common line'!$K$4:$L$539,""))</f>
        <v>0</v>
      </c>
      <c r="D356">
        <f>COUNTIFS('Common line'!$C$4:$C$539,FPY!B356,'Common line'!$M$4:$M$539,"&gt;0")</f>
        <v>0</v>
      </c>
      <c r="E356" s="148" t="str">
        <f t="shared" si="7"/>
        <v xml:space="preserve"> </v>
      </c>
    </row>
    <row r="357" spans="2:5" s="27" customFormat="1" ht="19.5" customHeight="1">
      <c r="B357" s="53">
        <v>46379</v>
      </c>
      <c r="C357">
        <f t="array" ref="C357">SUM(IF('Common line'!$C$4:$C$539=FPY!B357,'Common line'!$K$4:$L$539,""))</f>
        <v>0</v>
      </c>
      <c r="D357">
        <f>COUNTIFS('Common line'!$C$4:$C$539,FPY!B357,'Common line'!$M$4:$M$539,"&gt;0")</f>
        <v>0</v>
      </c>
      <c r="E357" s="148" t="str">
        <f t="shared" si="7"/>
        <v xml:space="preserve"> </v>
      </c>
    </row>
    <row r="358" spans="2:5" s="27" customFormat="1" ht="19.5" customHeight="1">
      <c r="B358" s="53">
        <v>46380</v>
      </c>
      <c r="C358">
        <f t="array" ref="C358">SUM(IF('Common line'!$C$4:$C$539=FPY!B358,'Common line'!$K$4:$L$539,""))</f>
        <v>0</v>
      </c>
      <c r="D358">
        <f>COUNTIFS('Common line'!$C$4:$C$539,FPY!B358,'Common line'!$M$4:$M$539,"&gt;0")</f>
        <v>0</v>
      </c>
      <c r="E358" s="148" t="str">
        <f t="shared" si="7"/>
        <v xml:space="preserve"> </v>
      </c>
    </row>
    <row r="359" spans="2:5" s="27" customFormat="1" ht="19.5" customHeight="1">
      <c r="B359" s="53">
        <v>46381</v>
      </c>
      <c r="C359">
        <f t="array" ref="C359">SUM(IF('Common line'!$C$4:$C$539=FPY!B359,'Common line'!$K$4:$L$539,""))</f>
        <v>0</v>
      </c>
      <c r="D359">
        <f>COUNTIFS('Common line'!$C$4:$C$539,FPY!B359,'Common line'!$M$4:$M$539,"&gt;0")</f>
        <v>0</v>
      </c>
      <c r="E359" s="148" t="str">
        <f t="shared" si="7"/>
        <v xml:space="preserve"> </v>
      </c>
    </row>
    <row r="360" spans="2:5" s="27" customFormat="1" ht="19.5" customHeight="1">
      <c r="B360" s="53">
        <v>46382</v>
      </c>
      <c r="C360">
        <f t="array" ref="C360">SUM(IF('Common line'!$C$4:$C$539=FPY!B360,'Common line'!$K$4:$L$539,""))</f>
        <v>0</v>
      </c>
      <c r="D360">
        <f>COUNTIFS('Common line'!$C$4:$C$539,FPY!B360,'Common line'!$M$4:$M$539,"&gt;0")</f>
        <v>0</v>
      </c>
      <c r="E360" s="148" t="str">
        <f t="shared" si="7"/>
        <v xml:space="preserve"> </v>
      </c>
    </row>
    <row r="361" spans="2:5" s="27" customFormat="1" ht="19.5" customHeight="1">
      <c r="B361" s="53">
        <v>46383</v>
      </c>
      <c r="C361">
        <f t="array" ref="C361">SUM(IF('Common line'!$C$4:$C$539=FPY!B361,'Common line'!$K$4:$L$539,""))</f>
        <v>0</v>
      </c>
      <c r="D361">
        <f>COUNTIFS('Common line'!$C$4:$C$539,FPY!B361,'Common line'!$M$4:$M$539,"&gt;0")</f>
        <v>0</v>
      </c>
      <c r="E361" s="148" t="str">
        <f t="shared" si="7"/>
        <v xml:space="preserve"> </v>
      </c>
    </row>
    <row r="362" spans="2:5" s="27" customFormat="1" ht="19.5" customHeight="1">
      <c r="B362" s="53">
        <v>46384</v>
      </c>
      <c r="C362">
        <f t="array" ref="C362">SUM(IF('Common line'!$C$4:$C$539=FPY!B362,'Common line'!$K$4:$L$539,""))</f>
        <v>0</v>
      </c>
      <c r="D362">
        <f>COUNTIFS('Common line'!$C$4:$C$539,FPY!B362,'Common line'!$M$4:$M$539,"&gt;0")</f>
        <v>0</v>
      </c>
      <c r="E362" s="148" t="str">
        <f t="shared" si="7"/>
        <v xml:space="preserve"> </v>
      </c>
    </row>
    <row r="363" spans="2:5" s="27" customFormat="1" ht="19.5" customHeight="1">
      <c r="B363" s="53">
        <v>46385</v>
      </c>
      <c r="C363">
        <f t="array" ref="C363">SUM(IF('Common line'!$C$4:$C$539=FPY!B363,'Common line'!$K$4:$L$539,""))</f>
        <v>0</v>
      </c>
      <c r="D363">
        <f>COUNTIFS('Common line'!$C$4:$C$539,FPY!B363,'Common line'!$M$4:$M$539,"&gt;0")</f>
        <v>0</v>
      </c>
      <c r="E363" s="148" t="str">
        <f t="shared" si="7"/>
        <v xml:space="preserve"> </v>
      </c>
    </row>
    <row r="364" spans="2:5" s="27" customFormat="1" ht="19.5" customHeight="1">
      <c r="B364" s="53">
        <v>46386</v>
      </c>
      <c r="C364">
        <f t="array" ref="C364">SUM(IF('Common line'!$C$4:$C$539=FPY!B364,'Common line'!$K$4:$L$539,""))</f>
        <v>0</v>
      </c>
      <c r="D364">
        <f>COUNTIFS('Common line'!$C$4:$C$539,FPY!B364,'Common line'!$M$4:$M$539,"&gt;0")</f>
        <v>0</v>
      </c>
      <c r="E364" s="148" t="str">
        <f t="shared" si="7"/>
        <v xml:space="preserve"> </v>
      </c>
    </row>
    <row r="365" spans="2:5" s="27" customFormat="1" ht="19.5" customHeight="1">
      <c r="B365" s="53">
        <v>46387</v>
      </c>
      <c r="C365">
        <f t="array" ref="C365">SUM(IF('Common line'!$C$4:$C$539=FPY!B365,'Common line'!$K$4:$L$539,""))</f>
        <v>0</v>
      </c>
      <c r="D365">
        <f>COUNTIFS('Common line'!$C$4:$C$539,FPY!B365,'Common line'!$M$4:$M$539,"&gt;0")</f>
        <v>0</v>
      </c>
      <c r="E365" s="148" t="str">
        <f t="shared" si="7"/>
        <v xml:space="preserve"> </v>
      </c>
    </row>
    <row r="366" spans="2:5" s="27" customFormat="1" ht="19.5" customHeight="1">
      <c r="B366" s="53"/>
    </row>
    <row r="367" spans="2:5" s="27" customFormat="1" ht="19.5" customHeight="1">
      <c r="B367" s="53"/>
    </row>
    <row r="368" spans="2:5" s="27" customFormat="1" ht="19.5" customHeight="1">
      <c r="B368" s="53"/>
    </row>
    <row r="369" spans="2:2" s="27" customFormat="1" ht="19.5" customHeight="1">
      <c r="B369" s="53"/>
    </row>
    <row r="370" spans="2:2" s="27" customFormat="1" ht="19.5" customHeight="1">
      <c r="B370" s="53"/>
    </row>
    <row r="371" spans="2:2" s="27" customFormat="1" ht="19.5" customHeight="1">
      <c r="B371" s="53"/>
    </row>
    <row r="372" spans="2:2" s="27" customFormat="1" ht="19.5" customHeight="1">
      <c r="B372" s="53"/>
    </row>
    <row r="373" spans="2:2" s="27" customFormat="1" ht="19.5" customHeight="1">
      <c r="B373" s="53"/>
    </row>
    <row r="374" spans="2:2" s="27" customFormat="1" ht="19.5" customHeight="1">
      <c r="B374" s="53"/>
    </row>
    <row r="375" spans="2:2" s="27" customFormat="1" ht="19.5" customHeight="1">
      <c r="B375" s="53"/>
    </row>
    <row r="376" spans="2:2" s="27" customFormat="1" ht="19.5" customHeight="1">
      <c r="B376" s="53"/>
    </row>
    <row r="377" spans="2:2" s="27" customFormat="1" ht="19.5" customHeight="1">
      <c r="B377" s="53"/>
    </row>
    <row r="378" spans="2:2" s="27" customFormat="1" ht="19.5" customHeight="1">
      <c r="B378" s="53"/>
    </row>
    <row r="379" spans="2:2" s="27" customFormat="1" ht="19.5" customHeight="1">
      <c r="B379" s="53"/>
    </row>
    <row r="380" spans="2:2" s="27" customFormat="1" ht="19.5" customHeight="1">
      <c r="B380" s="53"/>
    </row>
    <row r="381" spans="2:2" s="27" customFormat="1" ht="19.5" customHeight="1">
      <c r="B381" s="53"/>
    </row>
    <row r="382" spans="2:2" s="27" customFormat="1" ht="19.5" customHeight="1">
      <c r="B382" s="53"/>
    </row>
    <row r="383" spans="2:2" s="27" customFormat="1" ht="19.5" customHeight="1">
      <c r="B383" s="53"/>
    </row>
    <row r="384" spans="2:2" s="27" customFormat="1" ht="19.5" customHeight="1">
      <c r="B384" s="53"/>
    </row>
    <row r="385" spans="2:2" s="27" customFormat="1" ht="19.5" customHeight="1">
      <c r="B385" s="53"/>
    </row>
    <row r="386" spans="2:2" s="27" customFormat="1" ht="19.5" customHeight="1">
      <c r="B386" s="53"/>
    </row>
    <row r="387" spans="2:2" s="27" customFormat="1" ht="19.5" customHeight="1">
      <c r="B387" s="53"/>
    </row>
    <row r="388" spans="2:2" s="27" customFormat="1" ht="19.5" customHeight="1">
      <c r="B388" s="53"/>
    </row>
    <row r="389" spans="2:2" s="27" customFormat="1" ht="19.5" customHeight="1">
      <c r="B389" s="53"/>
    </row>
    <row r="390" spans="2:2" s="27" customFormat="1" ht="19.5" customHeight="1">
      <c r="B390" s="53"/>
    </row>
    <row r="391" spans="2:2" s="27" customFormat="1" ht="19.5" customHeight="1">
      <c r="B391" s="53"/>
    </row>
    <row r="392" spans="2:2" s="27" customFormat="1" ht="19.5" customHeight="1">
      <c r="B392" s="53"/>
    </row>
    <row r="393" spans="2:2" s="27" customFormat="1" ht="19.5" customHeight="1">
      <c r="B393" s="53"/>
    </row>
    <row r="394" spans="2:2" s="27" customFormat="1" ht="19.5" customHeight="1">
      <c r="B394" s="53"/>
    </row>
    <row r="395" spans="2:2" s="27" customFormat="1" ht="19.5" customHeight="1">
      <c r="B395" s="53"/>
    </row>
    <row r="396" spans="2:2" s="27" customFormat="1" ht="19.5" customHeight="1">
      <c r="B396" s="53"/>
    </row>
    <row r="397" spans="2:2" s="27" customFormat="1" ht="19.5" customHeight="1">
      <c r="B397" s="53"/>
    </row>
    <row r="398" spans="2:2" s="27" customFormat="1" ht="19.5" customHeight="1">
      <c r="B398" s="53"/>
    </row>
    <row r="399" spans="2:2" s="27" customFormat="1" ht="19.5" customHeight="1">
      <c r="B399" s="53"/>
    </row>
    <row r="400" spans="2:2" s="27" customFormat="1" ht="19.5" customHeight="1">
      <c r="B400" s="53"/>
    </row>
    <row r="401" spans="2:2" s="27" customFormat="1" ht="19.5" customHeight="1">
      <c r="B401" s="53"/>
    </row>
    <row r="402" spans="2:2" s="27" customFormat="1" ht="19.5" customHeight="1">
      <c r="B402" s="53"/>
    </row>
    <row r="403" spans="2:2" s="27" customFormat="1" ht="19.5" customHeight="1">
      <c r="B403" s="53"/>
    </row>
    <row r="404" spans="2:2" s="27" customFormat="1" ht="19.5" customHeight="1">
      <c r="B404" s="53"/>
    </row>
    <row r="405" spans="2:2" s="27" customFormat="1" ht="19.5" customHeight="1">
      <c r="B405" s="53"/>
    </row>
    <row r="406" spans="2:2" s="27" customFormat="1" ht="19.5" customHeight="1">
      <c r="B406" s="53"/>
    </row>
    <row r="407" spans="2:2" s="27" customFormat="1" ht="19.5" customHeight="1">
      <c r="B407" s="53"/>
    </row>
    <row r="408" spans="2:2" s="27" customFormat="1" ht="19.5" customHeight="1">
      <c r="B408" s="53"/>
    </row>
    <row r="409" spans="2:2" s="27" customFormat="1" ht="19.5" customHeight="1">
      <c r="B409" s="53"/>
    </row>
    <row r="410" spans="2:2" s="27" customFormat="1" ht="19.5" customHeight="1">
      <c r="B410" s="53"/>
    </row>
    <row r="411" spans="2:2" s="27" customFormat="1" ht="19.5" customHeight="1">
      <c r="B411" s="53"/>
    </row>
    <row r="412" spans="2:2" s="27" customFormat="1" ht="19.5" customHeight="1">
      <c r="B412" s="53"/>
    </row>
    <row r="413" spans="2:2" s="27" customFormat="1" ht="19.5" customHeight="1">
      <c r="B413" s="53"/>
    </row>
    <row r="414" spans="2:2" s="27" customFormat="1" ht="19.5" customHeight="1">
      <c r="B414" s="53"/>
    </row>
    <row r="415" spans="2:2" s="27" customFormat="1" ht="19.5" customHeight="1">
      <c r="B415" s="53"/>
    </row>
    <row r="416" spans="2:2" s="27" customFormat="1" ht="19.5" customHeight="1">
      <c r="B416" s="53"/>
    </row>
    <row r="417" spans="2:2" s="27" customFormat="1" ht="19.5" customHeight="1">
      <c r="B417" s="53"/>
    </row>
    <row r="418" spans="2:2" s="27" customFormat="1" ht="19.5" customHeight="1">
      <c r="B418" s="53"/>
    </row>
    <row r="419" spans="2:2" s="27" customFormat="1" ht="19.5" customHeight="1">
      <c r="B419" s="53"/>
    </row>
    <row r="420" spans="2:2" s="27" customFormat="1" ht="19.5" customHeight="1">
      <c r="B420" s="53"/>
    </row>
    <row r="421" spans="2:2" s="27" customFormat="1" ht="19.5" customHeight="1">
      <c r="B421" s="53"/>
    </row>
    <row r="422" spans="2:2" s="27" customFormat="1" ht="19.5" customHeight="1">
      <c r="B422" s="53"/>
    </row>
    <row r="423" spans="2:2" s="27" customFormat="1" ht="19.5" customHeight="1">
      <c r="B423" s="53"/>
    </row>
    <row r="424" spans="2:2" s="27" customFormat="1" ht="19.5" customHeight="1">
      <c r="B424" s="53"/>
    </row>
    <row r="425" spans="2:2" s="27" customFormat="1" ht="19.5" customHeight="1">
      <c r="B425" s="53"/>
    </row>
    <row r="426" spans="2:2" s="27" customFormat="1" ht="19.5" customHeight="1">
      <c r="B426" s="53"/>
    </row>
    <row r="427" spans="2:2" s="27" customFormat="1" ht="19.5" customHeight="1">
      <c r="B427" s="53"/>
    </row>
    <row r="428" spans="2:2">
      <c r="B428" s="53"/>
    </row>
    <row r="429" spans="2:2">
      <c r="B429" s="53"/>
    </row>
    <row r="430" spans="2:2">
      <c r="B430" s="53"/>
    </row>
    <row r="431" spans="2:2">
      <c r="B431" s="53"/>
    </row>
    <row r="432" spans="2:2">
      <c r="B432" s="53"/>
    </row>
    <row r="433" spans="2:2">
      <c r="B433" s="53"/>
    </row>
    <row r="434" spans="2:2">
      <c r="B434" s="53"/>
    </row>
    <row r="435" spans="2:2">
      <c r="B435" s="53"/>
    </row>
    <row r="436" spans="2:2">
      <c r="B436" s="53"/>
    </row>
    <row r="437" spans="2:2">
      <c r="B437" s="53"/>
    </row>
    <row r="438" spans="2:2">
      <c r="B438" s="53"/>
    </row>
    <row r="439" spans="2:2">
      <c r="B439" s="53"/>
    </row>
    <row r="440" spans="2:2">
      <c r="B440" s="53"/>
    </row>
    <row r="441" spans="2:2">
      <c r="B441" s="53"/>
    </row>
    <row r="442" spans="2:2">
      <c r="B442" s="53"/>
    </row>
    <row r="443" spans="2:2">
      <c r="B443" s="53"/>
    </row>
    <row r="444" spans="2:2">
      <c r="B444" s="53"/>
    </row>
    <row r="445" spans="2:2">
      <c r="B445" s="53"/>
    </row>
    <row r="446" spans="2:2">
      <c r="B446" s="53"/>
    </row>
    <row r="447" spans="2:2">
      <c r="B447" s="53"/>
    </row>
    <row r="448" spans="2:2">
      <c r="B448" s="53"/>
    </row>
    <row r="449" spans="2:2">
      <c r="B449" s="53"/>
    </row>
    <row r="450" spans="2:2">
      <c r="B450" s="53"/>
    </row>
    <row r="451" spans="2:2">
      <c r="B451" s="53"/>
    </row>
    <row r="452" spans="2:2">
      <c r="B452" s="53"/>
    </row>
    <row r="453" spans="2:2">
      <c r="B453" s="53"/>
    </row>
    <row r="454" spans="2:2">
      <c r="B454" s="53"/>
    </row>
    <row r="455" spans="2:2">
      <c r="B455" s="53"/>
    </row>
    <row r="456" spans="2:2">
      <c r="B456" s="53"/>
    </row>
    <row r="457" spans="2:2">
      <c r="B457" s="53"/>
    </row>
    <row r="458" spans="2:2">
      <c r="B458" s="53"/>
    </row>
    <row r="459" spans="2:2">
      <c r="B459" s="53"/>
    </row>
    <row r="460" spans="2:2">
      <c r="B460" s="53"/>
    </row>
    <row r="461" spans="2:2">
      <c r="B461" s="53"/>
    </row>
    <row r="462" spans="2:2">
      <c r="B462" s="53"/>
    </row>
    <row r="463" spans="2:2">
      <c r="B463" s="53"/>
    </row>
    <row r="464" spans="2:2">
      <c r="B464" s="53"/>
    </row>
    <row r="465" spans="2:2">
      <c r="B465" s="53"/>
    </row>
    <row r="466" spans="2:2">
      <c r="B466" s="53"/>
    </row>
    <row r="467" spans="2:2">
      <c r="B467" s="53"/>
    </row>
    <row r="468" spans="2:2">
      <c r="B468" s="53"/>
    </row>
    <row r="469" spans="2:2">
      <c r="B469" s="53"/>
    </row>
    <row r="470" spans="2:2">
      <c r="B470" s="53"/>
    </row>
    <row r="471" spans="2:2">
      <c r="B471" s="53"/>
    </row>
    <row r="472" spans="2:2">
      <c r="B472" s="53"/>
    </row>
    <row r="473" spans="2:2">
      <c r="B473" s="53"/>
    </row>
    <row r="474" spans="2:2">
      <c r="B474" s="53"/>
    </row>
    <row r="475" spans="2:2">
      <c r="B475" s="53"/>
    </row>
    <row r="476" spans="2:2">
      <c r="B476" s="53"/>
    </row>
    <row r="477" spans="2:2">
      <c r="B477" s="53"/>
    </row>
    <row r="478" spans="2:2">
      <c r="B478" s="53"/>
    </row>
    <row r="479" spans="2:2">
      <c r="B479" s="53"/>
    </row>
    <row r="480" spans="2:2">
      <c r="B480" s="53"/>
    </row>
    <row r="481" spans="2:2">
      <c r="B481" s="53"/>
    </row>
    <row r="482" spans="2:2">
      <c r="B482" s="53"/>
    </row>
    <row r="483" spans="2:2">
      <c r="B483" s="53"/>
    </row>
    <row r="484" spans="2:2">
      <c r="B484" s="53"/>
    </row>
    <row r="485" spans="2:2">
      <c r="B485" s="53"/>
    </row>
    <row r="486" spans="2:2">
      <c r="B486" s="53"/>
    </row>
    <row r="487" spans="2:2">
      <c r="B487" s="53"/>
    </row>
    <row r="488" spans="2:2">
      <c r="B488" s="53"/>
    </row>
    <row r="489" spans="2:2">
      <c r="B489" s="53"/>
    </row>
    <row r="490" spans="2:2">
      <c r="B490" s="53"/>
    </row>
    <row r="491" spans="2:2">
      <c r="B491" s="53"/>
    </row>
    <row r="492" spans="2:2">
      <c r="B492" s="53"/>
    </row>
    <row r="493" spans="2:2">
      <c r="B493" s="53"/>
    </row>
    <row r="494" spans="2:2">
      <c r="B494" s="53"/>
    </row>
    <row r="495" spans="2:2">
      <c r="B495" s="53"/>
    </row>
    <row r="496" spans="2:2">
      <c r="B496" s="53"/>
    </row>
    <row r="497" spans="2:2">
      <c r="B497" s="53"/>
    </row>
    <row r="498" spans="2:2">
      <c r="B498" s="53"/>
    </row>
    <row r="499" spans="2:2">
      <c r="B499" s="53"/>
    </row>
    <row r="500" spans="2:2">
      <c r="B500" s="53"/>
    </row>
    <row r="501" spans="2:2">
      <c r="B501" s="53"/>
    </row>
    <row r="502" spans="2:2">
      <c r="B502" s="53"/>
    </row>
    <row r="503" spans="2:2">
      <c r="B503" s="53"/>
    </row>
    <row r="504" spans="2:2">
      <c r="B504" s="53"/>
    </row>
    <row r="505" spans="2:2">
      <c r="B505" s="53"/>
    </row>
    <row r="506" spans="2:2">
      <c r="B506" s="53"/>
    </row>
    <row r="507" spans="2:2">
      <c r="B507" s="53"/>
    </row>
    <row r="508" spans="2:2">
      <c r="B508" s="53"/>
    </row>
    <row r="509" spans="2:2">
      <c r="B509" s="53"/>
    </row>
    <row r="510" spans="2:2">
      <c r="B510" s="53"/>
    </row>
    <row r="511" spans="2:2">
      <c r="B511" s="53"/>
    </row>
    <row r="512" spans="2:2">
      <c r="B512" s="53"/>
    </row>
    <row r="513" spans="2:2">
      <c r="B513" s="53"/>
    </row>
    <row r="514" spans="2:2">
      <c r="B514" s="53"/>
    </row>
    <row r="515" spans="2:2">
      <c r="B515" s="53"/>
    </row>
    <row r="516" spans="2:2">
      <c r="B516" s="53"/>
    </row>
    <row r="517" spans="2:2">
      <c r="B517" s="53"/>
    </row>
    <row r="518" spans="2:2">
      <c r="B518" s="53"/>
    </row>
    <row r="519" spans="2:2">
      <c r="B519" s="53"/>
    </row>
    <row r="520" spans="2:2">
      <c r="B520" s="53"/>
    </row>
    <row r="521" spans="2:2">
      <c r="B521" s="53"/>
    </row>
    <row r="522" spans="2:2">
      <c r="B522" s="53"/>
    </row>
    <row r="523" spans="2:2">
      <c r="B523" s="53"/>
    </row>
    <row r="524" spans="2:2">
      <c r="B524" s="53"/>
    </row>
    <row r="525" spans="2:2">
      <c r="B525" s="53"/>
    </row>
    <row r="526" spans="2:2">
      <c r="B526" s="53"/>
    </row>
    <row r="527" spans="2:2">
      <c r="B527" s="53"/>
    </row>
    <row r="528" spans="2:2">
      <c r="B528" s="53"/>
    </row>
    <row r="529" spans="2:2">
      <c r="B529" s="53"/>
    </row>
    <row r="530" spans="2:2">
      <c r="B530" s="53"/>
    </row>
    <row r="531" spans="2:2">
      <c r="B531" s="53"/>
    </row>
    <row r="532" spans="2:2">
      <c r="B532" s="53"/>
    </row>
    <row r="533" spans="2:2">
      <c r="B533" s="53"/>
    </row>
    <row r="534" spans="2:2">
      <c r="B534" s="53"/>
    </row>
    <row r="535" spans="2:2">
      <c r="B535" s="53"/>
    </row>
    <row r="536" spans="2:2">
      <c r="B536" s="53"/>
    </row>
    <row r="537" spans="2:2">
      <c r="B537" s="53"/>
    </row>
    <row r="538" spans="2:2">
      <c r="B538" s="53"/>
    </row>
    <row r="539" spans="2:2">
      <c r="B539" s="53"/>
    </row>
    <row r="540" spans="2:2">
      <c r="B540" s="53"/>
    </row>
    <row r="541" spans="2:2">
      <c r="B541" s="53"/>
    </row>
    <row r="542" spans="2:2">
      <c r="B542" s="53"/>
    </row>
    <row r="543" spans="2:2">
      <c r="B543" s="53"/>
    </row>
    <row r="544" spans="2:2">
      <c r="B544" s="53"/>
    </row>
    <row r="545" spans="2:2">
      <c r="B545" s="53"/>
    </row>
    <row r="546" spans="2:2">
      <c r="B546" s="53"/>
    </row>
    <row r="547" spans="2:2">
      <c r="B547" s="53"/>
    </row>
    <row r="548" spans="2:2">
      <c r="B548" s="53"/>
    </row>
    <row r="549" spans="2:2">
      <c r="B549" s="53"/>
    </row>
    <row r="550" spans="2:2">
      <c r="B550" s="53"/>
    </row>
    <row r="551" spans="2:2">
      <c r="B551" s="53"/>
    </row>
    <row r="552" spans="2:2">
      <c r="B552" s="53"/>
    </row>
    <row r="553" spans="2:2">
      <c r="B553" s="53"/>
    </row>
    <row r="554" spans="2:2">
      <c r="B554" s="53"/>
    </row>
    <row r="555" spans="2:2">
      <c r="B555" s="53"/>
    </row>
    <row r="556" spans="2:2">
      <c r="B556" s="53"/>
    </row>
    <row r="557" spans="2:2">
      <c r="B557" s="53"/>
    </row>
    <row r="558" spans="2:2">
      <c r="B558" s="53"/>
    </row>
    <row r="559" spans="2:2">
      <c r="B559" s="53"/>
    </row>
    <row r="560" spans="2:2">
      <c r="B560" s="53"/>
    </row>
    <row r="561" spans="2:2">
      <c r="B561" s="53"/>
    </row>
    <row r="562" spans="2:2">
      <c r="B562" s="53"/>
    </row>
    <row r="563" spans="2:2">
      <c r="B563" s="53"/>
    </row>
    <row r="564" spans="2:2">
      <c r="B564" s="53"/>
    </row>
    <row r="565" spans="2:2">
      <c r="B565" s="53"/>
    </row>
    <row r="566" spans="2:2">
      <c r="B566" s="53"/>
    </row>
    <row r="567" spans="2:2">
      <c r="B567" s="53"/>
    </row>
    <row r="568" spans="2:2">
      <c r="B568" s="53"/>
    </row>
    <row r="569" spans="2:2">
      <c r="B569" s="53"/>
    </row>
    <row r="570" spans="2:2">
      <c r="B570" s="53"/>
    </row>
    <row r="571" spans="2:2">
      <c r="B571" s="53"/>
    </row>
    <row r="572" spans="2:2">
      <c r="B572" s="53"/>
    </row>
    <row r="573" spans="2:2">
      <c r="B573" s="53"/>
    </row>
    <row r="574" spans="2:2">
      <c r="B574" s="53"/>
    </row>
    <row r="575" spans="2:2">
      <c r="B575" s="53"/>
    </row>
    <row r="576" spans="2:2">
      <c r="B576" s="53"/>
    </row>
    <row r="577" spans="2:2">
      <c r="B577" s="53"/>
    </row>
    <row r="578" spans="2:2">
      <c r="B578" s="53"/>
    </row>
    <row r="579" spans="2:2">
      <c r="B579" s="53"/>
    </row>
    <row r="580" spans="2:2">
      <c r="B580" s="53"/>
    </row>
    <row r="581" spans="2:2">
      <c r="B581" s="53"/>
    </row>
    <row r="582" spans="2:2">
      <c r="B582" s="53"/>
    </row>
    <row r="583" spans="2:2">
      <c r="B583" s="53"/>
    </row>
    <row r="584" spans="2:2">
      <c r="B584" s="53"/>
    </row>
    <row r="585" spans="2:2">
      <c r="B585" s="53"/>
    </row>
    <row r="586" spans="2:2">
      <c r="B586" s="53"/>
    </row>
    <row r="587" spans="2:2">
      <c r="B587" s="53"/>
    </row>
    <row r="588" spans="2:2">
      <c r="B588" s="53"/>
    </row>
    <row r="589" spans="2:2">
      <c r="B589" s="53"/>
    </row>
    <row r="590" spans="2:2">
      <c r="B590" s="53"/>
    </row>
    <row r="591" spans="2:2">
      <c r="B591" s="53"/>
    </row>
    <row r="592" spans="2:2">
      <c r="B592" s="53"/>
    </row>
    <row r="593" spans="2:2">
      <c r="B593" s="53"/>
    </row>
    <row r="594" spans="2:2">
      <c r="B594" s="53"/>
    </row>
    <row r="595" spans="2:2">
      <c r="B595" s="53"/>
    </row>
    <row r="596" spans="2:2">
      <c r="B596" s="53"/>
    </row>
    <row r="597" spans="2:2">
      <c r="B597" s="53"/>
    </row>
    <row r="598" spans="2:2">
      <c r="B598" s="53"/>
    </row>
    <row r="599" spans="2:2">
      <c r="B599" s="53"/>
    </row>
    <row r="600" spans="2:2">
      <c r="B600" s="53"/>
    </row>
    <row r="601" spans="2:2">
      <c r="B601" s="53"/>
    </row>
    <row r="602" spans="2:2">
      <c r="B602" s="53"/>
    </row>
    <row r="603" spans="2:2">
      <c r="B603" s="53"/>
    </row>
    <row r="604" spans="2:2">
      <c r="B604" s="53"/>
    </row>
    <row r="605" spans="2:2">
      <c r="B605" s="53"/>
    </row>
    <row r="606" spans="2:2">
      <c r="B606" s="53"/>
    </row>
    <row r="607" spans="2:2">
      <c r="B607" s="53"/>
    </row>
    <row r="608" spans="2:2">
      <c r="B608" s="53"/>
    </row>
    <row r="609" spans="2:2">
      <c r="B609" s="53"/>
    </row>
    <row r="610" spans="2:2">
      <c r="B610" s="53"/>
    </row>
    <row r="611" spans="2:2">
      <c r="B611" s="53"/>
    </row>
    <row r="612" spans="2:2">
      <c r="B612" s="53"/>
    </row>
    <row r="613" spans="2:2">
      <c r="B613" s="53"/>
    </row>
    <row r="614" spans="2:2">
      <c r="B614" s="53"/>
    </row>
    <row r="615" spans="2:2">
      <c r="B615" s="53"/>
    </row>
    <row r="616" spans="2:2">
      <c r="B616" s="53"/>
    </row>
    <row r="617" spans="2:2">
      <c r="B617" s="53"/>
    </row>
    <row r="618" spans="2:2">
      <c r="B618" s="53"/>
    </row>
    <row r="619" spans="2:2">
      <c r="B619" s="53"/>
    </row>
    <row r="620" spans="2:2">
      <c r="B620" s="53"/>
    </row>
    <row r="621" spans="2:2">
      <c r="B621" s="53"/>
    </row>
    <row r="622" spans="2:2">
      <c r="B622" s="53"/>
    </row>
    <row r="623" spans="2:2">
      <c r="B623" s="53"/>
    </row>
    <row r="624" spans="2:2">
      <c r="B624" s="53"/>
    </row>
    <row r="625" spans="2:2">
      <c r="B625" s="53"/>
    </row>
    <row r="626" spans="2:2">
      <c r="B626" s="53"/>
    </row>
    <row r="627" spans="2:2">
      <c r="B627" s="53"/>
    </row>
    <row r="628" spans="2:2">
      <c r="B628" s="53"/>
    </row>
    <row r="629" spans="2:2">
      <c r="B629" s="53"/>
    </row>
    <row r="630" spans="2:2">
      <c r="B630" s="53"/>
    </row>
    <row r="631" spans="2:2">
      <c r="B631" s="53"/>
    </row>
    <row r="632" spans="2:2">
      <c r="B632" s="53"/>
    </row>
    <row r="633" spans="2:2">
      <c r="B633" s="53"/>
    </row>
    <row r="634" spans="2:2">
      <c r="B634" s="53"/>
    </row>
    <row r="635" spans="2:2">
      <c r="B635" s="53"/>
    </row>
    <row r="636" spans="2:2">
      <c r="B636" s="53"/>
    </row>
    <row r="637" spans="2:2">
      <c r="B637" s="53"/>
    </row>
    <row r="638" spans="2:2">
      <c r="B638" s="53"/>
    </row>
    <row r="639" spans="2:2">
      <c r="B639" s="53"/>
    </row>
    <row r="640" spans="2:2">
      <c r="B640" s="53"/>
    </row>
    <row r="641" spans="2:2">
      <c r="B641" s="53"/>
    </row>
    <row r="642" spans="2:2">
      <c r="B642" s="53"/>
    </row>
    <row r="643" spans="2:2">
      <c r="B643" s="53"/>
    </row>
    <row r="644" spans="2:2">
      <c r="B644" s="53"/>
    </row>
    <row r="645" spans="2:2">
      <c r="B645" s="53"/>
    </row>
    <row r="646" spans="2:2">
      <c r="B646" s="53"/>
    </row>
    <row r="647" spans="2:2">
      <c r="B647" s="53"/>
    </row>
    <row r="648" spans="2:2">
      <c r="B648" s="53"/>
    </row>
    <row r="649" spans="2:2">
      <c r="B649" s="53"/>
    </row>
    <row r="650" spans="2:2">
      <c r="B650" s="53"/>
    </row>
    <row r="651" spans="2:2">
      <c r="B651" s="53"/>
    </row>
    <row r="652" spans="2:2">
      <c r="B652" s="53"/>
    </row>
    <row r="653" spans="2:2">
      <c r="B653" s="53"/>
    </row>
    <row r="654" spans="2:2">
      <c r="B654" s="53"/>
    </row>
    <row r="655" spans="2:2">
      <c r="B655" s="53"/>
    </row>
    <row r="656" spans="2:2">
      <c r="B656" s="53"/>
    </row>
    <row r="657" spans="2:2">
      <c r="B657" s="53"/>
    </row>
    <row r="658" spans="2:2">
      <c r="B658" s="53"/>
    </row>
    <row r="659" spans="2:2">
      <c r="B659" s="53"/>
    </row>
    <row r="660" spans="2:2">
      <c r="B660" s="53"/>
    </row>
    <row r="661" spans="2:2">
      <c r="B661" s="53"/>
    </row>
    <row r="662" spans="2:2">
      <c r="B662" s="53"/>
    </row>
    <row r="663" spans="2:2">
      <c r="B663" s="53"/>
    </row>
    <row r="664" spans="2:2">
      <c r="B664" s="53"/>
    </row>
    <row r="665" spans="2:2">
      <c r="B665" s="53"/>
    </row>
    <row r="666" spans="2:2">
      <c r="B666" s="53"/>
    </row>
    <row r="667" spans="2:2">
      <c r="B667" s="53"/>
    </row>
    <row r="668" spans="2:2">
      <c r="B668" s="53"/>
    </row>
    <row r="669" spans="2:2">
      <c r="B669" s="53"/>
    </row>
    <row r="670" spans="2:2">
      <c r="B670" s="53"/>
    </row>
    <row r="671" spans="2:2">
      <c r="B671" s="53"/>
    </row>
    <row r="672" spans="2:2">
      <c r="B672" s="53"/>
    </row>
    <row r="673" spans="2:2">
      <c r="B673" s="53"/>
    </row>
    <row r="674" spans="2:2">
      <c r="B674" s="53"/>
    </row>
    <row r="675" spans="2:2">
      <c r="B675" s="53"/>
    </row>
    <row r="676" spans="2:2">
      <c r="B676" s="53"/>
    </row>
    <row r="677" spans="2:2">
      <c r="B677" s="53"/>
    </row>
    <row r="678" spans="2:2">
      <c r="B678" s="53"/>
    </row>
    <row r="679" spans="2:2">
      <c r="B679" s="53"/>
    </row>
    <row r="680" spans="2:2">
      <c r="B680" s="53"/>
    </row>
    <row r="681" spans="2:2">
      <c r="B681" s="53"/>
    </row>
    <row r="682" spans="2:2">
      <c r="B682" s="53"/>
    </row>
    <row r="683" spans="2:2">
      <c r="B683" s="53"/>
    </row>
    <row r="684" spans="2:2">
      <c r="B684" s="53"/>
    </row>
    <row r="685" spans="2:2">
      <c r="B685" s="53"/>
    </row>
    <row r="686" spans="2:2">
      <c r="B686" s="53"/>
    </row>
    <row r="687" spans="2:2">
      <c r="B687" s="53"/>
    </row>
    <row r="688" spans="2:2">
      <c r="B688" s="53"/>
    </row>
    <row r="689" spans="2:2">
      <c r="B689" s="53"/>
    </row>
    <row r="690" spans="2:2">
      <c r="B690" s="53"/>
    </row>
    <row r="691" spans="2:2">
      <c r="B691" s="53"/>
    </row>
    <row r="692" spans="2:2">
      <c r="B692" s="53"/>
    </row>
    <row r="693" spans="2:2">
      <c r="B693" s="53"/>
    </row>
    <row r="694" spans="2:2">
      <c r="B694" s="53"/>
    </row>
    <row r="695" spans="2:2">
      <c r="B695" s="53"/>
    </row>
    <row r="696" spans="2:2">
      <c r="B696" s="53"/>
    </row>
    <row r="697" spans="2:2">
      <c r="B697" s="53"/>
    </row>
    <row r="698" spans="2:2">
      <c r="B698" s="53"/>
    </row>
    <row r="699" spans="2:2">
      <c r="B699" s="53"/>
    </row>
    <row r="700" spans="2:2">
      <c r="B700" s="53"/>
    </row>
    <row r="701" spans="2:2">
      <c r="B701" s="53"/>
    </row>
    <row r="702" spans="2:2">
      <c r="B702" s="53"/>
    </row>
    <row r="703" spans="2:2">
      <c r="B703" s="53"/>
    </row>
    <row r="704" spans="2:2">
      <c r="B704" s="53"/>
    </row>
    <row r="705" spans="2:2">
      <c r="B705" s="53"/>
    </row>
    <row r="706" spans="2:2">
      <c r="B706" s="53"/>
    </row>
    <row r="707" spans="2:2">
      <c r="B707" s="53"/>
    </row>
    <row r="708" spans="2:2">
      <c r="B708" s="53"/>
    </row>
    <row r="709" spans="2:2">
      <c r="B709" s="53"/>
    </row>
    <row r="710" spans="2:2">
      <c r="B710" s="53"/>
    </row>
    <row r="711" spans="2:2">
      <c r="B711" s="53"/>
    </row>
    <row r="712" spans="2:2">
      <c r="B712" s="53"/>
    </row>
    <row r="713" spans="2:2">
      <c r="B713" s="53"/>
    </row>
    <row r="714" spans="2:2">
      <c r="B714" s="53"/>
    </row>
    <row r="715" spans="2:2">
      <c r="B715" s="53"/>
    </row>
    <row r="716" spans="2:2">
      <c r="B716" s="53"/>
    </row>
    <row r="717" spans="2:2">
      <c r="B717" s="53"/>
    </row>
    <row r="718" spans="2:2">
      <c r="B718" s="53"/>
    </row>
    <row r="719" spans="2:2">
      <c r="B719" s="53"/>
    </row>
    <row r="720" spans="2:2">
      <c r="B720" s="53"/>
    </row>
    <row r="721" spans="2:2">
      <c r="B721" s="53"/>
    </row>
    <row r="722" spans="2:2">
      <c r="B722" s="53"/>
    </row>
    <row r="723" spans="2:2">
      <c r="B723" s="53"/>
    </row>
    <row r="724" spans="2:2">
      <c r="B724" s="53"/>
    </row>
    <row r="725" spans="2:2">
      <c r="B725" s="53"/>
    </row>
    <row r="726" spans="2:2">
      <c r="B726" s="53"/>
    </row>
    <row r="727" spans="2:2">
      <c r="B727" s="53"/>
    </row>
    <row r="728" spans="2:2">
      <c r="B728" s="53"/>
    </row>
    <row r="729" spans="2:2">
      <c r="B729" s="53"/>
    </row>
    <row r="730" spans="2:2">
      <c r="B730" s="53"/>
    </row>
    <row r="731" spans="2:2">
      <c r="B731" s="53"/>
    </row>
    <row r="732" spans="2:2">
      <c r="B732" s="53"/>
    </row>
    <row r="733" spans="2:2">
      <c r="B733" s="53"/>
    </row>
    <row r="734" spans="2:2">
      <c r="B734" s="53"/>
    </row>
    <row r="735" spans="2:2">
      <c r="B735" s="53"/>
    </row>
    <row r="736" spans="2:2">
      <c r="B736" s="53"/>
    </row>
    <row r="737" spans="2:2">
      <c r="B737" s="53"/>
    </row>
    <row r="738" spans="2:2">
      <c r="B738" s="53"/>
    </row>
    <row r="739" spans="2:2">
      <c r="B739" s="53"/>
    </row>
    <row r="740" spans="2:2">
      <c r="B740" s="53"/>
    </row>
    <row r="741" spans="2:2">
      <c r="B741" s="53"/>
    </row>
    <row r="742" spans="2:2">
      <c r="B742" s="53"/>
    </row>
    <row r="743" spans="2:2">
      <c r="B743" s="53"/>
    </row>
    <row r="744" spans="2:2">
      <c r="B744" s="53"/>
    </row>
    <row r="745" spans="2:2">
      <c r="B745" s="53"/>
    </row>
    <row r="746" spans="2:2">
      <c r="B746" s="53"/>
    </row>
    <row r="747" spans="2:2">
      <c r="B747" s="53"/>
    </row>
    <row r="748" spans="2:2">
      <c r="B748" s="53"/>
    </row>
    <row r="749" spans="2:2">
      <c r="B749" s="53"/>
    </row>
    <row r="750" spans="2:2">
      <c r="B750" s="53"/>
    </row>
    <row r="751" spans="2:2">
      <c r="B751" s="53"/>
    </row>
    <row r="752" spans="2:2">
      <c r="B752" s="53"/>
    </row>
    <row r="753" spans="2:2">
      <c r="B753" s="53"/>
    </row>
    <row r="754" spans="2:2">
      <c r="B754" s="53"/>
    </row>
    <row r="755" spans="2:2">
      <c r="B755" s="53"/>
    </row>
    <row r="756" spans="2:2">
      <c r="B756" s="53"/>
    </row>
    <row r="757" spans="2:2">
      <c r="B757" s="53"/>
    </row>
    <row r="758" spans="2:2">
      <c r="B758" s="53"/>
    </row>
    <row r="759" spans="2:2">
      <c r="B759" s="53"/>
    </row>
    <row r="760" spans="2:2">
      <c r="B760" s="53"/>
    </row>
    <row r="761" spans="2:2">
      <c r="B761" s="53"/>
    </row>
    <row r="762" spans="2:2">
      <c r="B762" s="53"/>
    </row>
    <row r="763" spans="2:2">
      <c r="B763" s="53"/>
    </row>
    <row r="764" spans="2:2">
      <c r="B764" s="53"/>
    </row>
    <row r="765" spans="2:2">
      <c r="B765" s="53"/>
    </row>
    <row r="766" spans="2:2">
      <c r="B766" s="53"/>
    </row>
    <row r="767" spans="2:2">
      <c r="B767" s="53"/>
    </row>
    <row r="768" spans="2:2">
      <c r="B768" s="53"/>
    </row>
    <row r="769" spans="2:2">
      <c r="B769" s="53"/>
    </row>
    <row r="770" spans="2:2">
      <c r="B770" s="53"/>
    </row>
    <row r="771" spans="2:2">
      <c r="B771" s="53"/>
    </row>
    <row r="772" spans="2:2">
      <c r="B772" s="53"/>
    </row>
    <row r="773" spans="2:2">
      <c r="B773" s="53"/>
    </row>
    <row r="774" spans="2:2">
      <c r="B774" s="53"/>
    </row>
    <row r="775" spans="2:2">
      <c r="B775" s="53"/>
    </row>
    <row r="776" spans="2:2">
      <c r="B776" s="53"/>
    </row>
    <row r="777" spans="2:2">
      <c r="B777" s="53"/>
    </row>
    <row r="778" spans="2:2">
      <c r="B778" s="53"/>
    </row>
    <row r="779" spans="2:2">
      <c r="B779" s="53"/>
    </row>
    <row r="780" spans="2:2">
      <c r="B780" s="53"/>
    </row>
    <row r="781" spans="2:2">
      <c r="B781" s="53"/>
    </row>
    <row r="782" spans="2:2">
      <c r="B782" s="53"/>
    </row>
    <row r="783" spans="2:2">
      <c r="B783" s="53"/>
    </row>
    <row r="784" spans="2:2">
      <c r="B784" s="53"/>
    </row>
    <row r="785" spans="2:2">
      <c r="B785" s="53"/>
    </row>
    <row r="786" spans="2:2">
      <c r="B786" s="53"/>
    </row>
    <row r="787" spans="2:2">
      <c r="B787" s="53"/>
    </row>
    <row r="788" spans="2:2">
      <c r="B788" s="53"/>
    </row>
    <row r="789" spans="2:2">
      <c r="B789" s="53"/>
    </row>
    <row r="790" spans="2:2">
      <c r="B790" s="53"/>
    </row>
    <row r="791" spans="2:2">
      <c r="B791" s="53"/>
    </row>
    <row r="792" spans="2:2">
      <c r="B792" s="53"/>
    </row>
    <row r="793" spans="2:2">
      <c r="B793" s="53"/>
    </row>
    <row r="794" spans="2:2">
      <c r="B794" s="53"/>
    </row>
    <row r="795" spans="2:2">
      <c r="B795" s="53"/>
    </row>
    <row r="796" spans="2:2">
      <c r="B796" s="53"/>
    </row>
    <row r="797" spans="2:2">
      <c r="B797" s="53"/>
    </row>
    <row r="798" spans="2:2">
      <c r="B798" s="53"/>
    </row>
    <row r="799" spans="2:2">
      <c r="B799" s="53"/>
    </row>
    <row r="800" spans="2:2">
      <c r="B800" s="53"/>
    </row>
    <row r="801" spans="2:2">
      <c r="B801" s="53"/>
    </row>
    <row r="802" spans="2:2">
      <c r="B802" s="53"/>
    </row>
    <row r="803" spans="2:2">
      <c r="B803" s="53"/>
    </row>
    <row r="804" spans="2:2">
      <c r="B804" s="53"/>
    </row>
    <row r="805" spans="2:2">
      <c r="B805" s="53"/>
    </row>
    <row r="806" spans="2:2">
      <c r="B806" s="53"/>
    </row>
    <row r="807" spans="2:2">
      <c r="B807" s="53"/>
    </row>
    <row r="808" spans="2:2">
      <c r="B808" s="53"/>
    </row>
    <row r="809" spans="2:2">
      <c r="B809" s="53"/>
    </row>
    <row r="810" spans="2:2">
      <c r="B810" s="53"/>
    </row>
    <row r="811" spans="2:2">
      <c r="B811" s="53"/>
    </row>
    <row r="812" spans="2:2">
      <c r="B812" s="53"/>
    </row>
    <row r="813" spans="2:2">
      <c r="B813" s="53"/>
    </row>
    <row r="814" spans="2:2">
      <c r="B814" s="53"/>
    </row>
    <row r="815" spans="2:2">
      <c r="B815" s="53"/>
    </row>
    <row r="816" spans="2:2">
      <c r="B816" s="53"/>
    </row>
    <row r="817" spans="2:2">
      <c r="B817" s="53"/>
    </row>
    <row r="818" spans="2:2">
      <c r="B818" s="53"/>
    </row>
    <row r="819" spans="2:2">
      <c r="B819" s="53"/>
    </row>
    <row r="820" spans="2:2">
      <c r="B820" s="53"/>
    </row>
    <row r="821" spans="2:2">
      <c r="B821" s="53"/>
    </row>
    <row r="822" spans="2:2">
      <c r="B822" s="53"/>
    </row>
    <row r="823" spans="2:2">
      <c r="B823" s="53"/>
    </row>
    <row r="824" spans="2:2">
      <c r="B824" s="53"/>
    </row>
    <row r="825" spans="2:2">
      <c r="B825" s="53"/>
    </row>
    <row r="826" spans="2:2">
      <c r="B826" s="53"/>
    </row>
    <row r="827" spans="2:2">
      <c r="B827" s="53"/>
    </row>
    <row r="828" spans="2:2">
      <c r="B828" s="53"/>
    </row>
    <row r="829" spans="2:2">
      <c r="B829" s="53"/>
    </row>
    <row r="830" spans="2:2">
      <c r="B830" s="53"/>
    </row>
    <row r="831" spans="2:2">
      <c r="B831" s="53"/>
    </row>
    <row r="832" spans="2:2">
      <c r="B832" s="53"/>
    </row>
    <row r="833" spans="2:2">
      <c r="B833" s="53"/>
    </row>
    <row r="834" spans="2:2">
      <c r="B834" s="53"/>
    </row>
    <row r="835" spans="2:2">
      <c r="B835" s="53"/>
    </row>
    <row r="836" spans="2:2">
      <c r="B836" s="53"/>
    </row>
    <row r="837" spans="2:2">
      <c r="B837" s="53"/>
    </row>
    <row r="838" spans="2:2">
      <c r="B838" s="53"/>
    </row>
    <row r="839" spans="2:2">
      <c r="B839" s="53"/>
    </row>
    <row r="840" spans="2:2">
      <c r="B840" s="53"/>
    </row>
    <row r="841" spans="2:2">
      <c r="B841" s="53"/>
    </row>
    <row r="842" spans="2:2">
      <c r="B842" s="53"/>
    </row>
    <row r="843" spans="2:2">
      <c r="B843" s="53"/>
    </row>
    <row r="844" spans="2:2">
      <c r="B844" s="53"/>
    </row>
    <row r="845" spans="2:2">
      <c r="B845" s="53"/>
    </row>
    <row r="846" spans="2:2">
      <c r="B846" s="53"/>
    </row>
    <row r="847" spans="2:2">
      <c r="B847" s="53"/>
    </row>
    <row r="848" spans="2:2">
      <c r="B848" s="53"/>
    </row>
    <row r="849" spans="2:2">
      <c r="B849" s="53"/>
    </row>
    <row r="850" spans="2:2">
      <c r="B850" s="53"/>
    </row>
    <row r="851" spans="2:2">
      <c r="B851" s="53"/>
    </row>
    <row r="852" spans="2:2">
      <c r="B852" s="53"/>
    </row>
    <row r="853" spans="2:2">
      <c r="B853" s="53"/>
    </row>
    <row r="854" spans="2:2">
      <c r="B854" s="53"/>
    </row>
    <row r="855" spans="2:2">
      <c r="B855" s="53"/>
    </row>
    <row r="856" spans="2:2">
      <c r="B856" s="53"/>
    </row>
    <row r="857" spans="2:2">
      <c r="B857" s="53"/>
    </row>
    <row r="858" spans="2:2">
      <c r="B858" s="53"/>
    </row>
    <row r="859" spans="2:2">
      <c r="B859" s="53"/>
    </row>
    <row r="860" spans="2:2">
      <c r="B860" s="53"/>
    </row>
    <row r="861" spans="2:2">
      <c r="B861" s="53"/>
    </row>
    <row r="862" spans="2:2">
      <c r="B862" s="53"/>
    </row>
    <row r="863" spans="2:2">
      <c r="B863" s="53"/>
    </row>
    <row r="864" spans="2:2">
      <c r="B864" s="53"/>
    </row>
    <row r="865" spans="2:2">
      <c r="B865" s="53"/>
    </row>
    <row r="866" spans="2:2">
      <c r="B866" s="53"/>
    </row>
    <row r="867" spans="2:2">
      <c r="B867" s="53"/>
    </row>
    <row r="868" spans="2:2">
      <c r="B868" s="53"/>
    </row>
    <row r="869" spans="2:2">
      <c r="B869" s="53"/>
    </row>
    <row r="870" spans="2:2">
      <c r="B870" s="53"/>
    </row>
    <row r="871" spans="2:2">
      <c r="B871" s="53"/>
    </row>
    <row r="872" spans="2:2">
      <c r="B872" s="53"/>
    </row>
    <row r="873" spans="2:2">
      <c r="B873" s="53"/>
    </row>
    <row r="874" spans="2:2">
      <c r="B874" s="53"/>
    </row>
    <row r="875" spans="2:2">
      <c r="B875" s="53"/>
    </row>
    <row r="876" spans="2:2">
      <c r="B876" s="53"/>
    </row>
    <row r="877" spans="2:2">
      <c r="B877" s="53"/>
    </row>
    <row r="878" spans="2:2">
      <c r="B878" s="53"/>
    </row>
    <row r="879" spans="2:2">
      <c r="B879" s="53"/>
    </row>
    <row r="880" spans="2:2">
      <c r="B880" s="53"/>
    </row>
    <row r="881" spans="2:2">
      <c r="B881" s="53"/>
    </row>
    <row r="882" spans="2:2">
      <c r="B882" s="53"/>
    </row>
    <row r="883" spans="2:2">
      <c r="B883" s="53"/>
    </row>
    <row r="884" spans="2:2">
      <c r="B884" s="53"/>
    </row>
    <row r="885" spans="2:2">
      <c r="B885" s="53"/>
    </row>
    <row r="886" spans="2:2">
      <c r="B886" s="53"/>
    </row>
    <row r="887" spans="2:2">
      <c r="B887" s="53"/>
    </row>
    <row r="888" spans="2:2">
      <c r="B888" s="53"/>
    </row>
    <row r="889" spans="2:2">
      <c r="B889" s="53"/>
    </row>
    <row r="890" spans="2:2">
      <c r="B890" s="53"/>
    </row>
    <row r="891" spans="2:2">
      <c r="B891" s="53"/>
    </row>
    <row r="892" spans="2:2">
      <c r="B892" s="53"/>
    </row>
    <row r="893" spans="2:2">
      <c r="B893" s="53"/>
    </row>
    <row r="894" spans="2:2">
      <c r="B894" s="53"/>
    </row>
    <row r="895" spans="2:2">
      <c r="B895" s="53"/>
    </row>
    <row r="896" spans="2:2">
      <c r="B896" s="53"/>
    </row>
    <row r="897" spans="2:2">
      <c r="B897" s="53"/>
    </row>
    <row r="898" spans="2:2">
      <c r="B898" s="53"/>
    </row>
    <row r="899" spans="2:2">
      <c r="B899" s="53"/>
    </row>
    <row r="900" spans="2:2">
      <c r="B900" s="53"/>
    </row>
    <row r="901" spans="2:2">
      <c r="B901" s="53"/>
    </row>
    <row r="902" spans="2:2">
      <c r="B902" s="53"/>
    </row>
    <row r="903" spans="2:2">
      <c r="B903" s="53"/>
    </row>
    <row r="904" spans="2:2">
      <c r="B904" s="53"/>
    </row>
    <row r="905" spans="2:2">
      <c r="B905" s="53"/>
    </row>
    <row r="906" spans="2:2">
      <c r="B906" s="53"/>
    </row>
    <row r="907" spans="2:2">
      <c r="B907" s="53"/>
    </row>
    <row r="908" spans="2:2">
      <c r="B908" s="53"/>
    </row>
    <row r="909" spans="2:2">
      <c r="B909" s="53"/>
    </row>
    <row r="910" spans="2:2">
      <c r="B910" s="53"/>
    </row>
    <row r="911" spans="2:2">
      <c r="B911" s="53"/>
    </row>
    <row r="912" spans="2:2">
      <c r="B912" s="53"/>
    </row>
    <row r="913" spans="2:2">
      <c r="B913" s="53"/>
    </row>
    <row r="914" spans="2:2">
      <c r="B914" s="53"/>
    </row>
    <row r="915" spans="2:2">
      <c r="B915" s="53"/>
    </row>
    <row r="916" spans="2:2">
      <c r="B916" s="53"/>
    </row>
    <row r="917" spans="2:2">
      <c r="B917" s="53"/>
    </row>
    <row r="918" spans="2:2">
      <c r="B918" s="53"/>
    </row>
    <row r="919" spans="2:2">
      <c r="B919" s="53"/>
    </row>
    <row r="920" spans="2:2">
      <c r="B920" s="53"/>
    </row>
    <row r="921" spans="2:2">
      <c r="B921" s="53"/>
    </row>
    <row r="922" spans="2:2">
      <c r="B922" s="53"/>
    </row>
    <row r="923" spans="2:2">
      <c r="B923" s="53"/>
    </row>
    <row r="924" spans="2:2">
      <c r="B924" s="53"/>
    </row>
    <row r="925" spans="2:2">
      <c r="B925" s="53"/>
    </row>
    <row r="926" spans="2:2">
      <c r="B926" s="53"/>
    </row>
    <row r="927" spans="2:2">
      <c r="B927" s="53"/>
    </row>
    <row r="928" spans="2:2">
      <c r="B928" s="53"/>
    </row>
    <row r="929" spans="2:2">
      <c r="B929" s="53"/>
    </row>
    <row r="930" spans="2:2">
      <c r="B930" s="53"/>
    </row>
    <row r="931" spans="2:2">
      <c r="B931" s="53"/>
    </row>
    <row r="932" spans="2:2">
      <c r="B932" s="53"/>
    </row>
    <row r="933" spans="2:2">
      <c r="B933" s="53"/>
    </row>
    <row r="934" spans="2:2">
      <c r="B934" s="53"/>
    </row>
    <row r="935" spans="2:2">
      <c r="B935" s="53"/>
    </row>
    <row r="936" spans="2:2">
      <c r="B936" s="53"/>
    </row>
    <row r="937" spans="2:2">
      <c r="B937" s="53"/>
    </row>
    <row r="938" spans="2:2">
      <c r="B938" s="53"/>
    </row>
    <row r="939" spans="2:2">
      <c r="B939" s="53"/>
    </row>
    <row r="940" spans="2:2">
      <c r="B940" s="53"/>
    </row>
    <row r="941" spans="2:2">
      <c r="B941" s="53"/>
    </row>
    <row r="942" spans="2:2">
      <c r="B942" s="53"/>
    </row>
    <row r="943" spans="2:2">
      <c r="B943" s="53"/>
    </row>
    <row r="944" spans="2:2">
      <c r="B944" s="53"/>
    </row>
    <row r="945" spans="2:2">
      <c r="B945" s="53"/>
    </row>
    <row r="946" spans="2:2">
      <c r="B946" s="53"/>
    </row>
    <row r="947" spans="2:2">
      <c r="B947" s="53"/>
    </row>
    <row r="948" spans="2:2">
      <c r="B948" s="53"/>
    </row>
    <row r="949" spans="2:2">
      <c r="B949" s="53"/>
    </row>
    <row r="950" spans="2:2">
      <c r="B950" s="53"/>
    </row>
    <row r="951" spans="2:2">
      <c r="B951" s="53"/>
    </row>
    <row r="952" spans="2:2">
      <c r="B952" s="53"/>
    </row>
    <row r="953" spans="2:2">
      <c r="B953" s="53"/>
    </row>
    <row r="954" spans="2:2">
      <c r="B954" s="53"/>
    </row>
    <row r="955" spans="2:2">
      <c r="B955" s="53"/>
    </row>
    <row r="956" spans="2:2">
      <c r="B956" s="53"/>
    </row>
    <row r="957" spans="2:2">
      <c r="B957" s="53"/>
    </row>
    <row r="958" spans="2:2">
      <c r="B958" s="53"/>
    </row>
    <row r="959" spans="2:2">
      <c r="B959" s="53"/>
    </row>
    <row r="960" spans="2:2">
      <c r="B960" s="53"/>
    </row>
    <row r="961" spans="2:2">
      <c r="B961" s="53"/>
    </row>
    <row r="962" spans="2:2">
      <c r="B962" s="53"/>
    </row>
    <row r="963" spans="2:2">
      <c r="B963" s="53"/>
    </row>
    <row r="964" spans="2:2">
      <c r="B964" s="53"/>
    </row>
    <row r="965" spans="2:2">
      <c r="B965" s="53"/>
    </row>
    <row r="966" spans="2:2">
      <c r="B966" s="53"/>
    </row>
    <row r="967" spans="2:2">
      <c r="B967" s="53"/>
    </row>
    <row r="968" spans="2:2">
      <c r="B968" s="53"/>
    </row>
    <row r="969" spans="2:2">
      <c r="B969" s="53"/>
    </row>
    <row r="970" spans="2:2">
      <c r="B970" s="53"/>
    </row>
    <row r="971" spans="2:2">
      <c r="B971" s="53"/>
    </row>
    <row r="972" spans="2:2">
      <c r="B972" s="53"/>
    </row>
    <row r="973" spans="2:2">
      <c r="B973" s="53"/>
    </row>
    <row r="974" spans="2:2">
      <c r="B974" s="53"/>
    </row>
    <row r="975" spans="2:2">
      <c r="B975" s="53"/>
    </row>
    <row r="976" spans="2:2">
      <c r="B976" s="53"/>
    </row>
    <row r="977" spans="2:2">
      <c r="B977" s="53"/>
    </row>
    <row r="978" spans="2:2">
      <c r="B978" s="53"/>
    </row>
    <row r="979" spans="2:2">
      <c r="B979" s="53"/>
    </row>
    <row r="980" spans="2:2">
      <c r="B980" s="53"/>
    </row>
    <row r="981" spans="2:2">
      <c r="B981" s="53"/>
    </row>
    <row r="982" spans="2:2">
      <c r="B982" s="53"/>
    </row>
    <row r="983" spans="2:2">
      <c r="B983" s="53"/>
    </row>
    <row r="984" spans="2:2">
      <c r="B984" s="53"/>
    </row>
    <row r="985" spans="2:2">
      <c r="B985" s="53"/>
    </row>
    <row r="986" spans="2:2">
      <c r="B986" s="53"/>
    </row>
    <row r="987" spans="2:2">
      <c r="B987" s="53"/>
    </row>
    <row r="988" spans="2:2">
      <c r="B988" s="53"/>
    </row>
    <row r="989" spans="2:2">
      <c r="B989" s="53"/>
    </row>
    <row r="990" spans="2:2">
      <c r="B990" s="53"/>
    </row>
    <row r="991" spans="2:2">
      <c r="B991" s="53"/>
    </row>
    <row r="992" spans="2:2">
      <c r="B992" s="53"/>
    </row>
    <row r="993" spans="2:2">
      <c r="B993" s="53"/>
    </row>
    <row r="994" spans="2:2">
      <c r="B994" s="53"/>
    </row>
    <row r="995" spans="2:2">
      <c r="B995" s="53"/>
    </row>
    <row r="996" spans="2:2">
      <c r="B996" s="53"/>
    </row>
    <row r="997" spans="2:2">
      <c r="B997" s="53"/>
    </row>
    <row r="998" spans="2:2">
      <c r="B998" s="53"/>
    </row>
    <row r="999" spans="2:2">
      <c r="B999" s="53"/>
    </row>
    <row r="1000" spans="2:2">
      <c r="B1000" s="53"/>
    </row>
    <row r="1001" spans="2:2">
      <c r="B1001" s="53"/>
    </row>
    <row r="1002" spans="2:2">
      <c r="B1002" s="53"/>
    </row>
    <row r="1003" spans="2:2">
      <c r="B1003" s="53"/>
    </row>
    <row r="1004" spans="2:2">
      <c r="B1004" s="53"/>
    </row>
    <row r="1005" spans="2:2">
      <c r="B1005" s="53"/>
    </row>
    <row r="1006" spans="2:2">
      <c r="B1006" s="53"/>
    </row>
  </sheetData>
  <sortState xmlns:xlrd2="http://schemas.microsoft.com/office/spreadsheetml/2017/richdata2" ref="G16:H24">
    <sortCondition descending="1" ref="H16"/>
  </sortState>
  <phoneticPr fontId="14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13"/>
  </sheetPr>
  <dimension ref="A1:W535"/>
  <sheetViews>
    <sheetView showGridLines="0" zoomScale="95" zoomScaleNormal="95" workbookViewId="0">
      <pane ySplit="3" topLeftCell="A418" activePane="bottomLeft" state="frozen"/>
      <selection pane="bottomLeft" activeCell="A432" sqref="A432:XFD432"/>
    </sheetView>
  </sheetViews>
  <sheetFormatPr defaultColWidth="9" defaultRowHeight="12.5"/>
  <cols>
    <col min="1" max="1" width="2.36328125" customWidth="1"/>
    <col min="2" max="2" width="12.08984375" customWidth="1"/>
    <col min="3" max="4" width="12.08984375" style="3" customWidth="1"/>
    <col min="5" max="5" width="12.08984375" customWidth="1"/>
    <col min="6" max="6" width="5.54296875" style="4" customWidth="1"/>
    <col min="7" max="7" width="10" style="4" customWidth="1"/>
    <col min="8" max="8" width="15.36328125" style="5" customWidth="1"/>
    <col min="9" max="9" width="19.81640625" style="5" customWidth="1"/>
    <col min="10" max="10" width="39.90625" style="5" customWidth="1"/>
    <col min="11" max="11" width="10.36328125" style="4" customWidth="1"/>
    <col min="12" max="12" width="4.81640625" style="4" customWidth="1"/>
    <col min="13" max="13" width="17.54296875" style="5" customWidth="1"/>
    <col min="14" max="14" width="27.26953125" style="5" customWidth="1"/>
    <col min="15" max="15" width="25.36328125" customWidth="1"/>
  </cols>
  <sheetData>
    <row r="1" spans="1:15" s="1" customFormat="1" ht="6" customHeight="1">
      <c r="A1" s="6"/>
      <c r="B1" s="6"/>
      <c r="C1" s="7"/>
      <c r="D1" s="7"/>
      <c r="E1" s="6"/>
      <c r="F1" s="4"/>
      <c r="G1" s="4"/>
      <c r="H1" s="5"/>
      <c r="I1" s="5"/>
      <c r="J1" s="5"/>
      <c r="K1" s="4"/>
      <c r="L1" s="4"/>
      <c r="M1" s="5"/>
      <c r="N1" s="5"/>
    </row>
    <row r="2" spans="1:15" ht="16.5" customHeight="1">
      <c r="B2" s="8" t="s">
        <v>97</v>
      </c>
      <c r="C2" s="9" t="s">
        <v>74</v>
      </c>
      <c r="D2" s="10" t="s">
        <v>108</v>
      </c>
      <c r="E2" s="11" t="s">
        <v>49</v>
      </c>
      <c r="F2" s="1389" t="s">
        <v>139</v>
      </c>
      <c r="G2" s="1390"/>
      <c r="H2" s="1390"/>
      <c r="I2" s="1390"/>
      <c r="J2" s="1390"/>
      <c r="K2" s="1391"/>
      <c r="L2" s="33"/>
    </row>
    <row r="3" spans="1:15" ht="16.5" customHeight="1">
      <c r="B3" s="12" t="s">
        <v>109</v>
      </c>
      <c r="C3" s="9" t="s">
        <v>47</v>
      </c>
      <c r="D3" s="10" t="s">
        <v>110</v>
      </c>
      <c r="E3" s="11" t="s">
        <v>31</v>
      </c>
      <c r="F3" s="13" t="s">
        <v>111</v>
      </c>
      <c r="G3" s="14" t="s">
        <v>112</v>
      </c>
      <c r="H3" s="15" t="s">
        <v>113</v>
      </c>
      <c r="I3" s="15" t="s">
        <v>114</v>
      </c>
      <c r="J3" s="15" t="s">
        <v>115</v>
      </c>
      <c r="K3" s="15" t="s">
        <v>116</v>
      </c>
      <c r="L3" s="34"/>
      <c r="M3" s="35" t="s">
        <v>43</v>
      </c>
      <c r="N3" s="115" t="s">
        <v>117</v>
      </c>
      <c r="O3" s="515" t="s">
        <v>519</v>
      </c>
    </row>
    <row r="4" spans="1:15" ht="16.5" customHeight="1">
      <c r="B4" s="16" t="s">
        <v>56</v>
      </c>
      <c r="C4" s="9" t="s">
        <v>64</v>
      </c>
      <c r="D4" s="90" t="s">
        <v>118</v>
      </c>
      <c r="E4" s="11" t="s">
        <v>58</v>
      </c>
      <c r="F4" s="96">
        <v>230</v>
      </c>
      <c r="G4" s="38">
        <v>2439703</v>
      </c>
      <c r="H4" s="97" t="s">
        <v>142</v>
      </c>
      <c r="I4" s="97" t="s">
        <v>84</v>
      </c>
      <c r="J4" s="97" t="s">
        <v>177</v>
      </c>
      <c r="K4" s="98" t="s">
        <v>32</v>
      </c>
      <c r="L4" s="36"/>
      <c r="M4" s="35"/>
      <c r="N4" s="35"/>
    </row>
    <row r="5" spans="1:15" ht="16.5" customHeight="1">
      <c r="B5" s="16" t="s">
        <v>65</v>
      </c>
      <c r="C5" s="9" t="s">
        <v>82</v>
      </c>
      <c r="D5" s="10" t="s">
        <v>119</v>
      </c>
      <c r="E5" s="11"/>
      <c r="F5" s="96"/>
      <c r="G5" s="38">
        <v>2439704</v>
      </c>
      <c r="H5" s="97" t="s">
        <v>142</v>
      </c>
      <c r="I5" s="97" t="s">
        <v>84</v>
      </c>
      <c r="J5" s="97" t="s">
        <v>177</v>
      </c>
      <c r="K5" s="98" t="s">
        <v>28</v>
      </c>
      <c r="L5" s="36"/>
      <c r="M5" s="35" t="s">
        <v>38</v>
      </c>
      <c r="N5" s="35" t="s">
        <v>120</v>
      </c>
    </row>
    <row r="6" spans="1:15" ht="16.5" customHeight="1">
      <c r="B6" s="16" t="s">
        <v>39</v>
      </c>
      <c r="C6" s="9" t="s">
        <v>62</v>
      </c>
      <c r="D6" s="10" t="s">
        <v>121</v>
      </c>
      <c r="E6" s="11"/>
      <c r="F6" s="96"/>
      <c r="G6" s="38">
        <v>2439705</v>
      </c>
      <c r="H6" s="97" t="s">
        <v>142</v>
      </c>
      <c r="I6" s="97" t="s">
        <v>84</v>
      </c>
      <c r="J6" s="97" t="s">
        <v>177</v>
      </c>
      <c r="K6" s="98" t="s">
        <v>36</v>
      </c>
      <c r="L6" s="36"/>
      <c r="M6" s="35"/>
      <c r="N6" s="35"/>
    </row>
    <row r="7" spans="1:15" ht="16.5" customHeight="1">
      <c r="B7" s="16" t="s">
        <v>48</v>
      </c>
      <c r="C7" s="9" t="s">
        <v>30</v>
      </c>
      <c r="D7" s="17"/>
      <c r="E7" s="18"/>
      <c r="F7" s="96"/>
      <c r="G7" s="38">
        <v>2677099</v>
      </c>
      <c r="H7" s="97" t="s">
        <v>142</v>
      </c>
      <c r="I7" s="97" t="s">
        <v>84</v>
      </c>
      <c r="J7" s="97" t="s">
        <v>177</v>
      </c>
      <c r="K7" s="98" t="s">
        <v>52</v>
      </c>
      <c r="L7" s="36"/>
      <c r="M7" s="35" t="s">
        <v>122</v>
      </c>
      <c r="N7" s="35" t="s">
        <v>123</v>
      </c>
    </row>
    <row r="8" spans="1:15" ht="16.5" customHeight="1">
      <c r="B8" s="19" t="s">
        <v>92</v>
      </c>
      <c r="C8" s="9" t="s">
        <v>40</v>
      </c>
      <c r="D8" s="17"/>
      <c r="E8" s="18"/>
      <c r="F8" s="42">
        <v>231</v>
      </c>
      <c r="G8" s="42">
        <v>2439679</v>
      </c>
      <c r="H8" s="97" t="s">
        <v>142</v>
      </c>
      <c r="I8" s="97" t="s">
        <v>84</v>
      </c>
      <c r="J8" s="97" t="s">
        <v>189</v>
      </c>
      <c r="K8" s="98" t="s">
        <v>32</v>
      </c>
      <c r="L8" s="36"/>
      <c r="M8" s="35"/>
      <c r="N8" s="35"/>
    </row>
    <row r="9" spans="1:15" ht="16.5" customHeight="1">
      <c r="B9" s="16" t="s">
        <v>61</v>
      </c>
      <c r="C9" s="9" t="s">
        <v>93</v>
      </c>
      <c r="D9" s="10"/>
      <c r="E9" s="18"/>
      <c r="F9" s="42"/>
      <c r="G9" s="42">
        <v>2439680</v>
      </c>
      <c r="H9" s="97" t="s">
        <v>142</v>
      </c>
      <c r="I9" s="97" t="s">
        <v>84</v>
      </c>
      <c r="J9" s="98" t="s">
        <v>190</v>
      </c>
      <c r="K9" s="98" t="s">
        <v>28</v>
      </c>
      <c r="L9" s="36"/>
      <c r="M9" s="35" t="s">
        <v>25</v>
      </c>
      <c r="N9" s="35" t="s">
        <v>124</v>
      </c>
    </row>
    <row r="10" spans="1:15" ht="16.5" customHeight="1">
      <c r="B10" s="16" t="s">
        <v>103</v>
      </c>
      <c r="C10" s="20" t="s">
        <v>57</v>
      </c>
      <c r="D10" s="17"/>
      <c r="E10" s="18"/>
      <c r="F10" s="42"/>
      <c r="G10" s="42">
        <v>2439681</v>
      </c>
      <c r="H10" s="97" t="s">
        <v>142</v>
      </c>
      <c r="I10" s="97" t="s">
        <v>84</v>
      </c>
      <c r="J10" s="98" t="s">
        <v>191</v>
      </c>
      <c r="K10" s="98" t="s">
        <v>36</v>
      </c>
      <c r="L10" s="36"/>
      <c r="M10" s="35"/>
      <c r="N10" s="35"/>
    </row>
    <row r="11" spans="1:15" ht="16.5" customHeight="1">
      <c r="B11" s="16" t="s">
        <v>29</v>
      </c>
      <c r="C11" s="21" t="s">
        <v>104</v>
      </c>
      <c r="D11" s="17"/>
      <c r="E11" s="18"/>
      <c r="F11" s="42"/>
      <c r="G11" s="42">
        <v>2439682</v>
      </c>
      <c r="H11" s="97" t="s">
        <v>142</v>
      </c>
      <c r="I11" s="97" t="s">
        <v>84</v>
      </c>
      <c r="J11" s="98" t="s">
        <v>192</v>
      </c>
      <c r="K11" s="98" t="s">
        <v>52</v>
      </c>
      <c r="L11" s="36"/>
      <c r="M11" s="35" t="s">
        <v>125</v>
      </c>
      <c r="N11" s="35" t="s">
        <v>126</v>
      </c>
    </row>
    <row r="12" spans="1:15" ht="16.5" customHeight="1">
      <c r="B12" s="16" t="s">
        <v>96</v>
      </c>
      <c r="C12" s="20"/>
      <c r="D12" s="22"/>
      <c r="E12" s="18"/>
      <c r="F12" s="38">
        <v>276</v>
      </c>
      <c r="G12" s="38">
        <v>2908894</v>
      </c>
      <c r="H12" s="97" t="s">
        <v>144</v>
      </c>
      <c r="I12" s="99" t="s">
        <v>98</v>
      </c>
      <c r="J12" s="99" t="s">
        <v>99</v>
      </c>
      <c r="K12" s="99" t="s">
        <v>63</v>
      </c>
      <c r="L12" s="36"/>
      <c r="M12" s="35"/>
      <c r="N12" s="35"/>
    </row>
    <row r="13" spans="1:15" ht="16.5" customHeight="1">
      <c r="B13" s="16" t="s">
        <v>67</v>
      </c>
      <c r="C13" s="22"/>
      <c r="D13" s="17"/>
      <c r="E13" s="18"/>
      <c r="F13" s="38"/>
      <c r="G13" s="38">
        <v>2908893</v>
      </c>
      <c r="H13" s="97" t="s">
        <v>144</v>
      </c>
      <c r="I13" s="99" t="s">
        <v>98</v>
      </c>
      <c r="J13" s="99" t="s">
        <v>99</v>
      </c>
      <c r="K13" s="99" t="s">
        <v>32</v>
      </c>
      <c r="L13" s="36"/>
      <c r="M13" s="35" t="s">
        <v>69</v>
      </c>
      <c r="N13" s="35" t="s">
        <v>69</v>
      </c>
    </row>
    <row r="14" spans="1:15" ht="16.5" customHeight="1">
      <c r="B14" s="16" t="s">
        <v>81</v>
      </c>
      <c r="C14" s="22"/>
      <c r="D14" s="17"/>
      <c r="E14" s="18"/>
      <c r="F14" s="38"/>
      <c r="G14" s="38">
        <v>2908892</v>
      </c>
      <c r="H14" s="97" t="s">
        <v>144</v>
      </c>
      <c r="I14" s="99" t="s">
        <v>98</v>
      </c>
      <c r="J14" s="99" t="s">
        <v>99</v>
      </c>
      <c r="K14" s="99" t="s">
        <v>28</v>
      </c>
      <c r="L14" s="36"/>
      <c r="M14" s="35"/>
      <c r="N14" s="35"/>
    </row>
    <row r="15" spans="1:15" ht="16.5" customHeight="1">
      <c r="B15" s="23" t="s">
        <v>41</v>
      </c>
      <c r="C15" s="22"/>
      <c r="D15" s="17"/>
      <c r="E15" s="18"/>
      <c r="F15" s="38"/>
      <c r="G15" s="38">
        <v>2941229</v>
      </c>
      <c r="H15" s="97" t="s">
        <v>144</v>
      </c>
      <c r="I15" s="99" t="s">
        <v>98</v>
      </c>
      <c r="J15" s="99" t="s">
        <v>99</v>
      </c>
      <c r="K15" s="99" t="s">
        <v>36</v>
      </c>
      <c r="L15" s="36"/>
      <c r="M15" s="35" t="s">
        <v>127</v>
      </c>
      <c r="N15" s="35" t="s">
        <v>128</v>
      </c>
    </row>
    <row r="16" spans="1:15" ht="16.5" customHeight="1">
      <c r="B16" s="16" t="s">
        <v>46</v>
      </c>
      <c r="C16" s="22"/>
      <c r="D16" s="22"/>
      <c r="E16" s="18"/>
      <c r="F16" s="42">
        <v>287</v>
      </c>
      <c r="G16" s="100">
        <v>4044664</v>
      </c>
      <c r="H16" s="97" t="s">
        <v>143</v>
      </c>
      <c r="I16" s="101" t="s">
        <v>77</v>
      </c>
      <c r="J16" s="98" t="s">
        <v>80</v>
      </c>
      <c r="K16" s="98" t="s">
        <v>32</v>
      </c>
      <c r="L16" s="36"/>
      <c r="M16" s="35"/>
      <c r="N16" s="35"/>
    </row>
    <row r="17" spans="2:14" ht="16.5" customHeight="1">
      <c r="B17" s="24"/>
      <c r="C17" s="25"/>
      <c r="D17" s="26"/>
      <c r="E17" s="27"/>
      <c r="F17" s="42"/>
      <c r="G17" s="100">
        <v>4044663</v>
      </c>
      <c r="H17" s="97" t="s">
        <v>143</v>
      </c>
      <c r="I17" s="101" t="s">
        <v>77</v>
      </c>
      <c r="J17" s="98" t="s">
        <v>80</v>
      </c>
      <c r="K17" s="98" t="s">
        <v>28</v>
      </c>
      <c r="L17" s="36"/>
      <c r="M17" s="35" t="s">
        <v>129</v>
      </c>
      <c r="N17" s="35" t="s">
        <v>130</v>
      </c>
    </row>
    <row r="18" spans="2:14" ht="16.5" customHeight="1">
      <c r="B18" s="28"/>
      <c r="C18" s="25"/>
      <c r="D18" s="26"/>
      <c r="E18" s="27"/>
      <c r="F18" s="42"/>
      <c r="G18" s="100">
        <v>4044662</v>
      </c>
      <c r="H18" s="97" t="s">
        <v>143</v>
      </c>
      <c r="I18" s="101" t="s">
        <v>77</v>
      </c>
      <c r="J18" s="98" t="s">
        <v>80</v>
      </c>
      <c r="K18" s="98" t="s">
        <v>36</v>
      </c>
      <c r="L18" s="36"/>
      <c r="M18" s="35"/>
      <c r="N18" s="35"/>
    </row>
    <row r="19" spans="2:14" ht="16.5" customHeight="1">
      <c r="B19" s="28"/>
      <c r="C19" s="25"/>
      <c r="D19" s="26"/>
      <c r="E19" s="27"/>
      <c r="F19" s="42"/>
      <c r="G19" s="100">
        <v>4044665</v>
      </c>
      <c r="H19" s="97" t="s">
        <v>143</v>
      </c>
      <c r="I19" s="101" t="s">
        <v>77</v>
      </c>
      <c r="J19" s="98" t="s">
        <v>80</v>
      </c>
      <c r="K19" s="97" t="s">
        <v>52</v>
      </c>
      <c r="L19" s="36"/>
      <c r="M19" s="35" t="s">
        <v>131</v>
      </c>
      <c r="N19" s="35" t="s">
        <v>132</v>
      </c>
    </row>
    <row r="20" spans="2:14" ht="16.5" customHeight="1">
      <c r="B20" s="28"/>
      <c r="C20" s="25"/>
      <c r="D20" s="25"/>
      <c r="E20" s="27"/>
      <c r="F20" s="42">
        <v>288</v>
      </c>
      <c r="G20" s="100">
        <v>2879760</v>
      </c>
      <c r="H20" s="97" t="s">
        <v>142</v>
      </c>
      <c r="I20" s="102" t="s">
        <v>44</v>
      </c>
      <c r="J20" s="101" t="s">
        <v>59</v>
      </c>
      <c r="K20" s="98" t="s">
        <v>32</v>
      </c>
      <c r="L20" s="36"/>
      <c r="M20" s="35"/>
      <c r="N20" s="35"/>
    </row>
    <row r="21" spans="2:14" ht="16.5" customHeight="1">
      <c r="B21" s="28"/>
      <c r="C21" s="25"/>
      <c r="D21" s="26"/>
      <c r="E21" s="27"/>
      <c r="F21" s="42"/>
      <c r="G21" s="100">
        <v>2879759</v>
      </c>
      <c r="H21" s="97" t="s">
        <v>142</v>
      </c>
      <c r="I21" s="102" t="s">
        <v>44</v>
      </c>
      <c r="J21" s="101" t="s">
        <v>59</v>
      </c>
      <c r="K21" s="98" t="s">
        <v>28</v>
      </c>
      <c r="L21" s="36"/>
      <c r="M21" s="35" t="s">
        <v>33</v>
      </c>
      <c r="N21" s="35" t="s">
        <v>133</v>
      </c>
    </row>
    <row r="22" spans="2:14" ht="16.5" customHeight="1">
      <c r="B22" s="28"/>
      <c r="C22" s="25"/>
      <c r="D22" s="26"/>
      <c r="E22" s="27"/>
      <c r="F22" s="42"/>
      <c r="G22" s="100">
        <v>2879758</v>
      </c>
      <c r="H22" s="97" t="s">
        <v>142</v>
      </c>
      <c r="I22" s="102" t="s">
        <v>44</v>
      </c>
      <c r="J22" s="101" t="s">
        <v>59</v>
      </c>
      <c r="K22" s="98" t="s">
        <v>36</v>
      </c>
      <c r="L22" s="36"/>
    </row>
    <row r="23" spans="2:14" ht="16.5" customHeight="1">
      <c r="B23" s="28"/>
      <c r="C23" s="25"/>
      <c r="D23" s="26"/>
      <c r="E23" s="27"/>
      <c r="F23" s="42"/>
      <c r="G23" s="100">
        <v>2879761</v>
      </c>
      <c r="H23" s="97" t="s">
        <v>142</v>
      </c>
      <c r="I23" s="102" t="s">
        <v>44</v>
      </c>
      <c r="J23" s="101" t="s">
        <v>59</v>
      </c>
      <c r="K23" s="98" t="s">
        <v>52</v>
      </c>
      <c r="L23" s="36"/>
    </row>
    <row r="24" spans="2:14" ht="16.5" customHeight="1">
      <c r="B24" s="28"/>
      <c r="C24" s="25"/>
      <c r="D24" s="26"/>
      <c r="E24" s="27"/>
      <c r="F24" s="42">
        <v>318</v>
      </c>
      <c r="G24" s="42">
        <v>4026722</v>
      </c>
      <c r="H24" s="43" t="s">
        <v>148</v>
      </c>
      <c r="I24" s="42" t="s">
        <v>53</v>
      </c>
      <c r="J24" s="42" t="s">
        <v>54</v>
      </c>
      <c r="K24" s="42" t="s">
        <v>32</v>
      </c>
      <c r="L24" s="36"/>
    </row>
    <row r="25" spans="2:14" ht="16.5" customHeight="1">
      <c r="B25" s="28"/>
      <c r="C25" s="25"/>
      <c r="D25" s="26"/>
      <c r="E25" s="27"/>
      <c r="F25" s="42"/>
      <c r="G25" s="42">
        <v>4026721</v>
      </c>
      <c r="H25" s="43" t="s">
        <v>148</v>
      </c>
      <c r="I25" s="42" t="s">
        <v>53</v>
      </c>
      <c r="J25" s="42" t="s">
        <v>54</v>
      </c>
      <c r="K25" s="42" t="s">
        <v>28</v>
      </c>
      <c r="L25" s="36"/>
    </row>
    <row r="26" spans="2:14" ht="16.5" customHeight="1">
      <c r="B26" s="28"/>
      <c r="C26" s="25"/>
      <c r="D26" s="26"/>
      <c r="E26" s="27"/>
      <c r="F26" s="42"/>
      <c r="G26" s="42">
        <v>4026720</v>
      </c>
      <c r="H26" s="43" t="s">
        <v>148</v>
      </c>
      <c r="I26" s="42" t="s">
        <v>53</v>
      </c>
      <c r="J26" s="42" t="s">
        <v>54</v>
      </c>
      <c r="K26" s="38" t="s">
        <v>36</v>
      </c>
      <c r="L26" s="36"/>
    </row>
    <row r="27" spans="2:14" ht="16.5" customHeight="1">
      <c r="B27" s="28"/>
      <c r="C27" s="25"/>
      <c r="D27" s="25"/>
      <c r="E27" s="27"/>
      <c r="F27" s="42">
        <v>319</v>
      </c>
      <c r="G27" s="43">
        <v>4340176</v>
      </c>
      <c r="H27" s="43" t="s">
        <v>144</v>
      </c>
      <c r="I27" s="42" t="s">
        <v>60</v>
      </c>
      <c r="J27" s="42" t="s">
        <v>193</v>
      </c>
      <c r="K27" s="42" t="s">
        <v>63</v>
      </c>
      <c r="L27" s="36"/>
    </row>
    <row r="28" spans="2:14" ht="16.5" customHeight="1">
      <c r="B28" s="29"/>
      <c r="C28" s="25"/>
      <c r="D28" s="26"/>
      <c r="E28" s="27"/>
      <c r="F28" s="42"/>
      <c r="G28" s="43">
        <v>4340177</v>
      </c>
      <c r="H28" s="43" t="s">
        <v>144</v>
      </c>
      <c r="I28" s="42" t="s">
        <v>60</v>
      </c>
      <c r="J28" s="42" t="s">
        <v>193</v>
      </c>
      <c r="K28" s="42" t="s">
        <v>32</v>
      </c>
      <c r="L28" s="36"/>
    </row>
    <row r="29" spans="2:14" ht="16.5" customHeight="1">
      <c r="B29" s="28"/>
      <c r="C29" s="25"/>
      <c r="D29" s="26"/>
      <c r="E29" s="27"/>
      <c r="F29" s="42"/>
      <c r="G29" s="43">
        <v>4340178</v>
      </c>
      <c r="H29" s="43" t="s">
        <v>144</v>
      </c>
      <c r="I29" s="42" t="s">
        <v>60</v>
      </c>
      <c r="J29" s="42" t="s">
        <v>193</v>
      </c>
      <c r="K29" s="42" t="s">
        <v>28</v>
      </c>
      <c r="L29" s="36"/>
    </row>
    <row r="30" spans="2:14" ht="16.5" customHeight="1">
      <c r="B30" s="28"/>
      <c r="C30" s="25"/>
      <c r="D30" s="26"/>
      <c r="E30" s="27"/>
      <c r="F30" s="42"/>
      <c r="G30" s="43">
        <v>4340179</v>
      </c>
      <c r="H30" s="43" t="s">
        <v>144</v>
      </c>
      <c r="I30" s="42" t="s">
        <v>60</v>
      </c>
      <c r="J30" s="42" t="s">
        <v>193</v>
      </c>
      <c r="K30" s="42" t="s">
        <v>36</v>
      </c>
      <c r="L30" s="36"/>
    </row>
    <row r="31" spans="2:14" ht="16.5" customHeight="1">
      <c r="B31" s="28"/>
      <c r="C31" s="25"/>
      <c r="D31" s="26"/>
      <c r="E31" s="27"/>
      <c r="F31" s="42"/>
      <c r="G31" s="43">
        <v>4340180</v>
      </c>
      <c r="H31" s="43" t="s">
        <v>144</v>
      </c>
      <c r="I31" s="42" t="s">
        <v>60</v>
      </c>
      <c r="J31" s="42" t="s">
        <v>193</v>
      </c>
      <c r="K31" s="43" t="s">
        <v>52</v>
      </c>
      <c r="L31" s="36"/>
    </row>
    <row r="32" spans="2:14" ht="16.5" customHeight="1">
      <c r="B32" s="28"/>
      <c r="C32" s="25"/>
      <c r="D32" s="25"/>
      <c r="E32" s="27"/>
      <c r="F32" s="42">
        <v>320</v>
      </c>
      <c r="G32" s="43">
        <v>4341325</v>
      </c>
      <c r="H32" s="43" t="s">
        <v>143</v>
      </c>
      <c r="I32" s="42" t="s">
        <v>77</v>
      </c>
      <c r="J32" s="42" t="s">
        <v>194</v>
      </c>
      <c r="K32" s="42" t="s">
        <v>32</v>
      </c>
      <c r="L32" s="36"/>
    </row>
    <row r="33" spans="2:12" ht="16.5" customHeight="1">
      <c r="B33" s="29"/>
      <c r="C33" s="25"/>
      <c r="D33" s="26"/>
      <c r="E33" s="27"/>
      <c r="F33" s="42"/>
      <c r="G33" s="43">
        <v>4341350</v>
      </c>
      <c r="H33" s="43" t="s">
        <v>143</v>
      </c>
      <c r="I33" s="42" t="s">
        <v>77</v>
      </c>
      <c r="J33" s="42" t="s">
        <v>194</v>
      </c>
      <c r="K33" s="42" t="s">
        <v>28</v>
      </c>
      <c r="L33" s="36"/>
    </row>
    <row r="34" spans="2:12" ht="16.5" customHeight="1">
      <c r="B34" s="28"/>
      <c r="C34" s="25"/>
      <c r="D34" s="25"/>
      <c r="E34" s="27"/>
      <c r="F34" s="42"/>
      <c r="G34" s="43">
        <v>4341375</v>
      </c>
      <c r="H34" s="43" t="s">
        <v>143</v>
      </c>
      <c r="I34" s="42" t="s">
        <v>77</v>
      </c>
      <c r="J34" s="42" t="s">
        <v>194</v>
      </c>
      <c r="K34" s="42" t="s">
        <v>36</v>
      </c>
      <c r="L34" s="36"/>
    </row>
    <row r="35" spans="2:12" ht="16.5" customHeight="1">
      <c r="B35" s="30"/>
      <c r="C35" s="25"/>
      <c r="D35" s="26"/>
      <c r="E35" s="27"/>
      <c r="F35" s="42"/>
      <c r="G35" s="43">
        <v>4341376</v>
      </c>
      <c r="H35" s="43" t="s">
        <v>143</v>
      </c>
      <c r="I35" s="42" t="s">
        <v>77</v>
      </c>
      <c r="J35" s="42" t="s">
        <v>194</v>
      </c>
      <c r="K35" s="42" t="s">
        <v>52</v>
      </c>
      <c r="L35" s="36"/>
    </row>
    <row r="36" spans="2:12" ht="16.5" customHeight="1">
      <c r="B36" s="31"/>
      <c r="C36" s="25"/>
      <c r="D36" s="25"/>
      <c r="E36" s="27"/>
      <c r="F36" s="42">
        <v>321</v>
      </c>
      <c r="G36" s="43">
        <v>4383408</v>
      </c>
      <c r="H36" s="43" t="s">
        <v>143</v>
      </c>
      <c r="I36" s="42" t="s">
        <v>134</v>
      </c>
      <c r="J36" s="42" t="s">
        <v>195</v>
      </c>
      <c r="K36" s="42" t="s">
        <v>32</v>
      </c>
      <c r="L36" s="36"/>
    </row>
    <row r="37" spans="2:12" ht="16.5" customHeight="1">
      <c r="B37" s="32"/>
      <c r="C37" s="26"/>
      <c r="D37" s="26"/>
      <c r="E37" s="27"/>
      <c r="F37" s="42"/>
      <c r="G37" s="43">
        <v>4383409</v>
      </c>
      <c r="H37" s="43" t="s">
        <v>143</v>
      </c>
      <c r="I37" s="42" t="s">
        <v>134</v>
      </c>
      <c r="J37" s="42" t="s">
        <v>195</v>
      </c>
      <c r="K37" s="42" t="s">
        <v>28</v>
      </c>
      <c r="L37" s="36"/>
    </row>
    <row r="38" spans="2:12" ht="16.5" customHeight="1">
      <c r="B38" s="31"/>
      <c r="C38" s="26"/>
      <c r="D38" s="26"/>
      <c r="E38" s="27"/>
      <c r="F38" s="42"/>
      <c r="G38" s="43">
        <v>4383410</v>
      </c>
      <c r="H38" s="43" t="s">
        <v>143</v>
      </c>
      <c r="I38" s="42" t="s">
        <v>134</v>
      </c>
      <c r="J38" s="42" t="s">
        <v>195</v>
      </c>
      <c r="K38" s="42" t="s">
        <v>36</v>
      </c>
      <c r="L38" s="36"/>
    </row>
    <row r="39" spans="2:12" ht="16.5" customHeight="1">
      <c r="B39" s="31"/>
      <c r="C39" s="26"/>
      <c r="D39" s="26"/>
      <c r="E39" s="27"/>
      <c r="F39" s="42"/>
      <c r="G39" s="43">
        <v>4383411</v>
      </c>
      <c r="H39" s="43" t="s">
        <v>143</v>
      </c>
      <c r="I39" s="42" t="s">
        <v>134</v>
      </c>
      <c r="J39" s="42" t="s">
        <v>195</v>
      </c>
      <c r="K39" s="42" t="s">
        <v>52</v>
      </c>
      <c r="L39" s="36"/>
    </row>
    <row r="40" spans="2:12" ht="16.5" customHeight="1">
      <c r="B40" s="31"/>
      <c r="C40" s="26"/>
      <c r="D40" s="26"/>
      <c r="E40" s="27"/>
      <c r="F40" s="42">
        <v>322</v>
      </c>
      <c r="G40" s="43">
        <v>2969353</v>
      </c>
      <c r="H40" s="43" t="s">
        <v>145</v>
      </c>
      <c r="I40" s="42" t="s">
        <v>50</v>
      </c>
      <c r="J40" s="42" t="s">
        <v>51</v>
      </c>
      <c r="K40" s="42" t="s">
        <v>52</v>
      </c>
      <c r="L40" s="36"/>
    </row>
    <row r="41" spans="2:12" ht="16.5" customHeight="1">
      <c r="B41" s="31"/>
      <c r="C41" s="25"/>
      <c r="D41" s="26"/>
      <c r="E41" s="27"/>
      <c r="F41" s="42"/>
      <c r="G41" s="43">
        <v>2969350</v>
      </c>
      <c r="H41" s="43" t="s">
        <v>145</v>
      </c>
      <c r="I41" s="42" t="s">
        <v>50</v>
      </c>
      <c r="J41" s="42" t="s">
        <v>51</v>
      </c>
      <c r="K41" s="42" t="s">
        <v>36</v>
      </c>
      <c r="L41" s="36"/>
    </row>
    <row r="42" spans="2:12" ht="16.5" customHeight="1">
      <c r="B42" s="31"/>
      <c r="C42" s="26"/>
      <c r="D42" s="26"/>
      <c r="E42" s="27"/>
      <c r="F42" s="42"/>
      <c r="G42" s="43">
        <v>2969351</v>
      </c>
      <c r="H42" s="43" t="s">
        <v>145</v>
      </c>
      <c r="I42" s="42" t="s">
        <v>50</v>
      </c>
      <c r="J42" s="42" t="s">
        <v>51</v>
      </c>
      <c r="K42" s="42" t="s">
        <v>28</v>
      </c>
      <c r="L42" s="36"/>
    </row>
    <row r="43" spans="2:12" ht="16.5" customHeight="1">
      <c r="B43" s="31"/>
      <c r="C43" s="26"/>
      <c r="D43" s="26"/>
      <c r="E43" s="27"/>
      <c r="F43" s="42"/>
      <c r="G43" s="43">
        <v>2969352</v>
      </c>
      <c r="H43" s="43" t="s">
        <v>145</v>
      </c>
      <c r="I43" s="42" t="s">
        <v>50</v>
      </c>
      <c r="J43" s="42" t="s">
        <v>51</v>
      </c>
      <c r="K43" s="42" t="s">
        <v>32</v>
      </c>
      <c r="L43" s="36"/>
    </row>
    <row r="44" spans="2:12" ht="16.5" customHeight="1">
      <c r="B44" s="31"/>
      <c r="C44" s="25"/>
      <c r="D44" s="26"/>
      <c r="E44" s="27"/>
      <c r="F44" s="42"/>
      <c r="G44" s="43">
        <v>2969354</v>
      </c>
      <c r="H44" s="43" t="s">
        <v>145</v>
      </c>
      <c r="I44" s="42" t="s">
        <v>50</v>
      </c>
      <c r="J44" s="42" t="s">
        <v>51</v>
      </c>
      <c r="K44" s="42" t="s">
        <v>63</v>
      </c>
      <c r="L44" s="36"/>
    </row>
    <row r="45" spans="2:12" ht="16.5" customHeight="1">
      <c r="B45" s="31"/>
      <c r="C45" s="26"/>
      <c r="D45" s="25"/>
      <c r="E45" s="27"/>
      <c r="F45" s="42"/>
      <c r="G45" s="43">
        <v>4006616</v>
      </c>
      <c r="H45" s="43" t="s">
        <v>145</v>
      </c>
      <c r="I45" s="42" t="s">
        <v>50</v>
      </c>
      <c r="J45" s="42" t="s">
        <v>51</v>
      </c>
      <c r="K45" s="43" t="s">
        <v>83</v>
      </c>
      <c r="L45" s="36"/>
    </row>
    <row r="46" spans="2:12" ht="16.5" customHeight="1">
      <c r="B46" s="31"/>
      <c r="C46" s="26"/>
      <c r="D46" s="26"/>
      <c r="E46" s="27"/>
      <c r="F46" s="42">
        <v>323</v>
      </c>
      <c r="G46" s="43">
        <v>4340575</v>
      </c>
      <c r="H46" s="43" t="s">
        <v>142</v>
      </c>
      <c r="I46" s="43" t="s">
        <v>68</v>
      </c>
      <c r="J46" s="42" t="s">
        <v>196</v>
      </c>
      <c r="K46" s="42" t="s">
        <v>36</v>
      </c>
      <c r="L46" s="36"/>
    </row>
    <row r="47" spans="2:12" ht="16.5" customHeight="1">
      <c r="B47" s="31"/>
      <c r="C47" s="26"/>
      <c r="D47" s="26"/>
      <c r="E47" s="27"/>
      <c r="F47" s="42"/>
      <c r="G47" s="43">
        <v>4340576</v>
      </c>
      <c r="H47" s="43" t="s">
        <v>142</v>
      </c>
      <c r="I47" s="43" t="s">
        <v>68</v>
      </c>
      <c r="J47" s="42" t="s">
        <v>196</v>
      </c>
      <c r="K47" s="42" t="s">
        <v>52</v>
      </c>
      <c r="L47" s="36"/>
    </row>
    <row r="48" spans="2:12" ht="16.5" customHeight="1">
      <c r="B48" s="31"/>
      <c r="C48" s="26"/>
      <c r="D48" s="26"/>
      <c r="E48" s="27"/>
      <c r="F48" s="42">
        <v>324</v>
      </c>
      <c r="G48" s="43">
        <v>4297311</v>
      </c>
      <c r="H48" s="42" t="s">
        <v>33</v>
      </c>
      <c r="I48" s="42" t="s">
        <v>34</v>
      </c>
      <c r="J48" s="42" t="s">
        <v>35</v>
      </c>
      <c r="K48" s="42" t="s">
        <v>36</v>
      </c>
      <c r="L48" s="36"/>
    </row>
    <row r="49" spans="2:12" ht="16.5" customHeight="1">
      <c r="B49" s="32"/>
      <c r="C49" s="26"/>
      <c r="D49" s="26"/>
      <c r="E49" s="27"/>
      <c r="F49" s="42"/>
      <c r="G49" s="43">
        <v>4297312</v>
      </c>
      <c r="H49" s="42" t="s">
        <v>33</v>
      </c>
      <c r="I49" s="42" t="s">
        <v>34</v>
      </c>
      <c r="J49" s="42" t="s">
        <v>35</v>
      </c>
      <c r="K49" s="42" t="s">
        <v>28</v>
      </c>
      <c r="L49" s="36"/>
    </row>
    <row r="50" spans="2:12" ht="16.5" customHeight="1">
      <c r="B50" s="31"/>
      <c r="C50" s="25"/>
      <c r="D50" s="26"/>
      <c r="E50" s="27"/>
      <c r="F50" s="42"/>
      <c r="G50" s="43">
        <v>4297313</v>
      </c>
      <c r="H50" s="42" t="s">
        <v>33</v>
      </c>
      <c r="I50" s="42" t="s">
        <v>34</v>
      </c>
      <c r="J50" s="42" t="s">
        <v>35</v>
      </c>
      <c r="K50" s="42" t="s">
        <v>32</v>
      </c>
      <c r="L50" s="36"/>
    </row>
    <row r="51" spans="2:12" ht="16.5" customHeight="1">
      <c r="B51" s="31"/>
      <c r="C51" s="26"/>
      <c r="D51" s="25"/>
      <c r="E51" s="27"/>
      <c r="F51" s="42">
        <v>325</v>
      </c>
      <c r="G51" s="43">
        <v>4289422</v>
      </c>
      <c r="H51" s="43" t="s">
        <v>143</v>
      </c>
      <c r="I51" s="42" t="s">
        <v>78</v>
      </c>
      <c r="J51" s="42" t="s">
        <v>79</v>
      </c>
      <c r="K51" s="42" t="s">
        <v>36</v>
      </c>
      <c r="L51" s="36"/>
    </row>
    <row r="52" spans="2:12" ht="16.5" customHeight="1">
      <c r="B52" s="32"/>
      <c r="C52" s="26"/>
      <c r="D52" s="26"/>
      <c r="E52" s="27"/>
      <c r="F52" s="42"/>
      <c r="G52" s="43">
        <v>4289423</v>
      </c>
      <c r="H52" s="43" t="s">
        <v>143</v>
      </c>
      <c r="I52" s="42" t="s">
        <v>78</v>
      </c>
      <c r="J52" s="42" t="s">
        <v>79</v>
      </c>
      <c r="K52" s="42" t="s">
        <v>28</v>
      </c>
      <c r="L52" s="36"/>
    </row>
    <row r="53" spans="2:12" ht="16.5" customHeight="1">
      <c r="B53" s="31"/>
      <c r="C53" s="25"/>
      <c r="D53" s="26"/>
      <c r="E53" s="27"/>
      <c r="F53" s="42"/>
      <c r="G53" s="43">
        <v>4289424</v>
      </c>
      <c r="H53" s="43" t="s">
        <v>143</v>
      </c>
      <c r="I53" s="42" t="s">
        <v>78</v>
      </c>
      <c r="J53" s="42" t="s">
        <v>79</v>
      </c>
      <c r="K53" s="42" t="s">
        <v>52</v>
      </c>
      <c r="L53" s="36"/>
    </row>
    <row r="54" spans="2:12" ht="16.5" customHeight="1">
      <c r="B54" s="31"/>
      <c r="C54" s="25"/>
      <c r="D54" s="25"/>
      <c r="E54" s="27"/>
      <c r="F54" s="42">
        <v>326</v>
      </c>
      <c r="G54" s="42">
        <v>4340982</v>
      </c>
      <c r="H54" s="43" t="s">
        <v>144</v>
      </c>
      <c r="I54" s="42" t="s">
        <v>135</v>
      </c>
      <c r="J54" s="42" t="s">
        <v>197</v>
      </c>
      <c r="K54" s="42" t="s">
        <v>63</v>
      </c>
      <c r="L54" s="36"/>
    </row>
    <row r="55" spans="2:12" ht="16.5" customHeight="1">
      <c r="B55" s="32"/>
      <c r="C55" s="25"/>
      <c r="D55" s="25"/>
      <c r="E55" s="27"/>
      <c r="F55" s="42"/>
      <c r="G55" s="42">
        <v>4340983</v>
      </c>
      <c r="H55" s="43" t="s">
        <v>144</v>
      </c>
      <c r="I55" s="42" t="s">
        <v>135</v>
      </c>
      <c r="J55" s="42" t="s">
        <v>197</v>
      </c>
      <c r="K55" s="42" t="s">
        <v>32</v>
      </c>
      <c r="L55" s="36"/>
    </row>
    <row r="56" spans="2:12" ht="16.5" customHeight="1">
      <c r="B56" s="32"/>
      <c r="C56" s="25"/>
      <c r="D56" s="25"/>
      <c r="E56" s="27"/>
      <c r="F56" s="42"/>
      <c r="G56" s="42">
        <v>4340984</v>
      </c>
      <c r="H56" s="43" t="s">
        <v>144</v>
      </c>
      <c r="I56" s="42" t="s">
        <v>135</v>
      </c>
      <c r="J56" s="42" t="s">
        <v>197</v>
      </c>
      <c r="K56" s="42" t="s">
        <v>28</v>
      </c>
      <c r="L56" s="36"/>
    </row>
    <row r="57" spans="2:12" ht="16.5" customHeight="1">
      <c r="B57" s="32"/>
      <c r="C57" s="25"/>
      <c r="D57" s="25"/>
      <c r="E57" s="27"/>
      <c r="F57" s="42"/>
      <c r="G57" s="42">
        <v>4340985</v>
      </c>
      <c r="H57" s="43" t="s">
        <v>144</v>
      </c>
      <c r="I57" s="42" t="s">
        <v>135</v>
      </c>
      <c r="J57" s="42" t="s">
        <v>197</v>
      </c>
      <c r="K57" s="42" t="s">
        <v>36</v>
      </c>
      <c r="L57" s="36"/>
    </row>
    <row r="58" spans="2:12" ht="16.5" customHeight="1">
      <c r="B58" s="32"/>
      <c r="C58" s="25"/>
      <c r="D58" s="25"/>
      <c r="E58" s="27"/>
      <c r="F58" s="42">
        <v>327</v>
      </c>
      <c r="G58" s="43">
        <v>4289437</v>
      </c>
      <c r="H58" s="43" t="s">
        <v>143</v>
      </c>
      <c r="I58" s="42" t="s">
        <v>72</v>
      </c>
      <c r="J58" s="42" t="s">
        <v>73</v>
      </c>
      <c r="K58" s="42" t="s">
        <v>52</v>
      </c>
      <c r="L58" s="36"/>
    </row>
    <row r="59" spans="2:12" ht="16.5" customHeight="1">
      <c r="B59" s="27"/>
      <c r="C59" s="37"/>
      <c r="D59" s="37"/>
      <c r="E59" s="27"/>
      <c r="F59" s="42"/>
      <c r="G59" s="43">
        <v>4289434</v>
      </c>
      <c r="H59" s="43" t="s">
        <v>143</v>
      </c>
      <c r="I59" s="42" t="s">
        <v>72</v>
      </c>
      <c r="J59" s="42" t="s">
        <v>73</v>
      </c>
      <c r="K59" s="42" t="s">
        <v>36</v>
      </c>
      <c r="L59" s="36"/>
    </row>
    <row r="60" spans="2:12" ht="16.5" customHeight="1">
      <c r="B60" s="27"/>
      <c r="C60" s="37"/>
      <c r="D60" s="37"/>
      <c r="E60" s="27"/>
      <c r="F60" s="42"/>
      <c r="G60" s="43">
        <v>4289435</v>
      </c>
      <c r="H60" s="43" t="s">
        <v>143</v>
      </c>
      <c r="I60" s="42" t="s">
        <v>72</v>
      </c>
      <c r="J60" s="42" t="s">
        <v>73</v>
      </c>
      <c r="K60" s="42" t="s">
        <v>28</v>
      </c>
      <c r="L60" s="36"/>
    </row>
    <row r="61" spans="2:12" ht="16.5" customHeight="1">
      <c r="B61" s="27"/>
      <c r="C61" s="37"/>
      <c r="D61" s="37"/>
      <c r="E61" s="27"/>
      <c r="F61" s="42"/>
      <c r="G61" s="43">
        <v>4289436</v>
      </c>
      <c r="H61" s="43" t="s">
        <v>143</v>
      </c>
      <c r="I61" s="42" t="s">
        <v>72</v>
      </c>
      <c r="J61" s="42" t="s">
        <v>73</v>
      </c>
      <c r="K61" s="42" t="s">
        <v>32</v>
      </c>
      <c r="L61" s="36"/>
    </row>
    <row r="62" spans="2:12" ht="16.5" customHeight="1">
      <c r="F62" s="42">
        <v>328</v>
      </c>
      <c r="G62" s="43">
        <v>4434721</v>
      </c>
      <c r="H62" s="43" t="s">
        <v>143</v>
      </c>
      <c r="I62" s="42" t="s">
        <v>78</v>
      </c>
      <c r="J62" s="42" t="s">
        <v>198</v>
      </c>
      <c r="K62" s="42" t="s">
        <v>52</v>
      </c>
      <c r="L62" s="36"/>
    </row>
    <row r="63" spans="2:12" ht="16.5" customHeight="1">
      <c r="F63" s="42"/>
      <c r="G63" s="43">
        <v>4434720</v>
      </c>
      <c r="H63" s="43" t="s">
        <v>143</v>
      </c>
      <c r="I63" s="42" t="s">
        <v>78</v>
      </c>
      <c r="J63" s="42" t="s">
        <v>198</v>
      </c>
      <c r="K63" s="42" t="s">
        <v>36</v>
      </c>
      <c r="L63" s="36"/>
    </row>
    <row r="64" spans="2:12" ht="16.5" customHeight="1">
      <c r="F64" s="42"/>
      <c r="G64" s="43">
        <v>4434719</v>
      </c>
      <c r="H64" s="43" t="s">
        <v>143</v>
      </c>
      <c r="I64" s="42" t="s">
        <v>78</v>
      </c>
      <c r="J64" s="42" t="s">
        <v>198</v>
      </c>
      <c r="K64" s="42" t="s">
        <v>28</v>
      </c>
      <c r="L64" s="36"/>
    </row>
    <row r="65" spans="6:12" ht="16.5" customHeight="1">
      <c r="F65" s="42">
        <v>329</v>
      </c>
      <c r="G65" s="43">
        <v>4323464</v>
      </c>
      <c r="H65" s="43" t="s">
        <v>143</v>
      </c>
      <c r="I65" s="42" t="s">
        <v>75</v>
      </c>
      <c r="J65" s="42" t="s">
        <v>76</v>
      </c>
      <c r="K65" s="42" t="s">
        <v>32</v>
      </c>
      <c r="L65" s="36"/>
    </row>
    <row r="66" spans="6:12" ht="16.5" customHeight="1">
      <c r="F66" s="42"/>
      <c r="G66" s="43">
        <v>4323463</v>
      </c>
      <c r="H66" s="43" t="s">
        <v>143</v>
      </c>
      <c r="I66" s="42" t="s">
        <v>75</v>
      </c>
      <c r="J66" s="42" t="s">
        <v>76</v>
      </c>
      <c r="K66" s="42" t="s">
        <v>28</v>
      </c>
      <c r="L66" s="36"/>
    </row>
    <row r="67" spans="6:12" ht="16.5" customHeight="1">
      <c r="F67" s="42"/>
      <c r="G67" s="43">
        <v>4323462</v>
      </c>
      <c r="H67" s="43" t="s">
        <v>143</v>
      </c>
      <c r="I67" s="42" t="s">
        <v>75</v>
      </c>
      <c r="J67" s="42" t="s">
        <v>76</v>
      </c>
      <c r="K67" s="42" t="s">
        <v>36</v>
      </c>
      <c r="L67" s="36"/>
    </row>
    <row r="68" spans="6:12" ht="16.5" customHeight="1">
      <c r="F68" s="42">
        <v>330</v>
      </c>
      <c r="G68" s="43">
        <v>2879753</v>
      </c>
      <c r="H68" s="43" t="s">
        <v>142</v>
      </c>
      <c r="I68" s="43" t="s">
        <v>44</v>
      </c>
      <c r="J68" s="42" t="s">
        <v>45</v>
      </c>
      <c r="K68" s="42" t="s">
        <v>36</v>
      </c>
      <c r="L68" s="36"/>
    </row>
    <row r="69" spans="6:12" ht="16.5" customHeight="1">
      <c r="F69" s="42"/>
      <c r="G69" s="43">
        <v>2879754</v>
      </c>
      <c r="H69" s="43" t="s">
        <v>142</v>
      </c>
      <c r="I69" s="43" t="s">
        <v>44</v>
      </c>
      <c r="J69" s="42" t="s">
        <v>45</v>
      </c>
      <c r="K69" s="42" t="s">
        <v>28</v>
      </c>
      <c r="L69" s="36"/>
    </row>
    <row r="70" spans="6:12" ht="16.5" customHeight="1">
      <c r="F70" s="42"/>
      <c r="G70" s="43">
        <v>2879755</v>
      </c>
      <c r="H70" s="43" t="s">
        <v>142</v>
      </c>
      <c r="I70" s="43" t="s">
        <v>44</v>
      </c>
      <c r="J70" s="42" t="s">
        <v>45</v>
      </c>
      <c r="K70" s="42" t="s">
        <v>32</v>
      </c>
      <c r="L70" s="36"/>
    </row>
    <row r="71" spans="6:12" ht="16.5" customHeight="1">
      <c r="F71" s="42">
        <v>331</v>
      </c>
      <c r="G71" s="43">
        <v>4097998</v>
      </c>
      <c r="H71" s="43" t="s">
        <v>147</v>
      </c>
      <c r="I71" s="42" t="s">
        <v>70</v>
      </c>
      <c r="J71" s="42" t="s">
        <v>71</v>
      </c>
      <c r="K71" s="42" t="s">
        <v>63</v>
      </c>
      <c r="L71" s="36"/>
    </row>
    <row r="72" spans="6:12" ht="16.5" customHeight="1">
      <c r="F72" s="42"/>
      <c r="G72" s="43">
        <v>4097994</v>
      </c>
      <c r="H72" s="43" t="s">
        <v>147</v>
      </c>
      <c r="I72" s="42" t="s">
        <v>70</v>
      </c>
      <c r="J72" s="42" t="s">
        <v>71</v>
      </c>
      <c r="K72" s="42" t="s">
        <v>36</v>
      </c>
      <c r="L72" s="36"/>
    </row>
    <row r="73" spans="6:12" ht="16.5" customHeight="1">
      <c r="F73" s="42"/>
      <c r="G73" s="43">
        <v>4097995</v>
      </c>
      <c r="H73" s="43" t="s">
        <v>147</v>
      </c>
      <c r="I73" s="42" t="s">
        <v>70</v>
      </c>
      <c r="J73" s="42" t="s">
        <v>71</v>
      </c>
      <c r="K73" s="42" t="s">
        <v>28</v>
      </c>
      <c r="L73" s="36"/>
    </row>
    <row r="74" spans="6:12" ht="16.5" customHeight="1">
      <c r="F74" s="42"/>
      <c r="G74" s="43">
        <v>4097996</v>
      </c>
      <c r="H74" s="43" t="s">
        <v>147</v>
      </c>
      <c r="I74" s="42" t="s">
        <v>70</v>
      </c>
      <c r="J74" s="42" t="s">
        <v>71</v>
      </c>
      <c r="K74" s="42" t="s">
        <v>32</v>
      </c>
      <c r="L74" s="36"/>
    </row>
    <row r="75" spans="6:12" ht="16.5" customHeight="1">
      <c r="F75" s="42"/>
      <c r="G75" s="43">
        <v>4097997</v>
      </c>
      <c r="H75" s="43" t="s">
        <v>147</v>
      </c>
      <c r="I75" s="42" t="s">
        <v>70</v>
      </c>
      <c r="J75" s="42" t="s">
        <v>71</v>
      </c>
      <c r="K75" s="42" t="s">
        <v>52</v>
      </c>
      <c r="L75" s="36"/>
    </row>
    <row r="76" spans="6:12" ht="16.5" customHeight="1">
      <c r="F76" s="42">
        <v>332</v>
      </c>
      <c r="G76" s="43">
        <v>2616932</v>
      </c>
      <c r="H76" s="43" t="s">
        <v>142</v>
      </c>
      <c r="I76" s="42" t="s">
        <v>26</v>
      </c>
      <c r="J76" s="42" t="s">
        <v>27</v>
      </c>
      <c r="K76" s="42" t="s">
        <v>28</v>
      </c>
      <c r="L76" s="36"/>
    </row>
    <row r="77" spans="6:12" ht="16.5" customHeight="1">
      <c r="F77" s="42"/>
      <c r="G77" s="43">
        <v>2616933</v>
      </c>
      <c r="H77" s="43" t="s">
        <v>142</v>
      </c>
      <c r="I77" s="42" t="s">
        <v>26</v>
      </c>
      <c r="J77" s="42" t="s">
        <v>27</v>
      </c>
      <c r="K77" s="42" t="s">
        <v>32</v>
      </c>
      <c r="L77" s="36"/>
    </row>
    <row r="78" spans="6:12" ht="16.5" customHeight="1">
      <c r="F78" s="42"/>
      <c r="G78" s="43">
        <v>2616931</v>
      </c>
      <c r="H78" s="43" t="s">
        <v>142</v>
      </c>
      <c r="I78" s="42" t="s">
        <v>26</v>
      </c>
      <c r="J78" s="42" t="s">
        <v>27</v>
      </c>
      <c r="K78" s="42" t="s">
        <v>36</v>
      </c>
      <c r="L78" s="36"/>
    </row>
    <row r="79" spans="6:12" ht="16.5" customHeight="1">
      <c r="F79" s="42">
        <v>333</v>
      </c>
      <c r="G79" s="43">
        <v>4502628</v>
      </c>
      <c r="H79" s="42" t="s">
        <v>33</v>
      </c>
      <c r="I79" s="42" t="s">
        <v>34</v>
      </c>
      <c r="J79" s="42" t="s">
        <v>199</v>
      </c>
      <c r="K79" s="42" t="s">
        <v>32</v>
      </c>
      <c r="L79" s="36"/>
    </row>
    <row r="80" spans="6:12" ht="16.5" customHeight="1">
      <c r="F80" s="42"/>
      <c r="G80" s="43">
        <v>4502629</v>
      </c>
      <c r="H80" s="42" t="s">
        <v>33</v>
      </c>
      <c r="I80" s="42" t="s">
        <v>34</v>
      </c>
      <c r="J80" s="42" t="s">
        <v>199</v>
      </c>
      <c r="K80" s="42" t="s">
        <v>28</v>
      </c>
      <c r="L80" s="36"/>
    </row>
    <row r="81" spans="6:12" ht="16.5" customHeight="1">
      <c r="F81" s="42"/>
      <c r="G81" s="43">
        <v>4502630</v>
      </c>
      <c r="H81" s="42" t="s">
        <v>33</v>
      </c>
      <c r="I81" s="42" t="s">
        <v>34</v>
      </c>
      <c r="J81" s="42" t="s">
        <v>199</v>
      </c>
      <c r="K81" s="42" t="s">
        <v>36</v>
      </c>
      <c r="L81" s="36"/>
    </row>
    <row r="82" spans="6:12" ht="16.5" customHeight="1">
      <c r="F82" s="42">
        <v>335</v>
      </c>
      <c r="G82" s="43">
        <v>4502120</v>
      </c>
      <c r="H82" s="43" t="s">
        <v>142</v>
      </c>
      <c r="I82" s="42" t="s">
        <v>26</v>
      </c>
      <c r="J82" s="42" t="s">
        <v>200</v>
      </c>
      <c r="K82" s="43" t="s">
        <v>52</v>
      </c>
      <c r="L82" s="39"/>
    </row>
    <row r="83" spans="6:12" ht="16.5" customHeight="1">
      <c r="F83" s="42"/>
      <c r="G83" s="43">
        <v>4502119</v>
      </c>
      <c r="H83" s="43" t="s">
        <v>142</v>
      </c>
      <c r="I83" s="42" t="s">
        <v>26</v>
      </c>
      <c r="J83" s="42" t="s">
        <v>200</v>
      </c>
      <c r="K83" s="42" t="s">
        <v>36</v>
      </c>
      <c r="L83" s="39"/>
    </row>
    <row r="84" spans="6:12" ht="16.5" customHeight="1">
      <c r="F84" s="42"/>
      <c r="G84" s="43">
        <v>4502118</v>
      </c>
      <c r="H84" s="43" t="s">
        <v>142</v>
      </c>
      <c r="I84" s="42" t="s">
        <v>26</v>
      </c>
      <c r="J84" s="42" t="s">
        <v>200</v>
      </c>
      <c r="K84" s="42" t="s">
        <v>28</v>
      </c>
      <c r="L84" s="39"/>
    </row>
    <row r="85" spans="6:12" ht="16.5" customHeight="1">
      <c r="F85" s="42"/>
      <c r="G85" s="43">
        <v>4502117</v>
      </c>
      <c r="H85" s="43" t="s">
        <v>142</v>
      </c>
      <c r="I85" s="42" t="s">
        <v>26</v>
      </c>
      <c r="J85" s="42" t="s">
        <v>200</v>
      </c>
      <c r="K85" s="42" t="s">
        <v>32</v>
      </c>
      <c r="L85" s="39"/>
    </row>
    <row r="86" spans="6:12" ht="16.5" customHeight="1">
      <c r="F86" s="42">
        <v>336</v>
      </c>
      <c r="G86" s="43">
        <v>4341377</v>
      </c>
      <c r="H86" s="43" t="s">
        <v>142</v>
      </c>
      <c r="I86" s="42" t="s">
        <v>44</v>
      </c>
      <c r="J86" s="42" t="s">
        <v>201</v>
      </c>
      <c r="K86" s="42" t="s">
        <v>32</v>
      </c>
      <c r="L86" s="36"/>
    </row>
    <row r="87" spans="6:12" ht="16.5" customHeight="1">
      <c r="F87" s="42"/>
      <c r="G87" s="43">
        <v>4341394</v>
      </c>
      <c r="H87" s="43" t="s">
        <v>142</v>
      </c>
      <c r="I87" s="42" t="s">
        <v>44</v>
      </c>
      <c r="J87" s="42" t="s">
        <v>201</v>
      </c>
      <c r="K87" s="42" t="s">
        <v>28</v>
      </c>
      <c r="L87" s="36"/>
    </row>
    <row r="88" spans="6:12" ht="16.5" customHeight="1">
      <c r="F88" s="42">
        <v>337</v>
      </c>
      <c r="G88" s="43">
        <v>4019664</v>
      </c>
      <c r="H88" s="43" t="s">
        <v>142</v>
      </c>
      <c r="I88" s="42" t="s">
        <v>44</v>
      </c>
      <c r="J88" s="42" t="s">
        <v>202</v>
      </c>
      <c r="K88" s="42" t="s">
        <v>32</v>
      </c>
      <c r="L88" s="36"/>
    </row>
    <row r="89" spans="6:12" ht="16.5" customHeight="1">
      <c r="F89" s="42"/>
      <c r="G89" s="43">
        <v>4019663</v>
      </c>
      <c r="H89" s="43" t="s">
        <v>142</v>
      </c>
      <c r="I89" s="42" t="s">
        <v>44</v>
      </c>
      <c r="J89" s="42" t="s">
        <v>202</v>
      </c>
      <c r="K89" s="42" t="s">
        <v>28</v>
      </c>
      <c r="L89" s="36"/>
    </row>
    <row r="90" spans="6:12" ht="16.5" customHeight="1">
      <c r="F90" s="42"/>
      <c r="G90" s="43">
        <v>4019662</v>
      </c>
      <c r="H90" s="43" t="s">
        <v>142</v>
      </c>
      <c r="I90" s="42" t="s">
        <v>44</v>
      </c>
      <c r="J90" s="42" t="s">
        <v>202</v>
      </c>
      <c r="K90" s="43" t="s">
        <v>36</v>
      </c>
      <c r="L90" s="36"/>
    </row>
    <row r="91" spans="6:12" ht="16.5" customHeight="1">
      <c r="F91" s="42"/>
      <c r="G91" s="43">
        <v>4019665</v>
      </c>
      <c r="H91" s="43" t="s">
        <v>142</v>
      </c>
      <c r="I91" s="42" t="s">
        <v>44</v>
      </c>
      <c r="J91" s="42" t="s">
        <v>202</v>
      </c>
      <c r="K91" s="43" t="s">
        <v>52</v>
      </c>
      <c r="L91" s="36"/>
    </row>
    <row r="92" spans="6:12" ht="16.5" customHeight="1">
      <c r="F92" s="42">
        <v>346</v>
      </c>
      <c r="G92" s="42">
        <v>4468209</v>
      </c>
      <c r="H92" s="97" t="s">
        <v>145</v>
      </c>
      <c r="I92" s="98" t="s">
        <v>89</v>
      </c>
      <c r="J92" s="42" t="s">
        <v>90</v>
      </c>
      <c r="K92" s="43" t="s">
        <v>52</v>
      </c>
      <c r="L92" s="36"/>
    </row>
    <row r="93" spans="6:12" ht="16.5" customHeight="1">
      <c r="F93" s="42"/>
      <c r="G93" s="42">
        <v>4185722</v>
      </c>
      <c r="H93" s="97" t="s">
        <v>145</v>
      </c>
      <c r="I93" s="98" t="s">
        <v>89</v>
      </c>
      <c r="J93" s="42" t="s">
        <v>90</v>
      </c>
      <c r="K93" s="42" t="s">
        <v>36</v>
      </c>
      <c r="L93" s="36"/>
    </row>
    <row r="94" spans="6:12" ht="16.5" customHeight="1">
      <c r="F94" s="42"/>
      <c r="G94" s="42">
        <v>4185723</v>
      </c>
      <c r="H94" s="97" t="s">
        <v>145</v>
      </c>
      <c r="I94" s="98" t="s">
        <v>89</v>
      </c>
      <c r="J94" s="42" t="s">
        <v>90</v>
      </c>
      <c r="K94" s="42" t="s">
        <v>28</v>
      </c>
      <c r="L94" s="36"/>
    </row>
    <row r="95" spans="6:12" ht="16.5" customHeight="1">
      <c r="F95" s="42"/>
      <c r="G95" s="42">
        <v>4185724</v>
      </c>
      <c r="H95" s="97" t="s">
        <v>145</v>
      </c>
      <c r="I95" s="98" t="s">
        <v>89</v>
      </c>
      <c r="J95" s="42" t="s">
        <v>90</v>
      </c>
      <c r="K95" s="42" t="s">
        <v>32</v>
      </c>
      <c r="L95" s="36"/>
    </row>
    <row r="96" spans="6:12" ht="16.5" customHeight="1">
      <c r="F96" s="42"/>
      <c r="G96" s="42">
        <v>4468210</v>
      </c>
      <c r="H96" s="97" t="s">
        <v>145</v>
      </c>
      <c r="I96" s="98" t="s">
        <v>89</v>
      </c>
      <c r="J96" s="43" t="s">
        <v>90</v>
      </c>
      <c r="K96" s="43" t="s">
        <v>63</v>
      </c>
      <c r="L96" s="36"/>
    </row>
    <row r="97" spans="6:12" ht="16.5" customHeight="1">
      <c r="F97" s="42">
        <v>347</v>
      </c>
      <c r="G97" s="42">
        <v>4722623</v>
      </c>
      <c r="H97" s="97" t="s">
        <v>145</v>
      </c>
      <c r="I97" s="98" t="s">
        <v>89</v>
      </c>
      <c r="J97" s="43" t="s">
        <v>91</v>
      </c>
      <c r="K97" s="42" t="s">
        <v>28</v>
      </c>
      <c r="L97" s="36"/>
    </row>
    <row r="98" spans="6:12" ht="16.5" customHeight="1">
      <c r="F98" s="42"/>
      <c r="G98" s="42">
        <v>4722622</v>
      </c>
      <c r="H98" s="97" t="s">
        <v>145</v>
      </c>
      <c r="I98" s="98" t="s">
        <v>89</v>
      </c>
      <c r="J98" s="42" t="s">
        <v>91</v>
      </c>
      <c r="K98" s="42" t="s">
        <v>32</v>
      </c>
      <c r="L98" s="36"/>
    </row>
    <row r="99" spans="6:12" ht="16.5" customHeight="1">
      <c r="F99" s="42"/>
      <c r="G99" s="42">
        <v>4722621</v>
      </c>
      <c r="H99" s="97" t="s">
        <v>145</v>
      </c>
      <c r="I99" s="98" t="s">
        <v>89</v>
      </c>
      <c r="J99" s="42" t="s">
        <v>91</v>
      </c>
      <c r="K99" s="43" t="s">
        <v>63</v>
      </c>
      <c r="L99" s="36"/>
    </row>
    <row r="100" spans="6:12" ht="16.5" customHeight="1">
      <c r="F100" s="42"/>
      <c r="G100" s="42">
        <v>4722620</v>
      </c>
      <c r="H100" s="97" t="s">
        <v>145</v>
      </c>
      <c r="I100" s="98" t="s">
        <v>89</v>
      </c>
      <c r="J100" s="42" t="s">
        <v>91</v>
      </c>
      <c r="K100" s="43" t="s">
        <v>83</v>
      </c>
      <c r="L100" s="36"/>
    </row>
    <row r="101" spans="6:12" ht="16.5" customHeight="1">
      <c r="F101" s="42">
        <v>348</v>
      </c>
      <c r="G101" s="42">
        <v>4517011</v>
      </c>
      <c r="H101" s="97" t="s">
        <v>145</v>
      </c>
      <c r="I101" s="98" t="s">
        <v>42</v>
      </c>
      <c r="J101" s="42" t="s">
        <v>66</v>
      </c>
      <c r="K101" s="43" t="s">
        <v>52</v>
      </c>
      <c r="L101" s="36"/>
    </row>
    <row r="102" spans="6:12" ht="16.5" customHeight="1">
      <c r="F102" s="42"/>
      <c r="G102" s="42">
        <v>4517013</v>
      </c>
      <c r="H102" s="97" t="s">
        <v>145</v>
      </c>
      <c r="I102" s="98" t="s">
        <v>42</v>
      </c>
      <c r="J102" s="42" t="s">
        <v>66</v>
      </c>
      <c r="K102" s="42" t="s">
        <v>36</v>
      </c>
      <c r="L102" s="36"/>
    </row>
    <row r="103" spans="6:12" ht="16.5" customHeight="1">
      <c r="F103" s="42"/>
      <c r="G103" s="42">
        <v>4517010</v>
      </c>
      <c r="H103" s="97" t="s">
        <v>145</v>
      </c>
      <c r="I103" s="98" t="s">
        <v>42</v>
      </c>
      <c r="J103" s="42" t="s">
        <v>66</v>
      </c>
      <c r="K103" s="42" t="s">
        <v>28</v>
      </c>
      <c r="L103" s="36"/>
    </row>
    <row r="104" spans="6:12" ht="16.5" customHeight="1">
      <c r="F104" s="42"/>
      <c r="G104" s="42">
        <v>4517012</v>
      </c>
      <c r="H104" s="97" t="s">
        <v>145</v>
      </c>
      <c r="I104" s="98" t="s">
        <v>42</v>
      </c>
      <c r="J104" s="43" t="s">
        <v>66</v>
      </c>
      <c r="K104" s="42" t="s">
        <v>32</v>
      </c>
      <c r="L104" s="36"/>
    </row>
    <row r="105" spans="6:12" ht="16.5" customHeight="1">
      <c r="F105" s="42"/>
      <c r="G105" s="42">
        <v>4517009</v>
      </c>
      <c r="H105" s="97" t="s">
        <v>145</v>
      </c>
      <c r="I105" s="98" t="s">
        <v>42</v>
      </c>
      <c r="J105" s="42" t="s">
        <v>66</v>
      </c>
      <c r="K105" s="42" t="s">
        <v>63</v>
      </c>
      <c r="L105" s="36"/>
    </row>
    <row r="106" spans="6:12" ht="16.5" customHeight="1">
      <c r="F106" s="42">
        <v>349</v>
      </c>
      <c r="G106" s="42">
        <v>5084342</v>
      </c>
      <c r="H106" s="97" t="s">
        <v>145</v>
      </c>
      <c r="I106" s="98" t="s">
        <v>42</v>
      </c>
      <c r="J106" s="43" t="s">
        <v>138</v>
      </c>
      <c r="K106" s="42" t="s">
        <v>52</v>
      </c>
      <c r="L106" s="36"/>
    </row>
    <row r="107" spans="6:12" ht="16.5" customHeight="1">
      <c r="F107" s="42"/>
      <c r="G107" s="42">
        <v>5084341</v>
      </c>
      <c r="H107" s="97" t="s">
        <v>145</v>
      </c>
      <c r="I107" s="98" t="s">
        <v>42</v>
      </c>
      <c r="J107" s="42" t="s">
        <v>138</v>
      </c>
      <c r="K107" s="42" t="s">
        <v>36</v>
      </c>
      <c r="L107" s="36"/>
    </row>
    <row r="108" spans="6:12" ht="16.5" customHeight="1">
      <c r="F108" s="42"/>
      <c r="G108" s="42">
        <v>5084340</v>
      </c>
      <c r="H108" s="97" t="s">
        <v>145</v>
      </c>
      <c r="I108" s="98" t="s">
        <v>42</v>
      </c>
      <c r="J108" s="42" t="s">
        <v>138</v>
      </c>
      <c r="K108" s="42" t="s">
        <v>28</v>
      </c>
      <c r="L108" s="36"/>
    </row>
    <row r="109" spans="6:12" ht="16.5" customHeight="1">
      <c r="F109" s="42"/>
      <c r="G109" s="42">
        <v>5084339</v>
      </c>
      <c r="H109" s="97" t="s">
        <v>145</v>
      </c>
      <c r="I109" s="98" t="s">
        <v>42</v>
      </c>
      <c r="J109" s="43" t="s">
        <v>138</v>
      </c>
      <c r="K109" s="42" t="s">
        <v>32</v>
      </c>
      <c r="L109" s="36"/>
    </row>
    <row r="110" spans="6:12" ht="16.5" customHeight="1">
      <c r="F110" s="42"/>
      <c r="G110" s="42">
        <v>5084338</v>
      </c>
      <c r="H110" s="97" t="s">
        <v>145</v>
      </c>
      <c r="I110" s="98" t="s">
        <v>42</v>
      </c>
      <c r="J110" s="43" t="s">
        <v>138</v>
      </c>
      <c r="K110" s="43" t="s">
        <v>63</v>
      </c>
      <c r="L110" s="36"/>
    </row>
    <row r="111" spans="6:12" ht="16.5" customHeight="1">
      <c r="F111" s="42">
        <v>349</v>
      </c>
      <c r="G111" s="42">
        <v>4488539</v>
      </c>
      <c r="H111" s="97" t="s">
        <v>143</v>
      </c>
      <c r="I111" s="98" t="s">
        <v>85</v>
      </c>
      <c r="J111" s="42" t="s">
        <v>86</v>
      </c>
      <c r="K111" s="42" t="s">
        <v>32</v>
      </c>
      <c r="L111" s="36"/>
    </row>
    <row r="112" spans="6:12" ht="16.5" customHeight="1">
      <c r="F112" s="42"/>
      <c r="G112" s="42">
        <v>4488540</v>
      </c>
      <c r="H112" s="97" t="s">
        <v>143</v>
      </c>
      <c r="I112" s="98" t="s">
        <v>85</v>
      </c>
      <c r="J112" s="42" t="s">
        <v>86</v>
      </c>
      <c r="K112" s="42" t="s">
        <v>28</v>
      </c>
      <c r="L112" s="36"/>
    </row>
    <row r="113" spans="6:12" ht="16.5" customHeight="1">
      <c r="F113" s="42"/>
      <c r="G113" s="42">
        <v>4488541</v>
      </c>
      <c r="H113" s="97" t="s">
        <v>143</v>
      </c>
      <c r="I113" s="98" t="s">
        <v>85</v>
      </c>
      <c r="J113" s="42" t="s">
        <v>86</v>
      </c>
      <c r="K113" s="42" t="s">
        <v>36</v>
      </c>
      <c r="L113" s="36"/>
    </row>
    <row r="114" spans="6:12" ht="16.5" customHeight="1">
      <c r="F114" s="44">
        <v>350</v>
      </c>
      <c r="G114" s="44">
        <v>4488547</v>
      </c>
      <c r="H114" s="44" t="s">
        <v>143</v>
      </c>
      <c r="I114" s="103" t="s">
        <v>94</v>
      </c>
      <c r="J114" s="103" t="s">
        <v>95</v>
      </c>
      <c r="K114" s="44" t="s">
        <v>32</v>
      </c>
      <c r="L114" s="36"/>
    </row>
    <row r="115" spans="6:12" ht="16.5" customHeight="1">
      <c r="F115" s="44"/>
      <c r="G115" s="44">
        <v>4488548</v>
      </c>
      <c r="H115" s="44" t="s">
        <v>143</v>
      </c>
      <c r="I115" s="103" t="s">
        <v>94</v>
      </c>
      <c r="J115" s="103" t="s">
        <v>95</v>
      </c>
      <c r="K115" s="44" t="s">
        <v>28</v>
      </c>
      <c r="L115" s="36"/>
    </row>
    <row r="116" spans="6:12" ht="16.5" customHeight="1">
      <c r="F116" s="44"/>
      <c r="G116" s="44">
        <v>4488549</v>
      </c>
      <c r="H116" s="44" t="s">
        <v>143</v>
      </c>
      <c r="I116" s="103" t="s">
        <v>94</v>
      </c>
      <c r="J116" s="103" t="s">
        <v>95</v>
      </c>
      <c r="K116" s="44" t="s">
        <v>36</v>
      </c>
      <c r="L116" s="36"/>
    </row>
    <row r="117" spans="6:12" ht="16.5" customHeight="1">
      <c r="F117" s="44">
        <v>351</v>
      </c>
      <c r="G117" s="44">
        <v>4324640</v>
      </c>
      <c r="H117" s="103" t="s">
        <v>145</v>
      </c>
      <c r="I117" s="103" t="s">
        <v>42</v>
      </c>
      <c r="J117" s="103" t="s">
        <v>203</v>
      </c>
      <c r="K117" s="44" t="s">
        <v>32</v>
      </c>
      <c r="L117" s="36"/>
    </row>
    <row r="118" spans="6:12" ht="16.5" customHeight="1">
      <c r="F118" s="44"/>
      <c r="G118" s="44">
        <v>4324639</v>
      </c>
      <c r="H118" s="103" t="s">
        <v>145</v>
      </c>
      <c r="I118" s="103" t="s">
        <v>42</v>
      </c>
      <c r="J118" s="103" t="s">
        <v>203</v>
      </c>
      <c r="K118" s="44" t="s">
        <v>28</v>
      </c>
      <c r="L118" s="36"/>
    </row>
    <row r="119" spans="6:12" ht="16.5" customHeight="1">
      <c r="F119" s="44"/>
      <c r="G119" s="44">
        <v>4324638</v>
      </c>
      <c r="H119" s="103" t="s">
        <v>145</v>
      </c>
      <c r="I119" s="103" t="s">
        <v>42</v>
      </c>
      <c r="J119" s="103" t="s">
        <v>203</v>
      </c>
      <c r="K119" s="44" t="s">
        <v>36</v>
      </c>
      <c r="L119" s="36"/>
    </row>
    <row r="120" spans="6:12" ht="16.5" customHeight="1">
      <c r="F120" s="42">
        <v>352</v>
      </c>
      <c r="G120" s="42">
        <v>4492522</v>
      </c>
      <c r="H120" s="97" t="s">
        <v>145</v>
      </c>
      <c r="I120" s="98" t="s">
        <v>42</v>
      </c>
      <c r="J120" s="103" t="s">
        <v>204</v>
      </c>
      <c r="K120" s="43" t="s">
        <v>32</v>
      </c>
      <c r="L120" s="36"/>
    </row>
    <row r="121" spans="6:12" ht="16.5" customHeight="1">
      <c r="F121" s="42"/>
      <c r="G121" s="42">
        <v>4492526</v>
      </c>
      <c r="H121" s="97" t="s">
        <v>145</v>
      </c>
      <c r="I121" s="98" t="s">
        <v>42</v>
      </c>
      <c r="J121" s="103" t="s">
        <v>204</v>
      </c>
      <c r="K121" s="42" t="s">
        <v>28</v>
      </c>
      <c r="L121" s="36"/>
    </row>
    <row r="122" spans="6:12" ht="16.5" customHeight="1">
      <c r="F122" s="42"/>
      <c r="G122" s="42">
        <v>4492528</v>
      </c>
      <c r="H122" s="97" t="s">
        <v>145</v>
      </c>
      <c r="I122" s="98" t="s">
        <v>42</v>
      </c>
      <c r="J122" s="103" t="s">
        <v>204</v>
      </c>
      <c r="K122" s="43" t="s">
        <v>36</v>
      </c>
      <c r="L122" s="36"/>
    </row>
    <row r="123" spans="6:12" ht="16.5" customHeight="1">
      <c r="F123" s="42">
        <v>353</v>
      </c>
      <c r="G123" s="42">
        <v>4096125</v>
      </c>
      <c r="H123" s="97" t="s">
        <v>145</v>
      </c>
      <c r="I123" s="103" t="s">
        <v>42</v>
      </c>
      <c r="J123" s="42" t="s">
        <v>205</v>
      </c>
      <c r="K123" s="42" t="s">
        <v>63</v>
      </c>
      <c r="L123" s="36"/>
    </row>
    <row r="124" spans="6:12" ht="16.5" customHeight="1">
      <c r="F124" s="42"/>
      <c r="G124" s="42">
        <v>4096123</v>
      </c>
      <c r="H124" s="97" t="s">
        <v>145</v>
      </c>
      <c r="I124" s="103" t="s">
        <v>42</v>
      </c>
      <c r="J124" s="42" t="s">
        <v>205</v>
      </c>
      <c r="K124" s="43" t="s">
        <v>32</v>
      </c>
      <c r="L124" s="36"/>
    </row>
    <row r="125" spans="6:12" ht="16.5" customHeight="1">
      <c r="F125" s="42"/>
      <c r="G125" s="42">
        <v>4096122</v>
      </c>
      <c r="H125" s="97" t="s">
        <v>145</v>
      </c>
      <c r="I125" s="103" t="s">
        <v>42</v>
      </c>
      <c r="J125" s="42" t="s">
        <v>205</v>
      </c>
      <c r="K125" s="43" t="s">
        <v>28</v>
      </c>
      <c r="L125" s="36"/>
    </row>
    <row r="126" spans="6:12" ht="16.5" customHeight="1">
      <c r="F126" s="42"/>
      <c r="G126" s="42">
        <v>4096121</v>
      </c>
      <c r="H126" s="97" t="s">
        <v>145</v>
      </c>
      <c r="I126" s="103" t="s">
        <v>42</v>
      </c>
      <c r="J126" s="42" t="s">
        <v>205</v>
      </c>
      <c r="K126" s="42" t="s">
        <v>36</v>
      </c>
      <c r="L126" s="36"/>
    </row>
    <row r="127" spans="6:12" ht="16.5" customHeight="1">
      <c r="F127" s="42">
        <v>354</v>
      </c>
      <c r="G127" s="42">
        <v>4031556</v>
      </c>
      <c r="H127" s="97" t="s">
        <v>148</v>
      </c>
      <c r="I127" s="103" t="s">
        <v>87</v>
      </c>
      <c r="J127" s="42" t="s">
        <v>88</v>
      </c>
      <c r="K127" s="42" t="s">
        <v>32</v>
      </c>
      <c r="L127" s="36"/>
    </row>
    <row r="128" spans="6:12" ht="16.5" customHeight="1">
      <c r="F128" s="42"/>
      <c r="G128" s="42">
        <v>4031555</v>
      </c>
      <c r="H128" s="97" t="s">
        <v>148</v>
      </c>
      <c r="I128" s="103" t="s">
        <v>87</v>
      </c>
      <c r="J128" s="42" t="s">
        <v>88</v>
      </c>
      <c r="K128" s="42" t="s">
        <v>28</v>
      </c>
      <c r="L128" s="36"/>
    </row>
    <row r="129" spans="6:12" ht="16.5" customHeight="1">
      <c r="F129" s="42"/>
      <c r="G129" s="42">
        <v>4031554</v>
      </c>
      <c r="H129" s="97" t="s">
        <v>148</v>
      </c>
      <c r="I129" s="103" t="s">
        <v>87</v>
      </c>
      <c r="J129" s="43" t="s">
        <v>88</v>
      </c>
      <c r="K129" s="42" t="s">
        <v>36</v>
      </c>
      <c r="L129" s="36"/>
    </row>
    <row r="130" spans="6:12" ht="16.5" customHeight="1">
      <c r="F130" s="42">
        <v>355</v>
      </c>
      <c r="G130" s="42">
        <v>4765553</v>
      </c>
      <c r="H130" s="102" t="s">
        <v>147</v>
      </c>
      <c r="I130" s="103" t="s">
        <v>100</v>
      </c>
      <c r="J130" s="42" t="s">
        <v>102</v>
      </c>
      <c r="K130" s="42" t="s">
        <v>32</v>
      </c>
      <c r="L130" s="36"/>
    </row>
    <row r="131" spans="6:12" ht="16.5" customHeight="1">
      <c r="F131" s="42"/>
      <c r="G131" s="42">
        <v>4765554</v>
      </c>
      <c r="H131" s="102" t="s">
        <v>147</v>
      </c>
      <c r="I131" s="103" t="s">
        <v>100</v>
      </c>
      <c r="J131" s="42" t="s">
        <v>102</v>
      </c>
      <c r="K131" s="42" t="s">
        <v>28</v>
      </c>
      <c r="L131" s="36"/>
    </row>
    <row r="132" spans="6:12" ht="16.5" customHeight="1">
      <c r="F132" s="42"/>
      <c r="G132" s="42">
        <v>4765555</v>
      </c>
      <c r="H132" s="102" t="s">
        <v>147</v>
      </c>
      <c r="I132" s="103" t="s">
        <v>100</v>
      </c>
      <c r="J132" s="43" t="s">
        <v>102</v>
      </c>
      <c r="K132" s="42" t="s">
        <v>36</v>
      </c>
      <c r="L132" s="36"/>
    </row>
    <row r="133" spans="6:12" ht="16.5" customHeight="1">
      <c r="F133" s="42">
        <v>356</v>
      </c>
      <c r="G133" s="42">
        <v>4972837</v>
      </c>
      <c r="H133" s="102" t="s">
        <v>147</v>
      </c>
      <c r="I133" s="103" t="s">
        <v>100</v>
      </c>
      <c r="J133" s="42" t="s">
        <v>101</v>
      </c>
      <c r="K133" s="42" t="s">
        <v>28</v>
      </c>
      <c r="L133" s="36"/>
    </row>
    <row r="134" spans="6:12" ht="16.5" customHeight="1">
      <c r="F134" s="42"/>
      <c r="G134" s="42">
        <v>4972839</v>
      </c>
      <c r="H134" s="102" t="s">
        <v>147</v>
      </c>
      <c r="I134" s="103" t="s">
        <v>100</v>
      </c>
      <c r="J134" s="42" t="s">
        <v>101</v>
      </c>
      <c r="K134" s="42" t="s">
        <v>36</v>
      </c>
      <c r="L134" s="36"/>
    </row>
    <row r="135" spans="6:12" ht="16.5" customHeight="1">
      <c r="F135" s="42"/>
      <c r="G135" s="42">
        <v>4972841</v>
      </c>
      <c r="H135" s="102" t="s">
        <v>147</v>
      </c>
      <c r="I135" s="103" t="s">
        <v>100</v>
      </c>
      <c r="J135" s="42" t="s">
        <v>101</v>
      </c>
      <c r="K135" s="42" t="s">
        <v>52</v>
      </c>
      <c r="L135" s="36"/>
    </row>
    <row r="136" spans="6:12" ht="16.5" customHeight="1">
      <c r="F136" s="42">
        <v>357</v>
      </c>
      <c r="G136" s="43">
        <v>4096090</v>
      </c>
      <c r="H136" s="43" t="s">
        <v>147</v>
      </c>
      <c r="I136" s="42" t="s">
        <v>70</v>
      </c>
      <c r="J136" s="43" t="s">
        <v>206</v>
      </c>
      <c r="K136" s="43" t="s">
        <v>63</v>
      </c>
      <c r="L136" s="36"/>
    </row>
    <row r="137" spans="6:12" ht="16.5" customHeight="1">
      <c r="F137" s="42"/>
      <c r="G137" s="42">
        <v>4096088</v>
      </c>
      <c r="H137" s="43" t="s">
        <v>147</v>
      </c>
      <c r="I137" s="42" t="s">
        <v>70</v>
      </c>
      <c r="J137" s="43" t="s">
        <v>206</v>
      </c>
      <c r="K137" s="42" t="s">
        <v>32</v>
      </c>
      <c r="L137" s="36"/>
    </row>
    <row r="138" spans="6:12" ht="16.5" customHeight="1">
      <c r="F138" s="42"/>
      <c r="G138" s="42">
        <v>4096087</v>
      </c>
      <c r="H138" s="43" t="s">
        <v>147</v>
      </c>
      <c r="I138" s="42" t="s">
        <v>70</v>
      </c>
      <c r="J138" s="43" t="s">
        <v>206</v>
      </c>
      <c r="K138" s="42" t="s">
        <v>28</v>
      </c>
      <c r="L138" s="36"/>
    </row>
    <row r="139" spans="6:12" ht="16.5" customHeight="1">
      <c r="F139" s="42"/>
      <c r="G139" s="42">
        <v>4096086</v>
      </c>
      <c r="H139" s="43" t="s">
        <v>147</v>
      </c>
      <c r="I139" s="42" t="s">
        <v>70</v>
      </c>
      <c r="J139" s="43" t="s">
        <v>206</v>
      </c>
      <c r="K139" s="42" t="s">
        <v>36</v>
      </c>
      <c r="L139" s="36"/>
    </row>
    <row r="140" spans="6:12" ht="16.5" customHeight="1">
      <c r="F140" s="42"/>
      <c r="G140" s="43">
        <v>4096089</v>
      </c>
      <c r="H140" s="43" t="s">
        <v>147</v>
      </c>
      <c r="I140" s="42" t="s">
        <v>70</v>
      </c>
      <c r="J140" s="43" t="s">
        <v>206</v>
      </c>
      <c r="K140" s="43" t="s">
        <v>52</v>
      </c>
      <c r="L140" s="36"/>
    </row>
    <row r="141" spans="6:12" ht="16.5" customHeight="1">
      <c r="F141" s="42">
        <v>358</v>
      </c>
      <c r="G141" s="43">
        <v>4865524</v>
      </c>
      <c r="H141" s="43" t="s">
        <v>147</v>
      </c>
      <c r="I141" s="42" t="s">
        <v>105</v>
      </c>
      <c r="J141" s="43" t="s">
        <v>140</v>
      </c>
      <c r="K141" s="43" t="s">
        <v>63</v>
      </c>
      <c r="L141" s="36"/>
    </row>
    <row r="142" spans="6:12" ht="16.5" customHeight="1">
      <c r="F142" s="42"/>
      <c r="G142" s="43">
        <v>4865525</v>
      </c>
      <c r="H142" s="43" t="s">
        <v>147</v>
      </c>
      <c r="I142" s="42" t="s">
        <v>105</v>
      </c>
      <c r="J142" s="43" t="s">
        <v>140</v>
      </c>
      <c r="K142" s="43" t="s">
        <v>32</v>
      </c>
      <c r="L142" s="36"/>
    </row>
    <row r="143" spans="6:12" ht="16.5" customHeight="1">
      <c r="F143" s="42"/>
      <c r="G143" s="43">
        <v>4865526</v>
      </c>
      <c r="H143" s="43" t="s">
        <v>147</v>
      </c>
      <c r="I143" s="42" t="s">
        <v>105</v>
      </c>
      <c r="J143" s="43" t="s">
        <v>140</v>
      </c>
      <c r="K143" s="43" t="s">
        <v>28</v>
      </c>
      <c r="L143" s="36"/>
    </row>
    <row r="144" spans="6:12" ht="16.5" customHeight="1">
      <c r="F144" s="42"/>
      <c r="G144" s="43">
        <v>4865527</v>
      </c>
      <c r="H144" s="43" t="s">
        <v>147</v>
      </c>
      <c r="I144" s="42" t="s">
        <v>105</v>
      </c>
      <c r="J144" s="43" t="s">
        <v>140</v>
      </c>
      <c r="K144" s="43" t="s">
        <v>36</v>
      </c>
      <c r="L144" s="36"/>
    </row>
    <row r="145" spans="6:12" ht="16.5" customHeight="1">
      <c r="F145" s="42"/>
      <c r="G145" s="43">
        <v>4865528</v>
      </c>
      <c r="H145" s="43" t="s">
        <v>147</v>
      </c>
      <c r="I145" s="42" t="s">
        <v>105</v>
      </c>
      <c r="J145" s="43" t="s">
        <v>140</v>
      </c>
      <c r="K145" s="43" t="s">
        <v>52</v>
      </c>
      <c r="L145" s="36"/>
    </row>
    <row r="146" spans="6:12" ht="16.5" customHeight="1">
      <c r="F146" s="42">
        <v>359</v>
      </c>
      <c r="G146" s="43">
        <v>4865479</v>
      </c>
      <c r="H146" s="43" t="s">
        <v>136</v>
      </c>
      <c r="I146" s="43" t="s">
        <v>146</v>
      </c>
      <c r="J146" s="43" t="s">
        <v>137</v>
      </c>
      <c r="K146" s="43" t="s">
        <v>83</v>
      </c>
      <c r="L146" s="36"/>
    </row>
    <row r="147" spans="6:12" ht="16.5" customHeight="1">
      <c r="F147" s="42"/>
      <c r="G147" s="43">
        <v>4865478</v>
      </c>
      <c r="H147" s="43" t="s">
        <v>136</v>
      </c>
      <c r="I147" s="43" t="s">
        <v>146</v>
      </c>
      <c r="J147" s="43" t="s">
        <v>137</v>
      </c>
      <c r="K147" s="43" t="s">
        <v>63</v>
      </c>
      <c r="L147" s="36"/>
    </row>
    <row r="148" spans="6:12" ht="16.5" customHeight="1">
      <c r="F148" s="42"/>
      <c r="G148" s="43">
        <v>4865480</v>
      </c>
      <c r="H148" s="43" t="s">
        <v>136</v>
      </c>
      <c r="I148" s="43" t="s">
        <v>146</v>
      </c>
      <c r="J148" s="43" t="s">
        <v>137</v>
      </c>
      <c r="K148" s="43" t="s">
        <v>32</v>
      </c>
      <c r="L148" s="36"/>
    </row>
    <row r="149" spans="6:12" ht="16.5" customHeight="1">
      <c r="F149" s="42"/>
      <c r="G149" s="43">
        <v>4865481</v>
      </c>
      <c r="H149" s="43" t="s">
        <v>136</v>
      </c>
      <c r="I149" s="43" t="s">
        <v>146</v>
      </c>
      <c r="J149" s="43" t="s">
        <v>137</v>
      </c>
      <c r="K149" s="43" t="s">
        <v>28</v>
      </c>
      <c r="L149" s="36"/>
    </row>
    <row r="150" spans="6:12" ht="16.5" customHeight="1">
      <c r="F150" s="42"/>
      <c r="G150" s="43">
        <v>4865482</v>
      </c>
      <c r="H150" s="43" t="s">
        <v>136</v>
      </c>
      <c r="I150" s="43" t="s">
        <v>146</v>
      </c>
      <c r="J150" s="43" t="s">
        <v>137</v>
      </c>
      <c r="K150" s="43" t="s">
        <v>36</v>
      </c>
      <c r="L150" s="36"/>
    </row>
    <row r="151" spans="6:12" ht="16.5" customHeight="1">
      <c r="F151" s="42"/>
      <c r="G151" s="43">
        <v>4865483</v>
      </c>
      <c r="H151" s="43" t="s">
        <v>136</v>
      </c>
      <c r="I151" s="43" t="s">
        <v>146</v>
      </c>
      <c r="J151" s="43" t="s">
        <v>137</v>
      </c>
      <c r="K151" s="43" t="s">
        <v>52</v>
      </c>
      <c r="L151" s="36"/>
    </row>
    <row r="152" spans="6:12" ht="16.5" customHeight="1">
      <c r="F152" s="42">
        <v>360</v>
      </c>
      <c r="G152" s="43">
        <v>4925052</v>
      </c>
      <c r="H152" s="97" t="s">
        <v>145</v>
      </c>
      <c r="I152" s="43" t="s">
        <v>105</v>
      </c>
      <c r="J152" s="43" t="s">
        <v>152</v>
      </c>
      <c r="K152" s="43" t="s">
        <v>32</v>
      </c>
      <c r="L152" s="36"/>
    </row>
    <row r="153" spans="6:12" ht="16.5" customHeight="1">
      <c r="F153" s="42"/>
      <c r="G153" s="43">
        <v>4925053</v>
      </c>
      <c r="H153" s="97" t="s">
        <v>145</v>
      </c>
      <c r="I153" s="43" t="s">
        <v>105</v>
      </c>
      <c r="J153" s="43" t="s">
        <v>152</v>
      </c>
      <c r="K153" s="43" t="s">
        <v>28</v>
      </c>
      <c r="L153" s="36"/>
    </row>
    <row r="154" spans="6:12" ht="16.5" customHeight="1">
      <c r="F154" s="42"/>
      <c r="G154" s="43">
        <v>4925054</v>
      </c>
      <c r="H154" s="97" t="s">
        <v>145</v>
      </c>
      <c r="I154" s="43" t="s">
        <v>105</v>
      </c>
      <c r="J154" s="43" t="s">
        <v>152</v>
      </c>
      <c r="K154" s="43" t="s">
        <v>36</v>
      </c>
      <c r="L154" s="36"/>
    </row>
    <row r="155" spans="6:12" ht="16.5" customHeight="1">
      <c r="F155" s="42">
        <v>361</v>
      </c>
      <c r="G155" s="43">
        <v>4990505</v>
      </c>
      <c r="H155" s="43" t="s">
        <v>136</v>
      </c>
      <c r="I155" s="43" t="s">
        <v>146</v>
      </c>
      <c r="J155" s="43" t="s">
        <v>154</v>
      </c>
      <c r="K155" s="43" t="s">
        <v>52</v>
      </c>
      <c r="L155" s="36"/>
    </row>
    <row r="156" spans="6:12" ht="16.5" customHeight="1">
      <c r="F156" s="42"/>
      <c r="G156" s="43">
        <v>4990504</v>
      </c>
      <c r="H156" s="43" t="s">
        <v>136</v>
      </c>
      <c r="I156" s="43" t="s">
        <v>146</v>
      </c>
      <c r="J156" s="43" t="s">
        <v>154</v>
      </c>
      <c r="K156" s="43" t="s">
        <v>36</v>
      </c>
      <c r="L156" s="36"/>
    </row>
    <row r="157" spans="6:12" ht="16.5" customHeight="1">
      <c r="F157" s="42"/>
      <c r="G157" s="43">
        <v>4990503</v>
      </c>
      <c r="H157" s="43" t="s">
        <v>136</v>
      </c>
      <c r="I157" s="43" t="s">
        <v>146</v>
      </c>
      <c r="J157" s="43" t="s">
        <v>154</v>
      </c>
      <c r="K157" s="43" t="s">
        <v>28</v>
      </c>
      <c r="L157" s="36"/>
    </row>
    <row r="158" spans="6:12" ht="16.5" customHeight="1">
      <c r="F158" s="42"/>
      <c r="G158" s="43">
        <v>4990500</v>
      </c>
      <c r="H158" s="43" t="s">
        <v>136</v>
      </c>
      <c r="I158" s="43" t="s">
        <v>146</v>
      </c>
      <c r="J158" s="43" t="s">
        <v>154</v>
      </c>
      <c r="K158" s="43" t="s">
        <v>32</v>
      </c>
      <c r="L158" s="36"/>
    </row>
    <row r="159" spans="6:12" ht="16.5" customHeight="1">
      <c r="F159" s="42"/>
      <c r="G159" s="43">
        <v>4990498</v>
      </c>
      <c r="H159" s="43" t="s">
        <v>136</v>
      </c>
      <c r="I159" s="43" t="s">
        <v>146</v>
      </c>
      <c r="J159" s="43" t="s">
        <v>154</v>
      </c>
      <c r="K159" s="43" t="s">
        <v>63</v>
      </c>
      <c r="L159" s="36"/>
    </row>
    <row r="160" spans="6:12" ht="16.5" customHeight="1">
      <c r="F160" s="42">
        <v>362</v>
      </c>
      <c r="G160" s="43">
        <v>4248140</v>
      </c>
      <c r="H160" s="43" t="s">
        <v>143</v>
      </c>
      <c r="I160" s="43" t="s">
        <v>157</v>
      </c>
      <c r="J160" s="43" t="s">
        <v>158</v>
      </c>
      <c r="K160" s="43" t="s">
        <v>52</v>
      </c>
      <c r="L160" s="36"/>
    </row>
    <row r="161" spans="6:12" ht="16.5" customHeight="1">
      <c r="F161" s="42"/>
      <c r="G161" s="43">
        <v>4248137</v>
      </c>
      <c r="H161" s="43" t="s">
        <v>143</v>
      </c>
      <c r="I161" s="43" t="s">
        <v>157</v>
      </c>
      <c r="J161" s="43" t="s">
        <v>158</v>
      </c>
      <c r="K161" s="43" t="s">
        <v>36</v>
      </c>
      <c r="L161" s="36"/>
    </row>
    <row r="162" spans="6:12" ht="16.5" customHeight="1">
      <c r="F162" s="42"/>
      <c r="G162" s="43">
        <v>4248138</v>
      </c>
      <c r="H162" s="43" t="s">
        <v>143</v>
      </c>
      <c r="I162" s="43" t="s">
        <v>157</v>
      </c>
      <c r="J162" s="43" t="s">
        <v>158</v>
      </c>
      <c r="K162" s="43" t="s">
        <v>28</v>
      </c>
      <c r="L162" s="36"/>
    </row>
    <row r="163" spans="6:12" ht="16.5" customHeight="1">
      <c r="F163" s="42"/>
      <c r="G163" s="43">
        <v>4248139</v>
      </c>
      <c r="H163" s="43" t="s">
        <v>143</v>
      </c>
      <c r="I163" s="43" t="s">
        <v>157</v>
      </c>
      <c r="J163" s="43" t="s">
        <v>158</v>
      </c>
      <c r="K163" s="43" t="s">
        <v>32</v>
      </c>
      <c r="L163" s="36"/>
    </row>
    <row r="164" spans="6:12" ht="16.5" customHeight="1">
      <c r="F164" s="42">
        <v>363</v>
      </c>
      <c r="G164" s="43">
        <v>5354366</v>
      </c>
      <c r="H164" s="43" t="s">
        <v>144</v>
      </c>
      <c r="I164" s="43" t="s">
        <v>55</v>
      </c>
      <c r="J164" s="43" t="s">
        <v>159</v>
      </c>
      <c r="K164" s="43" t="s">
        <v>63</v>
      </c>
      <c r="L164" s="36"/>
    </row>
    <row r="165" spans="6:12" ht="16.5" customHeight="1">
      <c r="F165" s="42"/>
      <c r="G165" s="43">
        <v>5354367</v>
      </c>
      <c r="H165" s="43" t="s">
        <v>144</v>
      </c>
      <c r="I165" s="43" t="s">
        <v>55</v>
      </c>
      <c r="J165" s="43" t="s">
        <v>159</v>
      </c>
      <c r="K165" s="43" t="s">
        <v>32</v>
      </c>
      <c r="L165" s="36"/>
    </row>
    <row r="166" spans="6:12" ht="16.5" customHeight="1">
      <c r="F166" s="42"/>
      <c r="G166" s="43">
        <v>5354368</v>
      </c>
      <c r="H166" s="43" t="s">
        <v>144</v>
      </c>
      <c r="I166" s="43" t="s">
        <v>55</v>
      </c>
      <c r="J166" s="43" t="s">
        <v>159</v>
      </c>
      <c r="K166" s="43" t="s">
        <v>28</v>
      </c>
      <c r="L166" s="36"/>
    </row>
    <row r="167" spans="6:12" ht="16.5" customHeight="1">
      <c r="F167" s="42"/>
      <c r="G167" s="43">
        <v>5354369</v>
      </c>
      <c r="H167" s="43" t="s">
        <v>144</v>
      </c>
      <c r="I167" s="43" t="s">
        <v>55</v>
      </c>
      <c r="J167" s="43" t="s">
        <v>159</v>
      </c>
      <c r="K167" s="43" t="s">
        <v>36</v>
      </c>
      <c r="L167" s="36"/>
    </row>
    <row r="168" spans="6:12" ht="16.5" customHeight="1">
      <c r="F168" s="42"/>
      <c r="G168" s="43">
        <v>5354370</v>
      </c>
      <c r="H168" s="43" t="s">
        <v>144</v>
      </c>
      <c r="I168" s="43" t="s">
        <v>55</v>
      </c>
      <c r="J168" s="43" t="s">
        <v>159</v>
      </c>
      <c r="K168" s="43" t="s">
        <v>52</v>
      </c>
      <c r="L168" s="40"/>
    </row>
    <row r="169" spans="6:12" ht="16.5" customHeight="1">
      <c r="F169" s="42">
        <v>364</v>
      </c>
      <c r="G169" s="43">
        <v>4096129</v>
      </c>
      <c r="H169" s="43" t="s">
        <v>145</v>
      </c>
      <c r="I169" s="43" t="s">
        <v>42</v>
      </c>
      <c r="J169" s="43" t="s">
        <v>207</v>
      </c>
      <c r="K169" s="43" t="s">
        <v>52</v>
      </c>
      <c r="L169" s="36"/>
    </row>
    <row r="170" spans="6:12" ht="16.5" customHeight="1">
      <c r="F170" s="42"/>
      <c r="G170" s="43">
        <v>4096126</v>
      </c>
      <c r="H170" s="43" t="s">
        <v>145</v>
      </c>
      <c r="I170" s="43" t="s">
        <v>42</v>
      </c>
      <c r="J170" s="43" t="s">
        <v>207</v>
      </c>
      <c r="K170" s="43" t="s">
        <v>36</v>
      </c>
      <c r="L170" s="41"/>
    </row>
    <row r="171" spans="6:12" ht="16.5" customHeight="1">
      <c r="F171" s="42"/>
      <c r="G171" s="43">
        <v>4096127</v>
      </c>
      <c r="H171" s="43" t="s">
        <v>145</v>
      </c>
      <c r="I171" s="43" t="s">
        <v>42</v>
      </c>
      <c r="J171" s="43" t="s">
        <v>207</v>
      </c>
      <c r="K171" s="43" t="s">
        <v>28</v>
      </c>
      <c r="L171" s="41"/>
    </row>
    <row r="172" spans="6:12" ht="16.5" customHeight="1">
      <c r="F172" s="42"/>
      <c r="G172" s="43">
        <v>4096128</v>
      </c>
      <c r="H172" s="43" t="s">
        <v>145</v>
      </c>
      <c r="I172" s="43" t="s">
        <v>42</v>
      </c>
      <c r="J172" s="43" t="s">
        <v>207</v>
      </c>
      <c r="K172" s="43" t="s">
        <v>32</v>
      </c>
      <c r="L172" s="41"/>
    </row>
    <row r="173" spans="6:12" ht="16.5" customHeight="1">
      <c r="F173" s="42">
        <v>365</v>
      </c>
      <c r="G173" s="84">
        <v>5242386</v>
      </c>
      <c r="H173" s="43" t="s">
        <v>136</v>
      </c>
      <c r="I173" s="43" t="s">
        <v>146</v>
      </c>
      <c r="J173" s="43" t="s">
        <v>208</v>
      </c>
      <c r="K173" s="43" t="s">
        <v>52</v>
      </c>
      <c r="L173" s="36"/>
    </row>
    <row r="174" spans="6:12" ht="16.5" customHeight="1">
      <c r="F174" s="42"/>
      <c r="G174" s="84">
        <v>5242385</v>
      </c>
      <c r="H174" s="43" t="s">
        <v>136</v>
      </c>
      <c r="I174" s="43" t="s">
        <v>146</v>
      </c>
      <c r="J174" s="43" t="s">
        <v>208</v>
      </c>
      <c r="K174" s="43" t="s">
        <v>36</v>
      </c>
      <c r="L174" s="41"/>
    </row>
    <row r="175" spans="6:12" ht="16.5" customHeight="1">
      <c r="F175" s="42"/>
      <c r="G175" s="84">
        <v>5242383</v>
      </c>
      <c r="H175" s="43" t="s">
        <v>136</v>
      </c>
      <c r="I175" s="43" t="s">
        <v>146</v>
      </c>
      <c r="J175" s="43" t="s">
        <v>208</v>
      </c>
      <c r="K175" s="43" t="s">
        <v>32</v>
      </c>
      <c r="L175" s="41"/>
    </row>
    <row r="176" spans="6:12" ht="16.5" customHeight="1">
      <c r="F176" s="42"/>
      <c r="G176" s="84">
        <v>5242382</v>
      </c>
      <c r="H176" s="43" t="s">
        <v>136</v>
      </c>
      <c r="I176" s="43" t="s">
        <v>146</v>
      </c>
      <c r="J176" s="43" t="s">
        <v>208</v>
      </c>
      <c r="K176" s="43" t="s">
        <v>63</v>
      </c>
      <c r="L176" s="36"/>
    </row>
    <row r="177" spans="6:12" ht="16.5" customHeight="1">
      <c r="F177" s="42"/>
      <c r="G177" s="84">
        <v>5242384</v>
      </c>
      <c r="H177" s="43" t="s">
        <v>136</v>
      </c>
      <c r="I177" s="43" t="s">
        <v>146</v>
      </c>
      <c r="J177" s="43" t="s">
        <v>208</v>
      </c>
      <c r="K177" s="43" t="s">
        <v>28</v>
      </c>
      <c r="L177" s="41"/>
    </row>
    <row r="178" spans="6:12" ht="16.5" customHeight="1">
      <c r="F178" s="42">
        <v>366</v>
      </c>
      <c r="G178" s="84">
        <v>5144805</v>
      </c>
      <c r="H178" s="43" t="s">
        <v>136</v>
      </c>
      <c r="I178" s="43" t="s">
        <v>173</v>
      </c>
      <c r="J178" s="43" t="s">
        <v>172</v>
      </c>
      <c r="K178" s="43" t="s">
        <v>36</v>
      </c>
      <c r="L178" s="41"/>
    </row>
    <row r="179" spans="6:12" ht="16.5" customHeight="1">
      <c r="F179" s="42"/>
      <c r="G179" s="84">
        <v>5144804</v>
      </c>
      <c r="H179" s="43" t="s">
        <v>136</v>
      </c>
      <c r="I179" s="43" t="s">
        <v>173</v>
      </c>
      <c r="J179" s="43" t="s">
        <v>172</v>
      </c>
      <c r="K179" s="43" t="s">
        <v>28</v>
      </c>
      <c r="L179" s="36"/>
    </row>
    <row r="180" spans="6:12" ht="16.5" customHeight="1">
      <c r="F180" s="42"/>
      <c r="G180" s="84">
        <v>5144806</v>
      </c>
      <c r="H180" s="43" t="s">
        <v>136</v>
      </c>
      <c r="I180" s="43" t="s">
        <v>173</v>
      </c>
      <c r="J180" s="43" t="s">
        <v>172</v>
      </c>
      <c r="K180" s="43" t="s">
        <v>32</v>
      </c>
      <c r="L180" s="36"/>
    </row>
    <row r="181" spans="6:12" ht="16.5" customHeight="1">
      <c r="F181" s="42">
        <v>367</v>
      </c>
      <c r="G181" s="84">
        <v>5242391</v>
      </c>
      <c r="H181" s="43" t="s">
        <v>136</v>
      </c>
      <c r="I181" s="43" t="s">
        <v>173</v>
      </c>
      <c r="J181" s="43" t="s">
        <v>174</v>
      </c>
      <c r="K181" s="43" t="s">
        <v>36</v>
      </c>
      <c r="L181" s="36"/>
    </row>
    <row r="182" spans="6:12" ht="16.5" customHeight="1">
      <c r="F182" s="42"/>
      <c r="G182" s="84">
        <v>5242390</v>
      </c>
      <c r="H182" s="43" t="s">
        <v>136</v>
      </c>
      <c r="I182" s="43" t="s">
        <v>173</v>
      </c>
      <c r="J182" s="43" t="s">
        <v>174</v>
      </c>
      <c r="K182" s="43" t="s">
        <v>28</v>
      </c>
      <c r="L182" s="36"/>
    </row>
    <row r="183" spans="6:12" ht="16.5" customHeight="1">
      <c r="F183" s="42"/>
      <c r="G183" s="84">
        <v>5242389</v>
      </c>
      <c r="H183" s="43" t="s">
        <v>136</v>
      </c>
      <c r="I183" s="43" t="s">
        <v>173</v>
      </c>
      <c r="J183" s="43" t="s">
        <v>174</v>
      </c>
      <c r="K183" s="43" t="s">
        <v>32</v>
      </c>
      <c r="L183" s="36"/>
    </row>
    <row r="184" spans="6:12" ht="16.5" customHeight="1">
      <c r="F184" s="42">
        <v>368</v>
      </c>
      <c r="G184" s="84">
        <v>5318931</v>
      </c>
      <c r="H184" s="43" t="s">
        <v>136</v>
      </c>
      <c r="I184" s="43" t="s">
        <v>178</v>
      </c>
      <c r="J184" s="43" t="s">
        <v>175</v>
      </c>
      <c r="K184" s="43" t="s">
        <v>83</v>
      </c>
      <c r="L184" s="36"/>
    </row>
    <row r="185" spans="6:12" ht="16.5" customHeight="1">
      <c r="F185" s="42"/>
      <c r="G185" s="84">
        <v>5318920</v>
      </c>
      <c r="H185" s="43" t="s">
        <v>136</v>
      </c>
      <c r="I185" s="43" t="s">
        <v>178</v>
      </c>
      <c r="J185" s="43" t="s">
        <v>175</v>
      </c>
      <c r="K185" s="43" t="s">
        <v>63</v>
      </c>
      <c r="L185" s="36"/>
    </row>
    <row r="186" spans="6:12" ht="16.5" customHeight="1">
      <c r="F186" s="42"/>
      <c r="G186" s="84">
        <v>5318921</v>
      </c>
      <c r="H186" s="43" t="s">
        <v>136</v>
      </c>
      <c r="I186" s="43" t="s">
        <v>178</v>
      </c>
      <c r="J186" s="43" t="s">
        <v>175</v>
      </c>
      <c r="K186" s="43" t="s">
        <v>32</v>
      </c>
      <c r="L186" s="36"/>
    </row>
    <row r="187" spans="6:12" ht="16.5" customHeight="1">
      <c r="F187" s="42"/>
      <c r="G187" s="84">
        <v>5318922</v>
      </c>
      <c r="H187" s="43" t="s">
        <v>136</v>
      </c>
      <c r="I187" s="43" t="s">
        <v>178</v>
      </c>
      <c r="J187" s="43" t="s">
        <v>175</v>
      </c>
      <c r="K187" s="43" t="s">
        <v>28</v>
      </c>
      <c r="L187" s="36"/>
    </row>
    <row r="188" spans="6:12" ht="16.5" customHeight="1">
      <c r="F188" s="42"/>
      <c r="G188" s="84">
        <v>5318923</v>
      </c>
      <c r="H188" s="43" t="s">
        <v>136</v>
      </c>
      <c r="I188" s="43" t="s">
        <v>178</v>
      </c>
      <c r="J188" s="43" t="s">
        <v>175</v>
      </c>
      <c r="K188" s="43" t="s">
        <v>36</v>
      </c>
      <c r="L188" s="36"/>
    </row>
    <row r="189" spans="6:12" ht="16.5" customHeight="1">
      <c r="F189" s="42"/>
      <c r="G189" s="84">
        <v>5318924</v>
      </c>
      <c r="H189" s="43" t="s">
        <v>136</v>
      </c>
      <c r="I189" s="43" t="s">
        <v>178</v>
      </c>
      <c r="J189" s="43" t="s">
        <v>175</v>
      </c>
      <c r="K189" s="43" t="s">
        <v>52</v>
      </c>
      <c r="L189" s="36"/>
    </row>
    <row r="190" spans="6:12" ht="16.5" customHeight="1">
      <c r="F190" s="42">
        <v>369</v>
      </c>
      <c r="G190" s="84">
        <v>4965981</v>
      </c>
      <c r="H190" s="43" t="s">
        <v>136</v>
      </c>
      <c r="I190" s="43" t="s">
        <v>173</v>
      </c>
      <c r="J190" s="43" t="s">
        <v>180</v>
      </c>
      <c r="K190" s="43" t="s">
        <v>83</v>
      </c>
      <c r="L190" s="36"/>
    </row>
    <row r="191" spans="6:12" ht="16.5" customHeight="1">
      <c r="F191" s="42"/>
      <c r="G191" s="84">
        <v>4965982</v>
      </c>
      <c r="H191" s="43" t="s">
        <v>136</v>
      </c>
      <c r="I191" s="43" t="s">
        <v>173</v>
      </c>
      <c r="J191" s="43" t="s">
        <v>180</v>
      </c>
      <c r="K191" s="43" t="s">
        <v>63</v>
      </c>
      <c r="L191" s="36"/>
    </row>
    <row r="192" spans="6:12" ht="16.5" customHeight="1">
      <c r="F192" s="42"/>
      <c r="G192" s="84">
        <v>4965983</v>
      </c>
      <c r="H192" s="43" t="s">
        <v>136</v>
      </c>
      <c r="I192" s="43" t="s">
        <v>173</v>
      </c>
      <c r="J192" s="43" t="s">
        <v>180</v>
      </c>
      <c r="K192" s="43" t="s">
        <v>32</v>
      </c>
      <c r="L192" s="36"/>
    </row>
    <row r="193" spans="6:12" ht="16.5" customHeight="1">
      <c r="F193" s="42"/>
      <c r="G193" s="84">
        <v>4965984</v>
      </c>
      <c r="H193" s="43" t="s">
        <v>136</v>
      </c>
      <c r="I193" s="43" t="s">
        <v>173</v>
      </c>
      <c r="J193" s="43" t="s">
        <v>180</v>
      </c>
      <c r="K193" s="43" t="s">
        <v>28</v>
      </c>
      <c r="L193" s="36"/>
    </row>
    <row r="194" spans="6:12" ht="16.5" customHeight="1">
      <c r="F194" s="42"/>
      <c r="G194" s="84">
        <v>4965985</v>
      </c>
      <c r="H194" s="43" t="s">
        <v>136</v>
      </c>
      <c r="I194" s="43" t="s">
        <v>173</v>
      </c>
      <c r="J194" s="43" t="s">
        <v>180</v>
      </c>
      <c r="K194" s="43" t="s">
        <v>36</v>
      </c>
      <c r="L194" s="36"/>
    </row>
    <row r="195" spans="6:12" ht="16.5" customHeight="1">
      <c r="F195" s="42"/>
      <c r="G195" s="84">
        <v>4965986</v>
      </c>
      <c r="H195" s="43" t="s">
        <v>136</v>
      </c>
      <c r="I195" s="43" t="s">
        <v>173</v>
      </c>
      <c r="J195" s="43" t="s">
        <v>180</v>
      </c>
      <c r="K195" s="43" t="s">
        <v>52</v>
      </c>
      <c r="L195" s="36"/>
    </row>
    <row r="196" spans="6:12" ht="16.5" customHeight="1">
      <c r="F196" s="42">
        <v>370</v>
      </c>
      <c r="G196" s="84">
        <v>5318925</v>
      </c>
      <c r="H196" s="43" t="s">
        <v>136</v>
      </c>
      <c r="I196" s="43" t="s">
        <v>173</v>
      </c>
      <c r="J196" s="43" t="s">
        <v>179</v>
      </c>
      <c r="K196" s="43" t="s">
        <v>83</v>
      </c>
      <c r="L196" s="36"/>
    </row>
    <row r="197" spans="6:12" ht="16.5" customHeight="1">
      <c r="F197" s="42"/>
      <c r="G197" s="84">
        <v>5318926</v>
      </c>
      <c r="H197" s="43" t="s">
        <v>136</v>
      </c>
      <c r="I197" s="43" t="s">
        <v>173</v>
      </c>
      <c r="J197" s="43" t="s">
        <v>179</v>
      </c>
      <c r="K197" s="43" t="s">
        <v>63</v>
      </c>
      <c r="L197" s="36"/>
    </row>
    <row r="198" spans="6:12" ht="16.5" customHeight="1">
      <c r="F198" s="42"/>
      <c r="G198" s="84">
        <v>5318927</v>
      </c>
      <c r="H198" s="43" t="s">
        <v>136</v>
      </c>
      <c r="I198" s="43" t="s">
        <v>173</v>
      </c>
      <c r="J198" s="43" t="s">
        <v>179</v>
      </c>
      <c r="K198" s="43" t="s">
        <v>32</v>
      </c>
    </row>
    <row r="199" spans="6:12" ht="16.5" customHeight="1">
      <c r="F199" s="42"/>
      <c r="G199" s="84">
        <v>5318928</v>
      </c>
      <c r="H199" s="43" t="s">
        <v>136</v>
      </c>
      <c r="I199" s="43" t="s">
        <v>173</v>
      </c>
      <c r="J199" s="43" t="s">
        <v>179</v>
      </c>
      <c r="K199" s="43" t="s">
        <v>28</v>
      </c>
    </row>
    <row r="200" spans="6:12" ht="16.5" customHeight="1">
      <c r="F200" s="42"/>
      <c r="G200" s="84">
        <v>5318929</v>
      </c>
      <c r="H200" s="43" t="s">
        <v>136</v>
      </c>
      <c r="I200" s="43" t="s">
        <v>173</v>
      </c>
      <c r="J200" s="43" t="s">
        <v>179</v>
      </c>
      <c r="K200" s="43" t="s">
        <v>36</v>
      </c>
    </row>
    <row r="201" spans="6:12" ht="16.5" customHeight="1">
      <c r="F201" s="42">
        <v>371</v>
      </c>
      <c r="G201" s="84">
        <v>4561831</v>
      </c>
      <c r="H201" s="43" t="s">
        <v>143</v>
      </c>
      <c r="I201" s="43" t="s">
        <v>182</v>
      </c>
      <c r="J201" s="43" t="s">
        <v>181</v>
      </c>
      <c r="K201" s="43" t="s">
        <v>52</v>
      </c>
    </row>
    <row r="202" spans="6:12" ht="16.5" customHeight="1">
      <c r="F202" s="42"/>
      <c r="G202" s="84">
        <v>4561832</v>
      </c>
      <c r="H202" s="43" t="s">
        <v>143</v>
      </c>
      <c r="I202" s="43" t="s">
        <v>182</v>
      </c>
      <c r="J202" s="43" t="s">
        <v>181</v>
      </c>
      <c r="K202" s="43" t="s">
        <v>36</v>
      </c>
    </row>
    <row r="203" spans="6:12" ht="16.5" customHeight="1">
      <c r="F203" s="42"/>
      <c r="G203" s="84">
        <v>4561830</v>
      </c>
      <c r="H203" s="43" t="s">
        <v>143</v>
      </c>
      <c r="I203" s="43" t="s">
        <v>182</v>
      </c>
      <c r="J203" s="43" t="s">
        <v>181</v>
      </c>
      <c r="K203" s="43" t="s">
        <v>28</v>
      </c>
    </row>
    <row r="204" spans="6:12" ht="16.5" customHeight="1">
      <c r="F204" s="42"/>
      <c r="G204" s="84">
        <v>4561829</v>
      </c>
      <c r="H204" s="43" t="s">
        <v>143</v>
      </c>
      <c r="I204" s="43" t="s">
        <v>182</v>
      </c>
      <c r="J204" s="43" t="s">
        <v>181</v>
      </c>
      <c r="K204" s="43" t="s">
        <v>32</v>
      </c>
    </row>
    <row r="205" spans="6:12" ht="16.5" customHeight="1">
      <c r="F205" s="42">
        <v>372</v>
      </c>
      <c r="G205" s="84">
        <v>5327228</v>
      </c>
      <c r="H205" s="43" t="s">
        <v>147</v>
      </c>
      <c r="I205" s="43" t="s">
        <v>183</v>
      </c>
      <c r="J205" s="43" t="s">
        <v>209</v>
      </c>
      <c r="K205" s="43" t="s">
        <v>52</v>
      </c>
    </row>
    <row r="206" spans="6:12" ht="16.5" customHeight="1">
      <c r="F206" s="42"/>
      <c r="G206" s="84">
        <v>5327227</v>
      </c>
      <c r="H206" s="43" t="s">
        <v>147</v>
      </c>
      <c r="I206" s="43" t="s">
        <v>183</v>
      </c>
      <c r="J206" s="43" t="s">
        <v>209</v>
      </c>
      <c r="K206" s="43" t="s">
        <v>36</v>
      </c>
    </row>
    <row r="207" spans="6:12" ht="16.5" customHeight="1">
      <c r="F207" s="42"/>
      <c r="G207" s="84">
        <v>5327226</v>
      </c>
      <c r="H207" s="43" t="s">
        <v>147</v>
      </c>
      <c r="I207" s="43" t="s">
        <v>183</v>
      </c>
      <c r="J207" s="43" t="s">
        <v>209</v>
      </c>
      <c r="K207" s="43" t="s">
        <v>28</v>
      </c>
    </row>
    <row r="208" spans="6:12" ht="16.5" customHeight="1">
      <c r="F208" s="42"/>
      <c r="G208" s="84">
        <v>5327225</v>
      </c>
      <c r="H208" s="43" t="s">
        <v>147</v>
      </c>
      <c r="I208" s="43" t="s">
        <v>183</v>
      </c>
      <c r="J208" s="43" t="s">
        <v>209</v>
      </c>
      <c r="K208" s="43" t="s">
        <v>32</v>
      </c>
    </row>
    <row r="209" spans="6:11" ht="16.5" customHeight="1">
      <c r="F209" s="42"/>
      <c r="G209" s="84">
        <v>5327224</v>
      </c>
      <c r="H209" s="43" t="s">
        <v>147</v>
      </c>
      <c r="I209" s="43" t="s">
        <v>183</v>
      </c>
      <c r="J209" s="43" t="s">
        <v>209</v>
      </c>
      <c r="K209" s="43" t="s">
        <v>63</v>
      </c>
    </row>
    <row r="210" spans="6:11" ht="16.5" customHeight="1">
      <c r="F210" s="42">
        <v>373</v>
      </c>
      <c r="G210" s="84">
        <v>5327243</v>
      </c>
      <c r="H210" s="43" t="s">
        <v>147</v>
      </c>
      <c r="I210" s="43" t="s">
        <v>183</v>
      </c>
      <c r="J210" s="43" t="s">
        <v>210</v>
      </c>
      <c r="K210" s="43" t="s">
        <v>52</v>
      </c>
    </row>
    <row r="211" spans="6:11" ht="16.5" customHeight="1">
      <c r="F211" s="42"/>
      <c r="G211" s="84">
        <v>5327242</v>
      </c>
      <c r="H211" s="43" t="s">
        <v>147</v>
      </c>
      <c r="I211" s="43" t="s">
        <v>183</v>
      </c>
      <c r="J211" s="43" t="s">
        <v>210</v>
      </c>
      <c r="K211" s="43" t="s">
        <v>36</v>
      </c>
    </row>
    <row r="212" spans="6:11" ht="16.5" customHeight="1">
      <c r="F212" s="42"/>
      <c r="G212" s="84">
        <v>5327241</v>
      </c>
      <c r="H212" s="43" t="s">
        <v>147</v>
      </c>
      <c r="I212" s="43" t="s">
        <v>183</v>
      </c>
      <c r="J212" s="43" t="s">
        <v>210</v>
      </c>
      <c r="K212" s="43" t="s">
        <v>28</v>
      </c>
    </row>
    <row r="213" spans="6:11" ht="16.5" customHeight="1">
      <c r="F213" s="42"/>
      <c r="G213" s="84">
        <v>5327240</v>
      </c>
      <c r="H213" s="43" t="s">
        <v>147</v>
      </c>
      <c r="I213" s="43" t="s">
        <v>183</v>
      </c>
      <c r="J213" s="43" t="s">
        <v>210</v>
      </c>
      <c r="K213" s="43" t="s">
        <v>32</v>
      </c>
    </row>
    <row r="214" spans="6:11" ht="16.5" customHeight="1">
      <c r="F214" s="42"/>
      <c r="G214" s="84">
        <v>5327239</v>
      </c>
      <c r="H214" s="43" t="s">
        <v>147</v>
      </c>
      <c r="I214" s="43" t="s">
        <v>183</v>
      </c>
      <c r="J214" s="43" t="s">
        <v>210</v>
      </c>
      <c r="K214" s="43" t="s">
        <v>63</v>
      </c>
    </row>
    <row r="215" spans="6:11" ht="16.5" customHeight="1">
      <c r="F215" s="42">
        <v>374</v>
      </c>
      <c r="G215" s="84">
        <v>5327223</v>
      </c>
      <c r="H215" s="43" t="s">
        <v>147</v>
      </c>
      <c r="I215" s="43" t="s">
        <v>183</v>
      </c>
      <c r="J215" s="43" t="s">
        <v>211</v>
      </c>
      <c r="K215" s="43" t="s">
        <v>52</v>
      </c>
    </row>
    <row r="216" spans="6:11" ht="16.5" customHeight="1">
      <c r="F216" s="42"/>
      <c r="G216" s="84">
        <v>5327222</v>
      </c>
      <c r="H216" s="43" t="s">
        <v>147</v>
      </c>
      <c r="I216" s="43" t="s">
        <v>183</v>
      </c>
      <c r="J216" s="43" t="s">
        <v>211</v>
      </c>
      <c r="K216" s="43" t="s">
        <v>36</v>
      </c>
    </row>
    <row r="217" spans="6:11" ht="16.5" customHeight="1">
      <c r="F217" s="42"/>
      <c r="G217" s="84">
        <v>5327221</v>
      </c>
      <c r="H217" s="43" t="s">
        <v>147</v>
      </c>
      <c r="I217" s="43" t="s">
        <v>183</v>
      </c>
      <c r="J217" s="43" t="s">
        <v>211</v>
      </c>
      <c r="K217" s="43" t="s">
        <v>28</v>
      </c>
    </row>
    <row r="218" spans="6:11" ht="16.5" customHeight="1">
      <c r="F218" s="42"/>
      <c r="G218" s="84">
        <v>5327220</v>
      </c>
      <c r="H218" s="43" t="s">
        <v>147</v>
      </c>
      <c r="I218" s="43" t="s">
        <v>183</v>
      </c>
      <c r="J218" s="43" t="s">
        <v>211</v>
      </c>
      <c r="K218" s="43" t="s">
        <v>32</v>
      </c>
    </row>
    <row r="219" spans="6:11" ht="16.5" customHeight="1">
      <c r="F219" s="42"/>
      <c r="G219" s="84">
        <v>5327219</v>
      </c>
      <c r="H219" s="43" t="s">
        <v>147</v>
      </c>
      <c r="I219" s="43" t="s">
        <v>183</v>
      </c>
      <c r="J219" s="43" t="s">
        <v>211</v>
      </c>
      <c r="K219" s="43" t="s">
        <v>63</v>
      </c>
    </row>
    <row r="220" spans="6:11" ht="16.5" customHeight="1">
      <c r="F220" s="42">
        <v>375</v>
      </c>
      <c r="G220" s="84">
        <v>5285962</v>
      </c>
      <c r="H220" s="43" t="s">
        <v>136</v>
      </c>
      <c r="I220" s="43" t="s">
        <v>186</v>
      </c>
      <c r="J220" s="43" t="s">
        <v>212</v>
      </c>
      <c r="K220" s="43" t="s">
        <v>52</v>
      </c>
    </row>
    <row r="221" spans="6:11" ht="16.5" customHeight="1">
      <c r="F221" s="42"/>
      <c r="G221" s="84">
        <v>5285961</v>
      </c>
      <c r="H221" s="43" t="s">
        <v>136</v>
      </c>
      <c r="I221" s="43" t="s">
        <v>186</v>
      </c>
      <c r="J221" s="43" t="s">
        <v>212</v>
      </c>
      <c r="K221" s="43" t="s">
        <v>36</v>
      </c>
    </row>
    <row r="222" spans="6:11" ht="16.5" customHeight="1">
      <c r="F222" s="42"/>
      <c r="G222" s="84">
        <v>5285960</v>
      </c>
      <c r="H222" s="43" t="s">
        <v>136</v>
      </c>
      <c r="I222" s="43" t="s">
        <v>186</v>
      </c>
      <c r="J222" s="43" t="s">
        <v>212</v>
      </c>
      <c r="K222" s="43" t="s">
        <v>28</v>
      </c>
    </row>
    <row r="223" spans="6:11" ht="16.5" customHeight="1">
      <c r="F223" s="42"/>
      <c r="G223" s="84">
        <v>5285959</v>
      </c>
      <c r="H223" s="43" t="s">
        <v>136</v>
      </c>
      <c r="I223" s="43" t="s">
        <v>186</v>
      </c>
      <c r="J223" s="43" t="s">
        <v>212</v>
      </c>
      <c r="K223" s="43" t="s">
        <v>32</v>
      </c>
    </row>
    <row r="224" spans="6:11" ht="16.5" customHeight="1">
      <c r="F224" s="42"/>
      <c r="G224" s="84">
        <v>5285958</v>
      </c>
      <c r="H224" s="43" t="s">
        <v>136</v>
      </c>
      <c r="I224" s="43" t="s">
        <v>186</v>
      </c>
      <c r="J224" s="43" t="s">
        <v>212</v>
      </c>
      <c r="K224" s="43" t="s">
        <v>63</v>
      </c>
    </row>
    <row r="225" spans="6:11" ht="16.5" customHeight="1">
      <c r="F225" s="89">
        <v>376</v>
      </c>
      <c r="G225" s="84">
        <v>5476624</v>
      </c>
      <c r="H225" s="43" t="s">
        <v>147</v>
      </c>
      <c r="I225" s="43" t="s">
        <v>183</v>
      </c>
      <c r="J225" s="43" t="s">
        <v>188</v>
      </c>
      <c r="K225" s="43" t="s">
        <v>52</v>
      </c>
    </row>
    <row r="226" spans="6:11" ht="16.5" customHeight="1">
      <c r="F226" s="42"/>
      <c r="G226" s="84">
        <v>5476623</v>
      </c>
      <c r="H226" s="43" t="s">
        <v>147</v>
      </c>
      <c r="I226" s="43" t="s">
        <v>183</v>
      </c>
      <c r="J226" s="43" t="s">
        <v>188</v>
      </c>
      <c r="K226" s="43" t="s">
        <v>36</v>
      </c>
    </row>
    <row r="227" spans="6:11" ht="16.5" customHeight="1">
      <c r="F227" s="42"/>
      <c r="G227" s="84">
        <v>5476622</v>
      </c>
      <c r="H227" s="43" t="s">
        <v>147</v>
      </c>
      <c r="I227" s="43" t="s">
        <v>183</v>
      </c>
      <c r="J227" s="43" t="s">
        <v>188</v>
      </c>
      <c r="K227" s="43" t="s">
        <v>28</v>
      </c>
    </row>
    <row r="228" spans="6:11" ht="16.5" customHeight="1">
      <c r="F228" s="42"/>
      <c r="G228" s="84">
        <v>5476621</v>
      </c>
      <c r="H228" s="43" t="s">
        <v>147</v>
      </c>
      <c r="I228" s="43" t="s">
        <v>183</v>
      </c>
      <c r="J228" s="43" t="s">
        <v>188</v>
      </c>
      <c r="K228" s="43" t="s">
        <v>32</v>
      </c>
    </row>
    <row r="229" spans="6:11" ht="16.5" customHeight="1">
      <c r="F229" s="42"/>
      <c r="G229" s="84">
        <v>5476620</v>
      </c>
      <c r="H229" s="43" t="s">
        <v>147</v>
      </c>
      <c r="I229" s="43" t="s">
        <v>183</v>
      </c>
      <c r="J229" s="43" t="s">
        <v>188</v>
      </c>
      <c r="K229" s="43" t="s">
        <v>63</v>
      </c>
    </row>
    <row r="230" spans="6:11" ht="16.5" customHeight="1">
      <c r="F230" s="42">
        <v>377</v>
      </c>
      <c r="G230" s="84">
        <v>5637065</v>
      </c>
      <c r="H230" s="43" t="s">
        <v>136</v>
      </c>
      <c r="I230" s="43" t="s">
        <v>186</v>
      </c>
      <c r="J230" s="43" t="s">
        <v>213</v>
      </c>
      <c r="K230" s="43" t="s">
        <v>32</v>
      </c>
    </row>
    <row r="231" spans="6:11" ht="16.5" customHeight="1">
      <c r="F231" s="42"/>
      <c r="G231" s="84">
        <v>5637067</v>
      </c>
      <c r="H231" s="43" t="s">
        <v>136</v>
      </c>
      <c r="I231" s="43" t="s">
        <v>186</v>
      </c>
      <c r="J231" s="43" t="s">
        <v>213</v>
      </c>
      <c r="K231" s="43" t="s">
        <v>28</v>
      </c>
    </row>
    <row r="232" spans="6:11" ht="16.5" customHeight="1">
      <c r="F232" s="42"/>
      <c r="G232" s="84">
        <v>5637068</v>
      </c>
      <c r="H232" s="43" t="s">
        <v>136</v>
      </c>
      <c r="I232" s="43" t="s">
        <v>186</v>
      </c>
      <c r="J232" s="43" t="s">
        <v>213</v>
      </c>
      <c r="K232" s="43" t="s">
        <v>36</v>
      </c>
    </row>
    <row r="233" spans="6:11" ht="16.5" customHeight="1">
      <c r="F233" s="42"/>
      <c r="G233" s="42">
        <v>5639104</v>
      </c>
      <c r="H233" s="43" t="s">
        <v>136</v>
      </c>
      <c r="I233" s="43" t="s">
        <v>186</v>
      </c>
      <c r="J233" s="42" t="s">
        <v>213</v>
      </c>
      <c r="K233" s="42" t="s">
        <v>52</v>
      </c>
    </row>
    <row r="234" spans="6:11" ht="16.5" customHeight="1">
      <c r="F234" s="42">
        <v>378</v>
      </c>
      <c r="G234" s="42">
        <v>2879747</v>
      </c>
      <c r="H234" s="43" t="s">
        <v>142</v>
      </c>
      <c r="I234" s="43" t="s">
        <v>44</v>
      </c>
      <c r="J234" s="42" t="s">
        <v>214</v>
      </c>
      <c r="K234" s="43" t="s">
        <v>36</v>
      </c>
    </row>
    <row r="235" spans="6:11" ht="16.5" customHeight="1">
      <c r="F235" s="42"/>
      <c r="G235" s="42">
        <v>2879748</v>
      </c>
      <c r="H235" s="43" t="s">
        <v>142</v>
      </c>
      <c r="I235" s="43" t="s">
        <v>44</v>
      </c>
      <c r="J235" s="42" t="s">
        <v>214</v>
      </c>
      <c r="K235" s="43" t="s">
        <v>28</v>
      </c>
    </row>
    <row r="236" spans="6:11" ht="16.5" customHeight="1">
      <c r="F236" s="42"/>
      <c r="G236" s="42">
        <v>2879749</v>
      </c>
      <c r="H236" s="43" t="s">
        <v>142</v>
      </c>
      <c r="I236" s="43" t="s">
        <v>44</v>
      </c>
      <c r="J236" s="42" t="s">
        <v>214</v>
      </c>
      <c r="K236" s="43" t="s">
        <v>32</v>
      </c>
    </row>
    <row r="237" spans="6:11" ht="16.5" customHeight="1">
      <c r="F237" s="42">
        <v>379</v>
      </c>
      <c r="G237" s="42">
        <v>5285947</v>
      </c>
      <c r="H237" s="43" t="s">
        <v>136</v>
      </c>
      <c r="I237" s="43" t="s">
        <v>173</v>
      </c>
      <c r="J237" s="42" t="s">
        <v>215</v>
      </c>
      <c r="K237" s="43" t="s">
        <v>63</v>
      </c>
    </row>
    <row r="238" spans="6:11" ht="16.5" customHeight="1">
      <c r="F238" s="42"/>
      <c r="G238" s="42">
        <v>5285948</v>
      </c>
      <c r="H238" s="43" t="s">
        <v>136</v>
      </c>
      <c r="I238" s="43" t="s">
        <v>173</v>
      </c>
      <c r="J238" s="42" t="s">
        <v>215</v>
      </c>
      <c r="K238" s="43" t="s">
        <v>32</v>
      </c>
    </row>
    <row r="239" spans="6:11" ht="16.5" customHeight="1">
      <c r="F239" s="42"/>
      <c r="G239" s="42">
        <v>5285949</v>
      </c>
      <c r="H239" s="43" t="s">
        <v>136</v>
      </c>
      <c r="I239" s="43" t="s">
        <v>173</v>
      </c>
      <c r="J239" s="42" t="s">
        <v>215</v>
      </c>
      <c r="K239" s="43" t="s">
        <v>28</v>
      </c>
    </row>
    <row r="240" spans="6:11" ht="16.5" customHeight="1">
      <c r="F240" s="42"/>
      <c r="G240" s="42">
        <v>5285950</v>
      </c>
      <c r="H240" s="43" t="s">
        <v>136</v>
      </c>
      <c r="I240" s="43" t="s">
        <v>173</v>
      </c>
      <c r="J240" s="42" t="s">
        <v>215</v>
      </c>
      <c r="K240" s="43" t="s">
        <v>36</v>
      </c>
    </row>
    <row r="241" spans="6:11" ht="16.5" customHeight="1">
      <c r="F241" s="42"/>
      <c r="G241" s="42">
        <v>5285951</v>
      </c>
      <c r="H241" s="43" t="s">
        <v>136</v>
      </c>
      <c r="I241" s="43" t="s">
        <v>173</v>
      </c>
      <c r="J241" s="42" t="s">
        <v>215</v>
      </c>
      <c r="K241" s="43" t="s">
        <v>52</v>
      </c>
    </row>
    <row r="242" spans="6:11" ht="16.5" customHeight="1">
      <c r="F242" s="42">
        <v>380</v>
      </c>
      <c r="G242" s="42">
        <v>5326038</v>
      </c>
      <c r="H242" s="43" t="s">
        <v>216</v>
      </c>
      <c r="I242" s="43" t="s">
        <v>221</v>
      </c>
      <c r="J242" s="43" t="s">
        <v>224</v>
      </c>
      <c r="K242" s="43" t="s">
        <v>52</v>
      </c>
    </row>
    <row r="243" spans="6:11" ht="16.5" customHeight="1">
      <c r="F243" s="42"/>
      <c r="G243" s="42">
        <v>5326037</v>
      </c>
      <c r="H243" s="43" t="s">
        <v>216</v>
      </c>
      <c r="I243" s="43" t="s">
        <v>221</v>
      </c>
      <c r="J243" s="43" t="s">
        <v>224</v>
      </c>
      <c r="K243" s="43" t="s">
        <v>36</v>
      </c>
    </row>
    <row r="244" spans="6:11" ht="16.5" customHeight="1">
      <c r="F244" s="42"/>
      <c r="G244" s="42">
        <v>5326036</v>
      </c>
      <c r="H244" s="43" t="s">
        <v>216</v>
      </c>
      <c r="I244" s="43" t="s">
        <v>221</v>
      </c>
      <c r="J244" s="43" t="s">
        <v>224</v>
      </c>
      <c r="K244" s="43" t="s">
        <v>28</v>
      </c>
    </row>
    <row r="245" spans="6:11" ht="16.5" customHeight="1">
      <c r="F245" s="42"/>
      <c r="G245" s="42">
        <v>5326035</v>
      </c>
      <c r="H245" s="43" t="s">
        <v>216</v>
      </c>
      <c r="I245" s="43" t="s">
        <v>221</v>
      </c>
      <c r="J245" s="43" t="s">
        <v>224</v>
      </c>
      <c r="K245" s="43" t="s">
        <v>32</v>
      </c>
    </row>
    <row r="246" spans="6:11" ht="16.5" customHeight="1">
      <c r="F246" s="42"/>
      <c r="G246" s="42">
        <v>5326034</v>
      </c>
      <c r="H246" s="43" t="s">
        <v>216</v>
      </c>
      <c r="I246" s="43" t="s">
        <v>221</v>
      </c>
      <c r="J246" s="43" t="s">
        <v>224</v>
      </c>
      <c r="K246" s="43" t="s">
        <v>63</v>
      </c>
    </row>
    <row r="247" spans="6:11" ht="16.5" customHeight="1">
      <c r="F247" s="42">
        <v>381</v>
      </c>
      <c r="G247" s="42">
        <v>5366533</v>
      </c>
      <c r="H247" s="43" t="s">
        <v>216</v>
      </c>
      <c r="I247" s="43" t="s">
        <v>221</v>
      </c>
      <c r="J247" s="42" t="s">
        <v>218</v>
      </c>
      <c r="K247" s="43" t="s">
        <v>52</v>
      </c>
    </row>
    <row r="248" spans="6:11" ht="16.5" customHeight="1">
      <c r="F248" s="42"/>
      <c r="G248" s="42">
        <v>5366531</v>
      </c>
      <c r="H248" s="43" t="s">
        <v>216</v>
      </c>
      <c r="I248" s="43" t="s">
        <v>221</v>
      </c>
      <c r="J248" s="42" t="s">
        <v>218</v>
      </c>
      <c r="K248" s="43" t="s">
        <v>36</v>
      </c>
    </row>
    <row r="249" spans="6:11" ht="16.5" customHeight="1">
      <c r="F249" s="42"/>
      <c r="G249" s="42">
        <v>5366530</v>
      </c>
      <c r="H249" s="43" t="s">
        <v>216</v>
      </c>
      <c r="I249" s="43" t="s">
        <v>221</v>
      </c>
      <c r="J249" s="42" t="s">
        <v>218</v>
      </c>
      <c r="K249" s="43" t="s">
        <v>28</v>
      </c>
    </row>
    <row r="250" spans="6:11" ht="16.5" customHeight="1">
      <c r="F250" s="42"/>
      <c r="G250" s="42">
        <v>5366529</v>
      </c>
      <c r="H250" s="43" t="s">
        <v>216</v>
      </c>
      <c r="I250" s="43" t="s">
        <v>221</v>
      </c>
      <c r="J250" s="42" t="s">
        <v>218</v>
      </c>
      <c r="K250" s="43" t="s">
        <v>32</v>
      </c>
    </row>
    <row r="251" spans="6:11" ht="16.5" customHeight="1">
      <c r="F251" s="42"/>
      <c r="G251" s="42">
        <v>5366528</v>
      </c>
      <c r="H251" s="43" t="s">
        <v>216</v>
      </c>
      <c r="I251" s="43" t="s">
        <v>221</v>
      </c>
      <c r="J251" s="42" t="s">
        <v>218</v>
      </c>
      <c r="K251" s="43" t="s">
        <v>63</v>
      </c>
    </row>
    <row r="252" spans="6:11" ht="16.5" customHeight="1">
      <c r="F252" s="42">
        <v>382</v>
      </c>
      <c r="G252" s="42">
        <v>5506912</v>
      </c>
      <c r="H252" s="43" t="s">
        <v>136</v>
      </c>
      <c r="I252" s="43" t="s">
        <v>173</v>
      </c>
      <c r="J252" s="42" t="s">
        <v>219</v>
      </c>
      <c r="K252" s="43" t="s">
        <v>36</v>
      </c>
    </row>
    <row r="253" spans="6:11" ht="16.5" customHeight="1">
      <c r="F253" s="42"/>
      <c r="G253" s="42">
        <v>5506911</v>
      </c>
      <c r="H253" s="43" t="s">
        <v>136</v>
      </c>
      <c r="I253" s="43" t="s">
        <v>173</v>
      </c>
      <c r="J253" s="42" t="s">
        <v>219</v>
      </c>
      <c r="K253" s="43" t="s">
        <v>28</v>
      </c>
    </row>
    <row r="254" spans="6:11" ht="16.5" customHeight="1">
      <c r="F254" s="42"/>
      <c r="G254" s="42">
        <v>5506910</v>
      </c>
      <c r="H254" s="43" t="s">
        <v>136</v>
      </c>
      <c r="I254" s="43" t="s">
        <v>173</v>
      </c>
      <c r="J254" s="42" t="s">
        <v>219</v>
      </c>
      <c r="K254" s="43" t="s">
        <v>32</v>
      </c>
    </row>
    <row r="255" spans="6:11" ht="16.5" customHeight="1">
      <c r="F255" s="42"/>
      <c r="G255" s="42">
        <v>5506909</v>
      </c>
      <c r="H255" s="43" t="s">
        <v>136</v>
      </c>
      <c r="I255" s="43" t="s">
        <v>173</v>
      </c>
      <c r="J255" s="42" t="s">
        <v>219</v>
      </c>
      <c r="K255" s="43" t="s">
        <v>63</v>
      </c>
    </row>
    <row r="256" spans="6:11" ht="16.5" customHeight="1">
      <c r="F256" s="42">
        <v>383</v>
      </c>
      <c r="G256" s="42">
        <v>5320706</v>
      </c>
      <c r="H256" s="43" t="s">
        <v>136</v>
      </c>
      <c r="I256" s="43" t="s">
        <v>178</v>
      </c>
      <c r="J256" s="42" t="s">
        <v>229</v>
      </c>
      <c r="K256" s="43" t="s">
        <v>52</v>
      </c>
    </row>
    <row r="257" spans="6:11" ht="16.5" customHeight="1">
      <c r="F257" s="42"/>
      <c r="G257" s="42">
        <v>5320705</v>
      </c>
      <c r="H257" s="43" t="s">
        <v>136</v>
      </c>
      <c r="I257" s="43" t="s">
        <v>178</v>
      </c>
      <c r="J257" s="42" t="s">
        <v>229</v>
      </c>
      <c r="K257" s="43" t="s">
        <v>36</v>
      </c>
    </row>
    <row r="258" spans="6:11" ht="16.5" customHeight="1">
      <c r="F258" s="42"/>
      <c r="G258" s="42">
        <v>5320704</v>
      </c>
      <c r="H258" s="43" t="s">
        <v>136</v>
      </c>
      <c r="I258" s="43" t="s">
        <v>178</v>
      </c>
      <c r="J258" s="42" t="s">
        <v>229</v>
      </c>
      <c r="K258" s="43" t="s">
        <v>28</v>
      </c>
    </row>
    <row r="259" spans="6:11" ht="16.5" customHeight="1">
      <c r="F259" s="42"/>
      <c r="G259" s="42">
        <v>5629349</v>
      </c>
      <c r="H259" s="43" t="s">
        <v>136</v>
      </c>
      <c r="I259" s="43" t="s">
        <v>178</v>
      </c>
      <c r="J259" s="42" t="s">
        <v>229</v>
      </c>
      <c r="K259" s="43" t="s">
        <v>32</v>
      </c>
    </row>
    <row r="260" spans="6:11" ht="16.5" customHeight="1">
      <c r="F260" s="42"/>
      <c r="G260" s="42">
        <v>5320702</v>
      </c>
      <c r="H260" s="43" t="s">
        <v>136</v>
      </c>
      <c r="I260" s="43" t="s">
        <v>178</v>
      </c>
      <c r="J260" s="42" t="s">
        <v>229</v>
      </c>
      <c r="K260" s="43" t="s">
        <v>63</v>
      </c>
    </row>
    <row r="261" spans="6:11" ht="16.5" customHeight="1">
      <c r="F261" s="42">
        <v>384</v>
      </c>
      <c r="G261" s="42">
        <v>5326043</v>
      </c>
      <c r="H261" s="43" t="s">
        <v>216</v>
      </c>
      <c r="I261" s="43" t="s">
        <v>221</v>
      </c>
      <c r="J261" s="42" t="s">
        <v>220</v>
      </c>
      <c r="K261" s="43" t="s">
        <v>52</v>
      </c>
    </row>
    <row r="262" spans="6:11" ht="16.5" customHeight="1">
      <c r="F262" s="42"/>
      <c r="G262" s="42">
        <v>5326042</v>
      </c>
      <c r="H262" s="43" t="s">
        <v>216</v>
      </c>
      <c r="I262" s="43" t="s">
        <v>221</v>
      </c>
      <c r="J262" s="42" t="s">
        <v>220</v>
      </c>
      <c r="K262" s="43" t="s">
        <v>36</v>
      </c>
    </row>
    <row r="263" spans="6:11" ht="16.5" customHeight="1">
      <c r="F263" s="42"/>
      <c r="G263" s="42">
        <v>5326041</v>
      </c>
      <c r="H263" s="43" t="s">
        <v>216</v>
      </c>
      <c r="I263" s="43" t="s">
        <v>221</v>
      </c>
      <c r="J263" s="42" t="s">
        <v>220</v>
      </c>
      <c r="K263" s="43" t="s">
        <v>28</v>
      </c>
    </row>
    <row r="264" spans="6:11" ht="16.5" customHeight="1">
      <c r="F264" s="42"/>
      <c r="G264" s="42">
        <v>5326040</v>
      </c>
      <c r="H264" s="43" t="s">
        <v>216</v>
      </c>
      <c r="I264" s="43" t="s">
        <v>221</v>
      </c>
      <c r="J264" s="42" t="s">
        <v>220</v>
      </c>
      <c r="K264" s="43" t="s">
        <v>32</v>
      </c>
    </row>
    <row r="265" spans="6:11" ht="16.5" customHeight="1">
      <c r="F265" s="42"/>
      <c r="G265" s="42">
        <v>5326039</v>
      </c>
      <c r="H265" s="43" t="s">
        <v>216</v>
      </c>
      <c r="I265" s="43" t="s">
        <v>221</v>
      </c>
      <c r="J265" s="42" t="s">
        <v>220</v>
      </c>
      <c r="K265" s="43" t="s">
        <v>63</v>
      </c>
    </row>
    <row r="266" spans="6:11" ht="16.5" customHeight="1">
      <c r="F266" s="42">
        <v>385</v>
      </c>
      <c r="G266" s="42">
        <v>5366522</v>
      </c>
      <c r="H266" s="43" t="s">
        <v>216</v>
      </c>
      <c r="I266" s="43" t="s">
        <v>217</v>
      </c>
      <c r="J266" s="42" t="s">
        <v>222</v>
      </c>
      <c r="K266" s="43" t="s">
        <v>63</v>
      </c>
    </row>
    <row r="267" spans="6:11" ht="16.5" customHeight="1">
      <c r="F267" s="42"/>
      <c r="G267" s="42">
        <v>5366523</v>
      </c>
      <c r="H267" s="43" t="s">
        <v>216</v>
      </c>
      <c r="I267" s="43" t="s">
        <v>217</v>
      </c>
      <c r="J267" s="42" t="s">
        <v>222</v>
      </c>
      <c r="K267" s="43" t="s">
        <v>32</v>
      </c>
    </row>
    <row r="268" spans="6:11" ht="16.5" customHeight="1">
      <c r="F268" s="42"/>
      <c r="G268" s="42">
        <v>5366525</v>
      </c>
      <c r="H268" s="43" t="s">
        <v>216</v>
      </c>
      <c r="I268" s="43" t="s">
        <v>217</v>
      </c>
      <c r="J268" s="42" t="s">
        <v>222</v>
      </c>
      <c r="K268" s="43" t="s">
        <v>28</v>
      </c>
    </row>
    <row r="269" spans="6:11" ht="16.5" customHeight="1">
      <c r="F269" s="42"/>
      <c r="G269" s="42">
        <v>5366526</v>
      </c>
      <c r="H269" s="43" t="s">
        <v>216</v>
      </c>
      <c r="I269" s="43" t="s">
        <v>217</v>
      </c>
      <c r="J269" s="42" t="s">
        <v>222</v>
      </c>
      <c r="K269" s="43" t="s">
        <v>36</v>
      </c>
    </row>
    <row r="270" spans="6:11" ht="16.5" customHeight="1">
      <c r="F270" s="42"/>
      <c r="G270" s="42">
        <v>5366527</v>
      </c>
      <c r="H270" s="43" t="s">
        <v>216</v>
      </c>
      <c r="I270" s="43" t="s">
        <v>217</v>
      </c>
      <c r="J270" s="42" t="s">
        <v>222</v>
      </c>
      <c r="K270" s="43" t="s">
        <v>52</v>
      </c>
    </row>
    <row r="271" spans="6:11" ht="16.5" customHeight="1">
      <c r="F271" s="42">
        <v>386</v>
      </c>
      <c r="G271" s="42">
        <v>5366544</v>
      </c>
      <c r="H271" s="43" t="s">
        <v>216</v>
      </c>
      <c r="I271" s="43" t="s">
        <v>221</v>
      </c>
      <c r="J271" s="42" t="s">
        <v>223</v>
      </c>
      <c r="K271" s="43" t="s">
        <v>52</v>
      </c>
    </row>
    <row r="272" spans="6:11" ht="16.5" customHeight="1">
      <c r="F272" s="42"/>
      <c r="G272" s="42">
        <v>5366543</v>
      </c>
      <c r="H272" s="43" t="s">
        <v>216</v>
      </c>
      <c r="I272" s="43" t="s">
        <v>221</v>
      </c>
      <c r="J272" s="42" t="s">
        <v>223</v>
      </c>
      <c r="K272" s="43" t="s">
        <v>36</v>
      </c>
    </row>
    <row r="273" spans="6:11" ht="16.5" customHeight="1">
      <c r="F273" s="42"/>
      <c r="G273" s="42">
        <v>5366542</v>
      </c>
      <c r="H273" s="43" t="s">
        <v>216</v>
      </c>
      <c r="I273" s="43" t="s">
        <v>221</v>
      </c>
      <c r="J273" s="42" t="s">
        <v>223</v>
      </c>
      <c r="K273" s="43" t="s">
        <v>28</v>
      </c>
    </row>
    <row r="274" spans="6:11" ht="16.5" customHeight="1">
      <c r="F274" s="42"/>
      <c r="G274" s="42">
        <v>5366541</v>
      </c>
      <c r="H274" s="43" t="s">
        <v>216</v>
      </c>
      <c r="I274" s="43" t="s">
        <v>221</v>
      </c>
      <c r="J274" s="42" t="s">
        <v>223</v>
      </c>
      <c r="K274" s="43" t="s">
        <v>32</v>
      </c>
    </row>
    <row r="275" spans="6:11" ht="16.5" customHeight="1">
      <c r="F275" s="42"/>
      <c r="G275" s="42">
        <v>5366539</v>
      </c>
      <c r="H275" s="43" t="s">
        <v>216</v>
      </c>
      <c r="I275" s="43" t="s">
        <v>221</v>
      </c>
      <c r="J275" s="42" t="s">
        <v>223</v>
      </c>
      <c r="K275" s="43" t="s">
        <v>63</v>
      </c>
    </row>
    <row r="276" spans="6:11" ht="16.5" customHeight="1">
      <c r="F276" s="42">
        <v>387</v>
      </c>
      <c r="G276" s="42">
        <v>5285942</v>
      </c>
      <c r="H276" s="43" t="s">
        <v>136</v>
      </c>
      <c r="I276" s="43" t="s">
        <v>173</v>
      </c>
      <c r="J276" s="42" t="s">
        <v>225</v>
      </c>
      <c r="K276" s="43" t="s">
        <v>63</v>
      </c>
    </row>
    <row r="277" spans="6:11" ht="16.5" customHeight="1">
      <c r="F277" s="42"/>
      <c r="G277" s="42">
        <v>5285943</v>
      </c>
      <c r="H277" s="43" t="s">
        <v>136</v>
      </c>
      <c r="I277" s="43" t="s">
        <v>173</v>
      </c>
      <c r="J277" s="42" t="s">
        <v>225</v>
      </c>
      <c r="K277" s="43" t="s">
        <v>32</v>
      </c>
    </row>
    <row r="278" spans="6:11" ht="16.5" customHeight="1">
      <c r="F278" s="42"/>
      <c r="G278" s="42">
        <v>5285944</v>
      </c>
      <c r="H278" s="43" t="s">
        <v>136</v>
      </c>
      <c r="I278" s="43" t="s">
        <v>173</v>
      </c>
      <c r="J278" s="42" t="s">
        <v>225</v>
      </c>
      <c r="K278" s="43" t="s">
        <v>28</v>
      </c>
    </row>
    <row r="279" spans="6:11" ht="16.5" customHeight="1">
      <c r="F279" s="42"/>
      <c r="G279" s="42">
        <v>5285945</v>
      </c>
      <c r="H279" s="43" t="s">
        <v>136</v>
      </c>
      <c r="I279" s="43" t="s">
        <v>173</v>
      </c>
      <c r="J279" s="42" t="s">
        <v>225</v>
      </c>
      <c r="K279" s="43" t="s">
        <v>36</v>
      </c>
    </row>
    <row r="280" spans="6:11" ht="16.5" customHeight="1">
      <c r="F280" s="42"/>
      <c r="G280" s="42">
        <v>5285946</v>
      </c>
      <c r="H280" s="43" t="s">
        <v>136</v>
      </c>
      <c r="I280" s="43" t="s">
        <v>173</v>
      </c>
      <c r="J280" s="42" t="s">
        <v>225</v>
      </c>
      <c r="K280" s="43" t="s">
        <v>52</v>
      </c>
    </row>
    <row r="281" spans="6:11" ht="16.5" customHeight="1">
      <c r="F281" s="42">
        <v>388</v>
      </c>
      <c r="G281" s="42">
        <v>5448977</v>
      </c>
      <c r="H281" s="43" t="s">
        <v>136</v>
      </c>
      <c r="I281" s="43" t="s">
        <v>173</v>
      </c>
      <c r="J281" s="42" t="s">
        <v>226</v>
      </c>
      <c r="K281" s="43" t="s">
        <v>52</v>
      </c>
    </row>
    <row r="282" spans="6:11" ht="16.5" customHeight="1">
      <c r="F282" s="42">
        <v>389</v>
      </c>
      <c r="G282" s="42">
        <v>5448976</v>
      </c>
      <c r="H282" s="43" t="s">
        <v>136</v>
      </c>
      <c r="I282" s="43" t="s">
        <v>173</v>
      </c>
      <c r="J282" s="42" t="s">
        <v>226</v>
      </c>
      <c r="K282" s="43" t="s">
        <v>36</v>
      </c>
    </row>
    <row r="283" spans="6:11" ht="16.5" customHeight="1">
      <c r="F283" s="42"/>
      <c r="G283" s="42">
        <v>5448975</v>
      </c>
      <c r="H283" s="43" t="s">
        <v>136</v>
      </c>
      <c r="I283" s="43" t="s">
        <v>173</v>
      </c>
      <c r="J283" s="42" t="s">
        <v>226</v>
      </c>
      <c r="K283" s="43" t="s">
        <v>28</v>
      </c>
    </row>
    <row r="284" spans="6:11" ht="16.5" customHeight="1">
      <c r="F284" s="42"/>
      <c r="G284" s="42">
        <v>5448974</v>
      </c>
      <c r="H284" s="43" t="s">
        <v>136</v>
      </c>
      <c r="I284" s="43" t="s">
        <v>173</v>
      </c>
      <c r="J284" s="42" t="s">
        <v>226</v>
      </c>
      <c r="K284" s="43" t="s">
        <v>32</v>
      </c>
    </row>
    <row r="285" spans="6:11" ht="16.5" customHeight="1">
      <c r="F285" s="42"/>
      <c r="G285" s="42">
        <v>5448973</v>
      </c>
      <c r="H285" s="43" t="s">
        <v>136</v>
      </c>
      <c r="I285" s="43" t="s">
        <v>173</v>
      </c>
      <c r="J285" s="42" t="s">
        <v>226</v>
      </c>
      <c r="K285" s="43" t="s">
        <v>63</v>
      </c>
    </row>
    <row r="286" spans="6:11" ht="16.5" customHeight="1">
      <c r="F286" s="42">
        <v>390</v>
      </c>
      <c r="G286" s="42">
        <v>2743990</v>
      </c>
      <c r="H286" s="43" t="s">
        <v>142</v>
      </c>
      <c r="I286" s="43" t="s">
        <v>26</v>
      </c>
      <c r="J286" s="42" t="s">
        <v>227</v>
      </c>
      <c r="K286" s="43" t="s">
        <v>52</v>
      </c>
    </row>
    <row r="287" spans="6:11" ht="16.5" customHeight="1">
      <c r="F287" s="42"/>
      <c r="G287" s="42">
        <v>2743986</v>
      </c>
      <c r="H287" s="43" t="s">
        <v>142</v>
      </c>
      <c r="I287" s="43" t="s">
        <v>26</v>
      </c>
      <c r="J287" s="42" t="s">
        <v>227</v>
      </c>
      <c r="K287" s="43" t="s">
        <v>36</v>
      </c>
    </row>
    <row r="288" spans="6:11" ht="16.5" customHeight="1">
      <c r="F288" s="42"/>
      <c r="G288" s="42">
        <v>2743987</v>
      </c>
      <c r="H288" s="43" t="s">
        <v>142</v>
      </c>
      <c r="I288" s="43" t="s">
        <v>26</v>
      </c>
      <c r="J288" s="42" t="s">
        <v>227</v>
      </c>
      <c r="K288" s="43" t="s">
        <v>28</v>
      </c>
    </row>
    <row r="289" spans="6:11" ht="16.5" customHeight="1">
      <c r="F289" s="42"/>
      <c r="G289" s="42">
        <v>2743989</v>
      </c>
      <c r="H289" s="43" t="s">
        <v>142</v>
      </c>
      <c r="I289" s="43" t="s">
        <v>26</v>
      </c>
      <c r="J289" s="42" t="s">
        <v>227</v>
      </c>
      <c r="K289" s="43" t="s">
        <v>32</v>
      </c>
    </row>
    <row r="290" spans="6:11" ht="16.5" customHeight="1">
      <c r="F290" s="42">
        <v>391</v>
      </c>
      <c r="G290" s="42">
        <v>5366932</v>
      </c>
      <c r="H290" s="43" t="s">
        <v>136</v>
      </c>
      <c r="I290" s="43" t="s">
        <v>173</v>
      </c>
      <c r="J290" s="42" t="s">
        <v>228</v>
      </c>
      <c r="K290" s="43" t="s">
        <v>63</v>
      </c>
    </row>
    <row r="291" spans="6:11" ht="16.5" customHeight="1">
      <c r="F291" s="42"/>
      <c r="G291" s="42">
        <v>5366933</v>
      </c>
      <c r="H291" s="43" t="s">
        <v>136</v>
      </c>
      <c r="I291" s="43" t="s">
        <v>173</v>
      </c>
      <c r="J291" s="42" t="s">
        <v>228</v>
      </c>
      <c r="K291" s="43" t="s">
        <v>32</v>
      </c>
    </row>
    <row r="292" spans="6:11" ht="16.5" customHeight="1">
      <c r="F292" s="42"/>
      <c r="G292" s="42">
        <v>5366934</v>
      </c>
      <c r="H292" s="43" t="s">
        <v>136</v>
      </c>
      <c r="I292" s="43" t="s">
        <v>173</v>
      </c>
      <c r="J292" s="42" t="s">
        <v>228</v>
      </c>
      <c r="K292" s="43" t="s">
        <v>28</v>
      </c>
    </row>
    <row r="293" spans="6:11" ht="16.5" customHeight="1">
      <c r="F293" s="42"/>
      <c r="G293" s="42">
        <v>5366935</v>
      </c>
      <c r="H293" s="43" t="s">
        <v>136</v>
      </c>
      <c r="I293" s="43" t="s">
        <v>173</v>
      </c>
      <c r="J293" s="42" t="s">
        <v>228</v>
      </c>
      <c r="K293" s="43" t="s">
        <v>36</v>
      </c>
    </row>
    <row r="294" spans="6:11" ht="16.5" customHeight="1">
      <c r="F294" s="42"/>
      <c r="G294" s="42">
        <v>5366936</v>
      </c>
      <c r="H294" s="43" t="s">
        <v>136</v>
      </c>
      <c r="I294" s="43" t="s">
        <v>173</v>
      </c>
      <c r="J294" s="42" t="s">
        <v>228</v>
      </c>
      <c r="K294" s="43" t="s">
        <v>52</v>
      </c>
    </row>
    <row r="295" spans="6:11" ht="16.5" customHeight="1">
      <c r="F295" s="42">
        <v>392</v>
      </c>
      <c r="G295" s="42">
        <v>4821348</v>
      </c>
      <c r="H295" s="43" t="s">
        <v>142</v>
      </c>
      <c r="I295" s="43" t="s">
        <v>232</v>
      </c>
      <c r="J295" s="42" t="s">
        <v>230</v>
      </c>
      <c r="K295" s="43" t="s">
        <v>37</v>
      </c>
    </row>
    <row r="296" spans="6:11" ht="16.5" customHeight="1">
      <c r="F296" s="42">
        <v>393</v>
      </c>
      <c r="G296" s="42">
        <v>5133630</v>
      </c>
      <c r="H296" s="43" t="s">
        <v>142</v>
      </c>
      <c r="I296" s="43" t="s">
        <v>232</v>
      </c>
      <c r="J296" s="42" t="s">
        <v>231</v>
      </c>
      <c r="K296" s="43" t="s">
        <v>37</v>
      </c>
    </row>
    <row r="297" spans="6:11" ht="16.5" customHeight="1">
      <c r="F297" s="42">
        <v>394</v>
      </c>
      <c r="G297" s="42">
        <v>5463836</v>
      </c>
      <c r="H297" s="43" t="s">
        <v>145</v>
      </c>
      <c r="I297" s="43" t="s">
        <v>50</v>
      </c>
      <c r="J297" s="42" t="s">
        <v>233</v>
      </c>
      <c r="K297" s="43" t="s">
        <v>52</v>
      </c>
    </row>
    <row r="298" spans="6:11" ht="16.5" customHeight="1">
      <c r="F298" s="42"/>
      <c r="G298" s="42">
        <v>5463835</v>
      </c>
      <c r="H298" s="43" t="s">
        <v>145</v>
      </c>
      <c r="I298" s="43" t="s">
        <v>50</v>
      </c>
      <c r="J298" s="42" t="s">
        <v>233</v>
      </c>
      <c r="K298" s="43" t="s">
        <v>36</v>
      </c>
    </row>
    <row r="299" spans="6:11" ht="16.5" customHeight="1">
      <c r="F299" s="42"/>
      <c r="G299" s="42">
        <v>5463834</v>
      </c>
      <c r="H299" s="43" t="s">
        <v>145</v>
      </c>
      <c r="I299" s="43" t="s">
        <v>50</v>
      </c>
      <c r="J299" s="42" t="s">
        <v>233</v>
      </c>
      <c r="K299" s="43" t="s">
        <v>28</v>
      </c>
    </row>
    <row r="300" spans="6:11" ht="16.5" customHeight="1">
      <c r="F300" s="42"/>
      <c r="G300" s="42">
        <v>5463833</v>
      </c>
      <c r="H300" s="43" t="s">
        <v>145</v>
      </c>
      <c r="I300" s="43" t="s">
        <v>50</v>
      </c>
      <c r="J300" s="42" t="s">
        <v>233</v>
      </c>
      <c r="K300" s="43" t="s">
        <v>32</v>
      </c>
    </row>
    <row r="301" spans="6:11" ht="16.5" customHeight="1">
      <c r="F301" s="42"/>
      <c r="G301" s="42">
        <v>5463832</v>
      </c>
      <c r="H301" s="43" t="s">
        <v>145</v>
      </c>
      <c r="I301" s="43" t="s">
        <v>50</v>
      </c>
      <c r="J301" s="42" t="s">
        <v>233</v>
      </c>
      <c r="K301" s="43" t="s">
        <v>63</v>
      </c>
    </row>
    <row r="302" spans="6:11" ht="16.5" customHeight="1">
      <c r="F302" s="42">
        <v>395</v>
      </c>
      <c r="G302" s="42">
        <v>5463841</v>
      </c>
      <c r="H302" s="43" t="s">
        <v>145</v>
      </c>
      <c r="I302" s="43" t="s">
        <v>50</v>
      </c>
      <c r="J302" s="42" t="s">
        <v>234</v>
      </c>
      <c r="K302" s="43" t="s">
        <v>52</v>
      </c>
    </row>
    <row r="303" spans="6:11" ht="16.5" customHeight="1">
      <c r="F303" s="42"/>
      <c r="G303" s="42">
        <v>5463840</v>
      </c>
      <c r="H303" s="43" t="s">
        <v>145</v>
      </c>
      <c r="I303" s="43" t="s">
        <v>50</v>
      </c>
      <c r="J303" s="42" t="s">
        <v>234</v>
      </c>
      <c r="K303" s="43" t="s">
        <v>36</v>
      </c>
    </row>
    <row r="304" spans="6:11" ht="16.5" customHeight="1">
      <c r="F304" s="42"/>
      <c r="G304" s="42">
        <v>5463839</v>
      </c>
      <c r="H304" s="43" t="s">
        <v>145</v>
      </c>
      <c r="I304" s="43" t="s">
        <v>50</v>
      </c>
      <c r="J304" s="42" t="s">
        <v>234</v>
      </c>
      <c r="K304" s="43" t="s">
        <v>28</v>
      </c>
    </row>
    <row r="305" spans="6:11" ht="16.5" customHeight="1">
      <c r="F305" s="42"/>
      <c r="G305" s="42">
        <v>5463838</v>
      </c>
      <c r="H305" s="43" t="s">
        <v>145</v>
      </c>
      <c r="I305" s="43" t="s">
        <v>50</v>
      </c>
      <c r="J305" s="42" t="s">
        <v>234</v>
      </c>
      <c r="K305" s="43" t="s">
        <v>32</v>
      </c>
    </row>
    <row r="306" spans="6:11" ht="16.5" customHeight="1">
      <c r="F306" s="42"/>
      <c r="G306" s="42">
        <v>5463837</v>
      </c>
      <c r="H306" s="43" t="s">
        <v>145</v>
      </c>
      <c r="I306" s="43" t="s">
        <v>50</v>
      </c>
      <c r="J306" s="42" t="s">
        <v>234</v>
      </c>
      <c r="K306" s="43" t="s">
        <v>63</v>
      </c>
    </row>
    <row r="307" spans="6:11" ht="16.5" customHeight="1">
      <c r="F307" s="42">
        <v>396</v>
      </c>
      <c r="G307" s="42">
        <v>4728266</v>
      </c>
      <c r="H307" s="43" t="s">
        <v>142</v>
      </c>
      <c r="I307" s="43" t="s">
        <v>26</v>
      </c>
      <c r="J307" s="42" t="s">
        <v>236</v>
      </c>
      <c r="K307" s="43" t="s">
        <v>28</v>
      </c>
    </row>
    <row r="308" spans="6:11" ht="16.5" customHeight="1">
      <c r="F308" s="42"/>
      <c r="G308" s="42">
        <v>4728265</v>
      </c>
      <c r="H308" s="43" t="s">
        <v>142</v>
      </c>
      <c r="I308" s="43" t="s">
        <v>26</v>
      </c>
      <c r="J308" s="42" t="s">
        <v>236</v>
      </c>
      <c r="K308" s="43" t="s">
        <v>32</v>
      </c>
    </row>
    <row r="309" spans="6:11" ht="16.5" customHeight="1">
      <c r="F309" s="42">
        <v>397</v>
      </c>
      <c r="G309" s="42">
        <v>5433895</v>
      </c>
      <c r="H309" s="43" t="s">
        <v>136</v>
      </c>
      <c r="I309" s="43" t="s">
        <v>178</v>
      </c>
      <c r="J309" s="42" t="s">
        <v>237</v>
      </c>
      <c r="K309" s="43" t="s">
        <v>63</v>
      </c>
    </row>
    <row r="310" spans="6:11" ht="16.5" customHeight="1">
      <c r="F310" s="42"/>
      <c r="G310" s="42">
        <v>5433896</v>
      </c>
      <c r="H310" s="43" t="s">
        <v>136</v>
      </c>
      <c r="I310" s="43" t="s">
        <v>178</v>
      </c>
      <c r="J310" s="42" t="s">
        <v>237</v>
      </c>
      <c r="K310" s="43" t="s">
        <v>32</v>
      </c>
    </row>
    <row r="311" spans="6:11" ht="16.5" customHeight="1">
      <c r="F311" s="42"/>
      <c r="G311" s="42">
        <v>5433897</v>
      </c>
      <c r="H311" s="43" t="s">
        <v>136</v>
      </c>
      <c r="I311" s="43" t="s">
        <v>178</v>
      </c>
      <c r="J311" s="42" t="s">
        <v>237</v>
      </c>
      <c r="K311" s="43" t="s">
        <v>28</v>
      </c>
    </row>
    <row r="312" spans="6:11" ht="16.5" customHeight="1">
      <c r="F312" s="42"/>
      <c r="G312" s="42">
        <v>5433898</v>
      </c>
      <c r="H312" s="43" t="s">
        <v>136</v>
      </c>
      <c r="I312" s="43" t="s">
        <v>178</v>
      </c>
      <c r="J312" s="42" t="s">
        <v>237</v>
      </c>
      <c r="K312" s="43" t="s">
        <v>36</v>
      </c>
    </row>
    <row r="313" spans="6:11" ht="16.5" customHeight="1">
      <c r="F313" s="42"/>
      <c r="G313" s="42">
        <v>5433899</v>
      </c>
      <c r="H313" s="43" t="s">
        <v>136</v>
      </c>
      <c r="I313" s="43" t="s">
        <v>178</v>
      </c>
      <c r="J313" s="42" t="s">
        <v>237</v>
      </c>
      <c r="K313" s="43" t="s">
        <v>52</v>
      </c>
    </row>
    <row r="314" spans="6:11" ht="16.5" customHeight="1">
      <c r="F314" s="42">
        <v>398</v>
      </c>
      <c r="G314" s="42">
        <v>5285952</v>
      </c>
      <c r="H314" s="43" t="s">
        <v>136</v>
      </c>
      <c r="I314" s="43" t="s">
        <v>173</v>
      </c>
      <c r="J314" s="42" t="s">
        <v>238</v>
      </c>
      <c r="K314" s="43" t="s">
        <v>63</v>
      </c>
    </row>
    <row r="315" spans="6:11" ht="16.5" customHeight="1">
      <c r="F315" s="42"/>
      <c r="G315" s="42">
        <v>5285953</v>
      </c>
      <c r="H315" s="43" t="s">
        <v>136</v>
      </c>
      <c r="I315" s="43" t="s">
        <v>173</v>
      </c>
      <c r="J315" s="42" t="s">
        <v>238</v>
      </c>
      <c r="K315" s="43" t="s">
        <v>32</v>
      </c>
    </row>
    <row r="316" spans="6:11" ht="16.5" customHeight="1">
      <c r="F316" s="42"/>
      <c r="G316" s="42">
        <v>5285954</v>
      </c>
      <c r="H316" s="43" t="s">
        <v>136</v>
      </c>
      <c r="I316" s="43" t="s">
        <v>173</v>
      </c>
      <c r="J316" s="42" t="s">
        <v>238</v>
      </c>
      <c r="K316" s="43" t="s">
        <v>28</v>
      </c>
    </row>
    <row r="317" spans="6:11" ht="16.5" customHeight="1">
      <c r="F317" s="42"/>
      <c r="G317" s="42">
        <v>5285955</v>
      </c>
      <c r="H317" s="43" t="s">
        <v>136</v>
      </c>
      <c r="I317" s="43" t="s">
        <v>173</v>
      </c>
      <c r="J317" s="42" t="s">
        <v>238</v>
      </c>
      <c r="K317" s="43" t="s">
        <v>36</v>
      </c>
    </row>
    <row r="318" spans="6:11" ht="16.5" customHeight="1">
      <c r="F318" s="42"/>
      <c r="G318" s="42">
        <v>5285957</v>
      </c>
      <c r="H318" s="43" t="s">
        <v>136</v>
      </c>
      <c r="I318" s="43" t="s">
        <v>173</v>
      </c>
      <c r="J318" s="42" t="s">
        <v>238</v>
      </c>
      <c r="K318" s="43" t="s">
        <v>52</v>
      </c>
    </row>
    <row r="319" spans="6:11" ht="16.5" customHeight="1">
      <c r="F319" s="42">
        <v>399</v>
      </c>
      <c r="G319" s="42">
        <v>5448965</v>
      </c>
      <c r="H319" s="43" t="s">
        <v>136</v>
      </c>
      <c r="I319" s="43" t="s">
        <v>173</v>
      </c>
      <c r="J319" s="42" t="s">
        <v>239</v>
      </c>
      <c r="K319" s="43" t="s">
        <v>63</v>
      </c>
    </row>
    <row r="320" spans="6:11" ht="16.5" customHeight="1">
      <c r="F320" s="42"/>
      <c r="G320" s="42">
        <v>5448966</v>
      </c>
      <c r="H320" s="43" t="s">
        <v>136</v>
      </c>
      <c r="I320" s="43" t="s">
        <v>173</v>
      </c>
      <c r="J320" s="42" t="s">
        <v>239</v>
      </c>
      <c r="K320" s="43" t="s">
        <v>32</v>
      </c>
    </row>
    <row r="321" spans="6:11" ht="16.5" customHeight="1">
      <c r="F321" s="42"/>
      <c r="G321" s="42">
        <v>5448967</v>
      </c>
      <c r="H321" s="43" t="s">
        <v>136</v>
      </c>
      <c r="I321" s="43" t="s">
        <v>173</v>
      </c>
      <c r="J321" s="42" t="s">
        <v>239</v>
      </c>
      <c r="K321" s="43" t="s">
        <v>28</v>
      </c>
    </row>
    <row r="322" spans="6:11" ht="16.5" customHeight="1">
      <c r="F322" s="42"/>
      <c r="G322" s="42">
        <v>5448968</v>
      </c>
      <c r="H322" s="43" t="s">
        <v>136</v>
      </c>
      <c r="I322" s="43" t="s">
        <v>173</v>
      </c>
      <c r="J322" s="42" t="s">
        <v>239</v>
      </c>
      <c r="K322" s="43" t="s">
        <v>36</v>
      </c>
    </row>
    <row r="323" spans="6:11" ht="16.5" customHeight="1">
      <c r="F323" s="42"/>
      <c r="G323" s="42">
        <v>5448969</v>
      </c>
      <c r="H323" s="43" t="s">
        <v>136</v>
      </c>
      <c r="I323" s="43" t="s">
        <v>173</v>
      </c>
      <c r="J323" s="42" t="s">
        <v>239</v>
      </c>
      <c r="K323" s="43" t="s">
        <v>52</v>
      </c>
    </row>
    <row r="324" spans="6:11" ht="16.5" customHeight="1">
      <c r="F324" s="42">
        <v>400</v>
      </c>
      <c r="G324" s="42">
        <v>5366925</v>
      </c>
      <c r="H324" s="43" t="s">
        <v>136</v>
      </c>
      <c r="I324" s="43" t="s">
        <v>242</v>
      </c>
      <c r="J324" s="42" t="s">
        <v>240</v>
      </c>
      <c r="K324" s="43" t="s">
        <v>241</v>
      </c>
    </row>
    <row r="325" spans="6:11" ht="16.5" customHeight="1">
      <c r="F325" s="42"/>
      <c r="G325" s="42">
        <v>5366926</v>
      </c>
      <c r="H325" s="43" t="s">
        <v>136</v>
      </c>
      <c r="I325" s="43" t="s">
        <v>242</v>
      </c>
      <c r="J325" s="42" t="s">
        <v>240</v>
      </c>
      <c r="K325" s="43" t="s">
        <v>63</v>
      </c>
    </row>
    <row r="326" spans="6:11" ht="16.5" customHeight="1">
      <c r="F326" s="42"/>
      <c r="G326" s="42">
        <v>5366927</v>
      </c>
      <c r="H326" s="43" t="s">
        <v>136</v>
      </c>
      <c r="I326" s="43" t="s">
        <v>242</v>
      </c>
      <c r="J326" s="42" t="s">
        <v>240</v>
      </c>
      <c r="K326" s="43" t="s">
        <v>32</v>
      </c>
    </row>
    <row r="327" spans="6:11" ht="16.5" customHeight="1">
      <c r="F327" s="42"/>
      <c r="G327" s="42">
        <v>5366928</v>
      </c>
      <c r="H327" s="43" t="s">
        <v>136</v>
      </c>
      <c r="I327" s="43" t="s">
        <v>242</v>
      </c>
      <c r="J327" s="42" t="s">
        <v>240</v>
      </c>
      <c r="K327" s="43" t="s">
        <v>28</v>
      </c>
    </row>
    <row r="328" spans="6:11" ht="16.5" customHeight="1">
      <c r="F328" s="42"/>
      <c r="G328" s="42">
        <v>5366929</v>
      </c>
      <c r="H328" s="43" t="s">
        <v>136</v>
      </c>
      <c r="I328" s="43" t="s">
        <v>242</v>
      </c>
      <c r="J328" s="42" t="s">
        <v>240</v>
      </c>
      <c r="K328" s="43" t="s">
        <v>36</v>
      </c>
    </row>
    <row r="329" spans="6:11" ht="16.5" customHeight="1">
      <c r="F329" s="42"/>
      <c r="G329" s="42">
        <v>5366930</v>
      </c>
      <c r="H329" s="43" t="s">
        <v>136</v>
      </c>
      <c r="I329" s="43" t="s">
        <v>242</v>
      </c>
      <c r="J329" s="42" t="s">
        <v>240</v>
      </c>
      <c r="K329" s="43" t="s">
        <v>52</v>
      </c>
    </row>
    <row r="330" spans="6:11" ht="16.5" customHeight="1">
      <c r="F330" s="42">
        <v>401</v>
      </c>
      <c r="G330" s="42">
        <v>5498246</v>
      </c>
      <c r="H330" s="43" t="s">
        <v>136</v>
      </c>
      <c r="I330" s="43" t="s">
        <v>242</v>
      </c>
      <c r="J330" s="42" t="s">
        <v>249</v>
      </c>
      <c r="K330" s="43" t="s">
        <v>52</v>
      </c>
    </row>
    <row r="331" spans="6:11" ht="16.5" customHeight="1">
      <c r="F331" s="42"/>
      <c r="G331" s="42">
        <v>5491596</v>
      </c>
      <c r="H331" s="43" t="s">
        <v>136</v>
      </c>
      <c r="I331" s="43" t="s">
        <v>242</v>
      </c>
      <c r="J331" s="42" t="s">
        <v>249</v>
      </c>
      <c r="K331" s="43" t="s">
        <v>36</v>
      </c>
    </row>
    <row r="332" spans="6:11" ht="16.5" customHeight="1">
      <c r="F332" s="42"/>
      <c r="G332" s="42">
        <v>5502851</v>
      </c>
      <c r="H332" s="43" t="s">
        <v>136</v>
      </c>
      <c r="I332" s="43" t="s">
        <v>242</v>
      </c>
      <c r="J332" s="42" t="s">
        <v>249</v>
      </c>
      <c r="K332" s="43" t="s">
        <v>28</v>
      </c>
    </row>
    <row r="333" spans="6:11" ht="16.5" customHeight="1">
      <c r="F333" s="42"/>
      <c r="G333" s="42">
        <v>5491595</v>
      </c>
      <c r="H333" s="43" t="s">
        <v>136</v>
      </c>
      <c r="I333" s="43" t="s">
        <v>242</v>
      </c>
      <c r="J333" s="42" t="s">
        <v>249</v>
      </c>
      <c r="K333" s="43" t="s">
        <v>32</v>
      </c>
    </row>
    <row r="334" spans="6:11" ht="16.5" customHeight="1">
      <c r="F334" s="42"/>
      <c r="G334" s="42">
        <v>5491594</v>
      </c>
      <c r="H334" s="43" t="s">
        <v>136</v>
      </c>
      <c r="I334" s="43" t="s">
        <v>242</v>
      </c>
      <c r="J334" s="42" t="s">
        <v>249</v>
      </c>
      <c r="K334" s="43" t="s">
        <v>63</v>
      </c>
    </row>
    <row r="335" spans="6:11" ht="16.5" customHeight="1">
      <c r="F335" s="42">
        <v>402</v>
      </c>
      <c r="G335" s="42">
        <v>5491593</v>
      </c>
      <c r="H335" s="43" t="s">
        <v>136</v>
      </c>
      <c r="I335" s="43" t="s">
        <v>173</v>
      </c>
      <c r="J335" s="42" t="s">
        <v>243</v>
      </c>
      <c r="K335" s="43" t="s">
        <v>52</v>
      </c>
    </row>
    <row r="336" spans="6:11" ht="16.5" customHeight="1">
      <c r="F336" s="42"/>
      <c r="G336" s="42">
        <v>5491592</v>
      </c>
      <c r="H336" s="43" t="s">
        <v>136</v>
      </c>
      <c r="I336" s="43" t="s">
        <v>173</v>
      </c>
      <c r="J336" s="42" t="s">
        <v>243</v>
      </c>
      <c r="K336" s="43" t="s">
        <v>36</v>
      </c>
    </row>
    <row r="337" spans="6:11" ht="16.5" customHeight="1">
      <c r="F337" s="42"/>
      <c r="G337" s="42">
        <v>5503502</v>
      </c>
      <c r="H337" s="43" t="s">
        <v>136</v>
      </c>
      <c r="I337" s="43" t="s">
        <v>173</v>
      </c>
      <c r="J337" s="42" t="s">
        <v>243</v>
      </c>
      <c r="K337" s="43" t="s">
        <v>28</v>
      </c>
    </row>
    <row r="338" spans="6:11" ht="16.5" customHeight="1">
      <c r="F338" s="42"/>
      <c r="G338" s="42">
        <v>5501881</v>
      </c>
      <c r="H338" s="43" t="s">
        <v>136</v>
      </c>
      <c r="I338" s="43" t="s">
        <v>173</v>
      </c>
      <c r="J338" s="42" t="s">
        <v>243</v>
      </c>
      <c r="K338" s="43" t="s">
        <v>32</v>
      </c>
    </row>
    <row r="339" spans="6:11" ht="16.5" customHeight="1">
      <c r="F339" s="42"/>
      <c r="G339" s="42">
        <v>5491591</v>
      </c>
      <c r="H339" s="43" t="s">
        <v>136</v>
      </c>
      <c r="I339" s="43" t="s">
        <v>173</v>
      </c>
      <c r="J339" s="42" t="s">
        <v>243</v>
      </c>
      <c r="K339" s="43" t="s">
        <v>63</v>
      </c>
    </row>
    <row r="340" spans="6:11" ht="16.5" customHeight="1">
      <c r="F340" s="42">
        <v>403</v>
      </c>
      <c r="G340" s="42">
        <v>5683222</v>
      </c>
      <c r="H340" s="43" t="s">
        <v>244</v>
      </c>
      <c r="I340" s="43" t="s">
        <v>245</v>
      </c>
      <c r="J340" s="42" t="s">
        <v>246</v>
      </c>
      <c r="K340" s="43" t="s">
        <v>63</v>
      </c>
    </row>
    <row r="341" spans="6:11" ht="16.5" customHeight="1">
      <c r="F341" s="42"/>
      <c r="G341" s="42">
        <v>4879035</v>
      </c>
      <c r="H341" s="43" t="s">
        <v>244</v>
      </c>
      <c r="I341" s="43" t="s">
        <v>245</v>
      </c>
      <c r="J341" s="42" t="s">
        <v>246</v>
      </c>
      <c r="K341" s="43" t="s">
        <v>32</v>
      </c>
    </row>
    <row r="342" spans="6:11" ht="16.5" customHeight="1">
      <c r="F342" s="42"/>
      <c r="G342" s="42">
        <v>4879036</v>
      </c>
      <c r="H342" s="43" t="s">
        <v>244</v>
      </c>
      <c r="I342" s="43" t="s">
        <v>245</v>
      </c>
      <c r="J342" s="42" t="s">
        <v>246</v>
      </c>
      <c r="K342" s="43" t="s">
        <v>28</v>
      </c>
    </row>
    <row r="343" spans="6:11" ht="16.5" customHeight="1">
      <c r="F343" s="42"/>
      <c r="G343" s="42">
        <v>4879037</v>
      </c>
      <c r="H343" s="43" t="s">
        <v>244</v>
      </c>
      <c r="I343" s="43" t="s">
        <v>245</v>
      </c>
      <c r="J343" s="42" t="s">
        <v>246</v>
      </c>
      <c r="K343" s="43" t="s">
        <v>36</v>
      </c>
    </row>
    <row r="344" spans="6:11" ht="16.5" customHeight="1">
      <c r="F344" s="42"/>
      <c r="G344" s="42">
        <v>5683221</v>
      </c>
      <c r="H344" s="43" t="s">
        <v>244</v>
      </c>
      <c r="I344" s="43" t="s">
        <v>245</v>
      </c>
      <c r="J344" s="42" t="s">
        <v>246</v>
      </c>
      <c r="K344" s="43" t="s">
        <v>52</v>
      </c>
    </row>
    <row r="345" spans="6:11" ht="16.5" customHeight="1">
      <c r="F345" s="42">
        <v>404</v>
      </c>
      <c r="G345" s="42">
        <v>5747073</v>
      </c>
      <c r="H345" s="43" t="s">
        <v>253</v>
      </c>
      <c r="I345" s="43" t="s">
        <v>254</v>
      </c>
      <c r="J345" s="42" t="s">
        <v>255</v>
      </c>
      <c r="K345" s="43">
        <v>700</v>
      </c>
    </row>
    <row r="346" spans="6:11" ht="16.5" customHeight="1">
      <c r="F346" s="42"/>
      <c r="G346" s="42">
        <v>5747074</v>
      </c>
      <c r="H346" s="43" t="s">
        <v>253</v>
      </c>
      <c r="I346" s="43" t="s">
        <v>254</v>
      </c>
      <c r="J346" s="42" t="s">
        <v>255</v>
      </c>
      <c r="K346" s="43">
        <v>700</v>
      </c>
    </row>
    <row r="347" spans="6:11" ht="16.5" customHeight="1">
      <c r="F347" s="42"/>
      <c r="G347" s="42">
        <v>5747078</v>
      </c>
      <c r="H347" s="43" t="s">
        <v>253</v>
      </c>
      <c r="I347" s="43" t="s">
        <v>254</v>
      </c>
      <c r="J347" s="42" t="s">
        <v>256</v>
      </c>
      <c r="K347" s="43">
        <v>700</v>
      </c>
    </row>
    <row r="348" spans="6:11" ht="16.5" customHeight="1">
      <c r="F348" s="42">
        <v>405</v>
      </c>
      <c r="G348" s="42">
        <v>5506913</v>
      </c>
      <c r="H348" s="43" t="s">
        <v>136</v>
      </c>
      <c r="I348" s="43" t="s">
        <v>173</v>
      </c>
      <c r="J348" s="43" t="s">
        <v>616</v>
      </c>
      <c r="K348" s="43" t="s">
        <v>52</v>
      </c>
    </row>
    <row r="349" spans="6:11" ht="16.5" customHeight="1">
      <c r="F349" s="42">
        <v>406</v>
      </c>
      <c r="G349" s="42">
        <v>5797098</v>
      </c>
      <c r="H349" s="43" t="s">
        <v>145</v>
      </c>
      <c r="I349" s="43" t="s">
        <v>50</v>
      </c>
      <c r="J349" s="42" t="s">
        <v>258</v>
      </c>
      <c r="K349" s="43" t="s">
        <v>52</v>
      </c>
    </row>
    <row r="350" spans="6:11" ht="16.5" customHeight="1">
      <c r="F350" s="42"/>
      <c r="G350" s="42">
        <v>5797097</v>
      </c>
      <c r="H350" s="43" t="s">
        <v>145</v>
      </c>
      <c r="I350" s="43" t="s">
        <v>50</v>
      </c>
      <c r="J350" s="42" t="s">
        <v>258</v>
      </c>
      <c r="K350" s="43" t="s">
        <v>36</v>
      </c>
    </row>
    <row r="351" spans="6:11" ht="16.5" customHeight="1">
      <c r="F351" s="42"/>
      <c r="G351" s="42">
        <v>5797096</v>
      </c>
      <c r="H351" s="43" t="s">
        <v>145</v>
      </c>
      <c r="I351" s="43" t="s">
        <v>50</v>
      </c>
      <c r="J351" s="42" t="s">
        <v>258</v>
      </c>
      <c r="K351" s="43" t="s">
        <v>28</v>
      </c>
    </row>
    <row r="352" spans="6:11" ht="16.5" customHeight="1">
      <c r="F352" s="42"/>
      <c r="G352" s="42">
        <v>5797095</v>
      </c>
      <c r="H352" s="43" t="s">
        <v>145</v>
      </c>
      <c r="I352" s="43" t="s">
        <v>50</v>
      </c>
      <c r="J352" s="42" t="s">
        <v>258</v>
      </c>
      <c r="K352" s="43" t="s">
        <v>32</v>
      </c>
    </row>
    <row r="353" spans="6:11" ht="16.5" customHeight="1">
      <c r="F353" s="42"/>
      <c r="G353" s="42">
        <v>5797094</v>
      </c>
      <c r="H353" s="43" t="s">
        <v>145</v>
      </c>
      <c r="I353" s="43" t="s">
        <v>50</v>
      </c>
      <c r="J353" s="42" t="s">
        <v>258</v>
      </c>
      <c r="K353" s="43" t="s">
        <v>63</v>
      </c>
    </row>
    <row r="354" spans="6:11" ht="16.5" customHeight="1">
      <c r="F354" s="42">
        <v>406</v>
      </c>
      <c r="G354" s="42">
        <v>5747047</v>
      </c>
      <c r="H354" s="43" t="s">
        <v>253</v>
      </c>
      <c r="I354" s="43" t="s">
        <v>259</v>
      </c>
      <c r="J354" s="43" t="s">
        <v>260</v>
      </c>
      <c r="K354" s="43">
        <v>700</v>
      </c>
    </row>
    <row r="355" spans="6:11" ht="16.5" customHeight="1">
      <c r="F355" s="42"/>
      <c r="G355" s="42">
        <v>5747048</v>
      </c>
      <c r="H355" s="43" t="s">
        <v>253</v>
      </c>
      <c r="I355" s="43" t="s">
        <v>259</v>
      </c>
      <c r="J355" s="43" t="s">
        <v>260</v>
      </c>
      <c r="K355" s="43">
        <v>700</v>
      </c>
    </row>
    <row r="356" spans="6:11" ht="16.5" customHeight="1">
      <c r="F356" s="42"/>
      <c r="G356" s="42">
        <v>5747049</v>
      </c>
      <c r="H356" s="43" t="s">
        <v>253</v>
      </c>
      <c r="I356" s="43" t="s">
        <v>259</v>
      </c>
      <c r="J356" s="42" t="s">
        <v>261</v>
      </c>
      <c r="K356" s="43">
        <v>700</v>
      </c>
    </row>
    <row r="357" spans="6:11" ht="16.5" customHeight="1">
      <c r="F357" s="42">
        <v>407</v>
      </c>
      <c r="G357" s="42">
        <v>5572325</v>
      </c>
      <c r="H357" s="43" t="s">
        <v>148</v>
      </c>
      <c r="I357" s="43" t="s">
        <v>263</v>
      </c>
      <c r="J357" s="42" t="s">
        <v>262</v>
      </c>
      <c r="K357" s="43" t="s">
        <v>32</v>
      </c>
    </row>
    <row r="358" spans="6:11" ht="16.5" customHeight="1">
      <c r="F358" s="42"/>
      <c r="G358" s="42">
        <v>5572326</v>
      </c>
      <c r="H358" s="43" t="s">
        <v>148</v>
      </c>
      <c r="I358" s="43" t="s">
        <v>263</v>
      </c>
      <c r="J358" s="42" t="s">
        <v>262</v>
      </c>
      <c r="K358" s="43" t="s">
        <v>28</v>
      </c>
    </row>
    <row r="359" spans="6:11" ht="16.5" customHeight="1">
      <c r="F359" s="42"/>
      <c r="G359" s="42">
        <v>5572327</v>
      </c>
      <c r="H359" s="43" t="s">
        <v>148</v>
      </c>
      <c r="I359" s="43" t="s">
        <v>263</v>
      </c>
      <c r="J359" s="42" t="s">
        <v>262</v>
      </c>
      <c r="K359" s="43" t="s">
        <v>36</v>
      </c>
    </row>
    <row r="360" spans="6:11" ht="16.5" customHeight="1">
      <c r="F360" s="42">
        <v>408</v>
      </c>
      <c r="G360" s="42">
        <v>5766065</v>
      </c>
      <c r="H360" s="43" t="s">
        <v>142</v>
      </c>
      <c r="I360" s="43" t="s">
        <v>232</v>
      </c>
      <c r="J360" s="42" t="s">
        <v>266</v>
      </c>
      <c r="K360" s="43" t="s">
        <v>37</v>
      </c>
    </row>
    <row r="361" spans="6:11" ht="16.5" customHeight="1">
      <c r="F361" s="42">
        <v>409</v>
      </c>
      <c r="G361" s="42">
        <v>5771962</v>
      </c>
      <c r="H361" s="43" t="s">
        <v>142</v>
      </c>
      <c r="I361" s="43" t="s">
        <v>232</v>
      </c>
      <c r="J361" s="42" t="s">
        <v>267</v>
      </c>
      <c r="K361" s="43" t="s">
        <v>37</v>
      </c>
    </row>
    <row r="362" spans="6:11" ht="16.5" customHeight="1">
      <c r="F362" s="42">
        <v>410</v>
      </c>
      <c r="G362" s="42">
        <v>5447763</v>
      </c>
      <c r="H362" s="43" t="s">
        <v>142</v>
      </c>
      <c r="I362" s="43" t="s">
        <v>265</v>
      </c>
      <c r="J362" s="43" t="s">
        <v>270</v>
      </c>
      <c r="K362" s="43" t="s">
        <v>37</v>
      </c>
    </row>
    <row r="363" spans="6:11" ht="16.5" customHeight="1">
      <c r="F363" s="42">
        <v>411</v>
      </c>
      <c r="G363" s="42">
        <v>5447762</v>
      </c>
      <c r="H363" s="43" t="s">
        <v>142</v>
      </c>
      <c r="I363" s="43" t="s">
        <v>265</v>
      </c>
      <c r="J363" s="43" t="s">
        <v>271</v>
      </c>
      <c r="K363" s="43" t="s">
        <v>37</v>
      </c>
    </row>
    <row r="364" spans="6:11" ht="16.5" customHeight="1">
      <c r="F364" s="42">
        <v>412</v>
      </c>
      <c r="G364" s="42">
        <v>5771802</v>
      </c>
      <c r="H364" s="43" t="s">
        <v>142</v>
      </c>
      <c r="I364" s="43" t="s">
        <v>232</v>
      </c>
      <c r="J364" s="43" t="s">
        <v>268</v>
      </c>
      <c r="K364" s="43" t="s">
        <v>176</v>
      </c>
    </row>
    <row r="365" spans="6:11" ht="16.5" customHeight="1">
      <c r="F365" s="42">
        <v>413</v>
      </c>
      <c r="G365" s="42">
        <v>5773217</v>
      </c>
      <c r="H365" s="43" t="s">
        <v>142</v>
      </c>
      <c r="I365" s="43" t="s">
        <v>232</v>
      </c>
      <c r="J365" s="43" t="s">
        <v>269</v>
      </c>
      <c r="K365" s="43" t="s">
        <v>176</v>
      </c>
    </row>
    <row r="366" spans="6:11" ht="16.5" customHeight="1">
      <c r="F366" s="42">
        <v>414</v>
      </c>
      <c r="G366" s="42">
        <v>5823327</v>
      </c>
      <c r="H366" s="43" t="s">
        <v>142</v>
      </c>
      <c r="I366" s="43" t="s">
        <v>232</v>
      </c>
      <c r="J366" s="43" t="s">
        <v>272</v>
      </c>
      <c r="K366" s="43" t="s">
        <v>37</v>
      </c>
    </row>
    <row r="367" spans="6:11" ht="16.5" customHeight="1">
      <c r="F367" s="42">
        <v>415</v>
      </c>
      <c r="G367" s="42">
        <v>5823326</v>
      </c>
      <c r="H367" s="43" t="s">
        <v>142</v>
      </c>
      <c r="I367" s="43" t="s">
        <v>232</v>
      </c>
      <c r="J367" s="43" t="s">
        <v>275</v>
      </c>
      <c r="K367" s="43" t="s">
        <v>37</v>
      </c>
    </row>
    <row r="368" spans="6:11" ht="16.5" customHeight="1">
      <c r="F368" s="42">
        <v>416</v>
      </c>
      <c r="G368" s="42">
        <v>5535135</v>
      </c>
      <c r="H368" s="43" t="s">
        <v>142</v>
      </c>
      <c r="I368" s="43" t="s">
        <v>386</v>
      </c>
      <c r="J368" s="43" t="s">
        <v>273</v>
      </c>
      <c r="K368" s="43" t="s">
        <v>36</v>
      </c>
    </row>
    <row r="369" spans="6:11" ht="16.5" customHeight="1">
      <c r="F369" s="42"/>
      <c r="G369" s="42">
        <v>5535134</v>
      </c>
      <c r="H369" s="43" t="s">
        <v>142</v>
      </c>
      <c r="I369" s="43" t="s">
        <v>386</v>
      </c>
      <c r="J369" s="43" t="s">
        <v>273</v>
      </c>
      <c r="K369" s="43" t="s">
        <v>28</v>
      </c>
    </row>
    <row r="370" spans="6:11" ht="16.5" customHeight="1">
      <c r="F370" s="42"/>
      <c r="G370" s="42">
        <v>5535133</v>
      </c>
      <c r="H370" s="43" t="s">
        <v>142</v>
      </c>
      <c r="I370" s="43" t="s">
        <v>386</v>
      </c>
      <c r="J370" s="43" t="s">
        <v>273</v>
      </c>
      <c r="K370" s="43" t="s">
        <v>32</v>
      </c>
    </row>
    <row r="371" spans="6:11" ht="16.5" customHeight="1">
      <c r="F371" s="42">
        <v>417</v>
      </c>
      <c r="G371" s="42">
        <v>5535132</v>
      </c>
      <c r="H371" s="43" t="s">
        <v>142</v>
      </c>
      <c r="I371" s="43" t="s">
        <v>386</v>
      </c>
      <c r="J371" s="43" t="s">
        <v>274</v>
      </c>
      <c r="K371" s="43" t="s">
        <v>52</v>
      </c>
    </row>
    <row r="372" spans="6:11" ht="16.5" customHeight="1">
      <c r="F372" s="42"/>
      <c r="G372" s="42">
        <v>5535131</v>
      </c>
      <c r="H372" s="43" t="s">
        <v>142</v>
      </c>
      <c r="I372" s="43" t="s">
        <v>386</v>
      </c>
      <c r="J372" s="43" t="s">
        <v>274</v>
      </c>
      <c r="K372" s="43" t="s">
        <v>36</v>
      </c>
    </row>
    <row r="373" spans="6:11" ht="16.5" customHeight="1">
      <c r="F373" s="42"/>
      <c r="G373" s="42">
        <v>5535130</v>
      </c>
      <c r="H373" s="43" t="s">
        <v>142</v>
      </c>
      <c r="I373" s="43" t="s">
        <v>386</v>
      </c>
      <c r="J373" s="43" t="s">
        <v>274</v>
      </c>
      <c r="K373" s="43" t="s">
        <v>28</v>
      </c>
    </row>
    <row r="374" spans="6:11" ht="16.5" customHeight="1">
      <c r="F374" s="42"/>
      <c r="G374" s="42">
        <v>5535129</v>
      </c>
      <c r="H374" s="43" t="s">
        <v>142</v>
      </c>
      <c r="I374" s="43" t="s">
        <v>386</v>
      </c>
      <c r="J374" s="43" t="s">
        <v>274</v>
      </c>
      <c r="K374" s="43" t="s">
        <v>32</v>
      </c>
    </row>
    <row r="375" spans="6:11" ht="16.5" customHeight="1">
      <c r="F375" s="42">
        <v>418</v>
      </c>
      <c r="G375" s="42">
        <v>5535143</v>
      </c>
      <c r="H375" s="43" t="s">
        <v>142</v>
      </c>
      <c r="I375" s="43" t="s">
        <v>387</v>
      </c>
      <c r="J375" s="43" t="s">
        <v>282</v>
      </c>
      <c r="K375" s="43" t="s">
        <v>52</v>
      </c>
    </row>
    <row r="376" spans="6:11" ht="16.5" customHeight="1">
      <c r="F376" s="42"/>
      <c r="G376" s="42">
        <v>5535142</v>
      </c>
      <c r="H376" s="43" t="s">
        <v>142</v>
      </c>
      <c r="I376" s="43" t="s">
        <v>387</v>
      </c>
      <c r="J376" s="43" t="s">
        <v>282</v>
      </c>
      <c r="K376" s="43" t="s">
        <v>36</v>
      </c>
    </row>
    <row r="377" spans="6:11" ht="16.5" customHeight="1">
      <c r="F377" s="42"/>
      <c r="G377" s="42">
        <v>5535141</v>
      </c>
      <c r="H377" s="43" t="s">
        <v>142</v>
      </c>
      <c r="I377" s="43" t="s">
        <v>387</v>
      </c>
      <c r="J377" s="43" t="s">
        <v>282</v>
      </c>
      <c r="K377" s="43" t="s">
        <v>28</v>
      </c>
    </row>
    <row r="378" spans="6:11" ht="16.5" customHeight="1">
      <c r="F378" s="42"/>
      <c r="G378" s="42">
        <v>5535140</v>
      </c>
      <c r="H378" s="43" t="s">
        <v>142</v>
      </c>
      <c r="I378" s="43" t="s">
        <v>387</v>
      </c>
      <c r="J378" s="43" t="s">
        <v>282</v>
      </c>
      <c r="K378" s="43" t="s">
        <v>32</v>
      </c>
    </row>
    <row r="379" spans="6:11" ht="16.5" customHeight="1">
      <c r="F379" s="42">
        <v>419</v>
      </c>
      <c r="G379" s="42">
        <v>5535146</v>
      </c>
      <c r="H379" s="43" t="s">
        <v>142</v>
      </c>
      <c r="I379" s="43" t="s">
        <v>387</v>
      </c>
      <c r="J379" s="43" t="s">
        <v>283</v>
      </c>
      <c r="K379" s="43" t="s">
        <v>36</v>
      </c>
    </row>
    <row r="380" spans="6:11" ht="16.5" customHeight="1">
      <c r="F380" s="42"/>
      <c r="G380" s="42">
        <v>5535145</v>
      </c>
      <c r="H380" s="43" t="s">
        <v>142</v>
      </c>
      <c r="I380" s="43" t="s">
        <v>387</v>
      </c>
      <c r="J380" s="43" t="s">
        <v>283</v>
      </c>
      <c r="K380" s="43" t="s">
        <v>28</v>
      </c>
    </row>
    <row r="381" spans="6:11" ht="16.5" customHeight="1">
      <c r="F381" s="42"/>
      <c r="G381" s="42">
        <v>5535144</v>
      </c>
      <c r="H381" s="43" t="s">
        <v>142</v>
      </c>
      <c r="I381" s="43" t="s">
        <v>387</v>
      </c>
      <c r="J381" s="43" t="s">
        <v>283</v>
      </c>
      <c r="K381" s="43" t="s">
        <v>32</v>
      </c>
    </row>
    <row r="382" spans="6:11" ht="16.5" customHeight="1">
      <c r="F382" s="42">
        <v>420</v>
      </c>
      <c r="G382" s="42">
        <v>5797282</v>
      </c>
      <c r="H382" s="43" t="s">
        <v>142</v>
      </c>
      <c r="I382" s="43" t="s">
        <v>387</v>
      </c>
      <c r="J382" s="43" t="s">
        <v>284</v>
      </c>
      <c r="K382" s="43" t="s">
        <v>36</v>
      </c>
    </row>
    <row r="383" spans="6:11" ht="16.5" customHeight="1">
      <c r="F383" s="42"/>
      <c r="G383" s="42">
        <v>5797283</v>
      </c>
      <c r="H383" s="43" t="s">
        <v>142</v>
      </c>
      <c r="I383" s="43" t="s">
        <v>387</v>
      </c>
      <c r="J383" s="43" t="s">
        <v>284</v>
      </c>
      <c r="K383" s="43" t="s">
        <v>28</v>
      </c>
    </row>
    <row r="384" spans="6:11" ht="16.5" customHeight="1">
      <c r="F384" s="42"/>
      <c r="G384" s="42">
        <v>5797281</v>
      </c>
      <c r="H384" s="43" t="s">
        <v>142</v>
      </c>
      <c r="I384" s="43" t="s">
        <v>387</v>
      </c>
      <c r="J384" s="43" t="s">
        <v>284</v>
      </c>
      <c r="K384" s="43" t="s">
        <v>32</v>
      </c>
    </row>
    <row r="385" spans="6:11" ht="16.5" customHeight="1">
      <c r="F385" s="42">
        <v>421</v>
      </c>
      <c r="G385" s="42">
        <v>5798514</v>
      </c>
      <c r="H385" s="43" t="s">
        <v>142</v>
      </c>
      <c r="I385" s="43" t="s">
        <v>182</v>
      </c>
      <c r="J385" s="43" t="s">
        <v>293</v>
      </c>
      <c r="K385" s="43" t="s">
        <v>36</v>
      </c>
    </row>
    <row r="386" spans="6:11" ht="16.5" customHeight="1">
      <c r="F386" s="42"/>
      <c r="G386" s="42">
        <v>5798515</v>
      </c>
      <c r="H386" s="43" t="s">
        <v>142</v>
      </c>
      <c r="I386" s="43" t="s">
        <v>182</v>
      </c>
      <c r="J386" s="43" t="s">
        <v>293</v>
      </c>
      <c r="K386" s="43" t="s">
        <v>28</v>
      </c>
    </row>
    <row r="387" spans="6:11" ht="16.5" customHeight="1">
      <c r="F387" s="42"/>
      <c r="G387" s="42">
        <v>5798513</v>
      </c>
      <c r="H387" s="43" t="s">
        <v>142</v>
      </c>
      <c r="I387" s="43" t="s">
        <v>182</v>
      </c>
      <c r="J387" s="43" t="s">
        <v>293</v>
      </c>
      <c r="K387" s="43" t="s">
        <v>32</v>
      </c>
    </row>
    <row r="388" spans="6:11" ht="16.5" customHeight="1">
      <c r="F388" s="42">
        <v>422</v>
      </c>
      <c r="G388" s="42">
        <v>5872654</v>
      </c>
      <c r="H388" s="43" t="s">
        <v>142</v>
      </c>
      <c r="I388" s="43" t="s">
        <v>386</v>
      </c>
      <c r="J388" s="43" t="s">
        <v>394</v>
      </c>
      <c r="K388" s="43" t="s">
        <v>52</v>
      </c>
    </row>
    <row r="389" spans="6:11" ht="16.5" customHeight="1">
      <c r="F389" s="42"/>
      <c r="G389" s="42">
        <v>5872653</v>
      </c>
      <c r="H389" s="43" t="s">
        <v>142</v>
      </c>
      <c r="I389" s="43" t="s">
        <v>386</v>
      </c>
      <c r="J389" s="43" t="s">
        <v>394</v>
      </c>
      <c r="K389" s="43" t="s">
        <v>36</v>
      </c>
    </row>
    <row r="390" spans="6:11" ht="16.5" customHeight="1">
      <c r="F390" s="42"/>
      <c r="G390" s="42">
        <v>5872652</v>
      </c>
      <c r="H390" s="43" t="s">
        <v>142</v>
      </c>
      <c r="I390" s="43" t="s">
        <v>386</v>
      </c>
      <c r="J390" s="43" t="s">
        <v>394</v>
      </c>
      <c r="K390" s="43" t="s">
        <v>28</v>
      </c>
    </row>
    <row r="391" spans="6:11" ht="16.5" customHeight="1">
      <c r="F391" s="42"/>
      <c r="G391" s="42">
        <v>5872651</v>
      </c>
      <c r="H391" s="43" t="s">
        <v>142</v>
      </c>
      <c r="I391" s="43" t="s">
        <v>386</v>
      </c>
      <c r="J391" s="43" t="s">
        <v>394</v>
      </c>
      <c r="K391" s="43" t="s">
        <v>32</v>
      </c>
    </row>
    <row r="392" spans="6:11" ht="16.5" customHeight="1">
      <c r="F392" s="42">
        <v>423</v>
      </c>
      <c r="G392" s="42">
        <v>5854707</v>
      </c>
      <c r="H392" s="43" t="s">
        <v>142</v>
      </c>
      <c r="I392" s="43" t="s">
        <v>265</v>
      </c>
      <c r="J392" s="43" t="s">
        <v>453</v>
      </c>
      <c r="K392" s="43" t="s">
        <v>37</v>
      </c>
    </row>
    <row r="393" spans="6:11" ht="16.5" customHeight="1">
      <c r="F393" s="42">
        <v>424</v>
      </c>
      <c r="G393" s="42">
        <v>5513545</v>
      </c>
      <c r="H393" s="43" t="s">
        <v>136</v>
      </c>
      <c r="I393" s="43" t="s">
        <v>178</v>
      </c>
      <c r="J393" s="43" t="s">
        <v>508</v>
      </c>
      <c r="K393" s="43" t="s">
        <v>32</v>
      </c>
    </row>
    <row r="394" spans="6:11" ht="16.5" customHeight="1">
      <c r="F394" s="42"/>
      <c r="G394" s="42">
        <v>5513546</v>
      </c>
      <c r="H394" s="43" t="s">
        <v>136</v>
      </c>
      <c r="I394" s="43" t="s">
        <v>178</v>
      </c>
      <c r="J394" s="43" t="s">
        <v>508</v>
      </c>
      <c r="K394" s="43" t="s">
        <v>28</v>
      </c>
    </row>
    <row r="395" spans="6:11" ht="16.5" customHeight="1">
      <c r="F395" s="42"/>
      <c r="G395" s="42">
        <v>5513547</v>
      </c>
      <c r="H395" s="43" t="s">
        <v>136</v>
      </c>
      <c r="I395" s="43" t="s">
        <v>178</v>
      </c>
      <c r="J395" s="43" t="s">
        <v>508</v>
      </c>
      <c r="K395" s="43" t="s">
        <v>36</v>
      </c>
    </row>
    <row r="396" spans="6:11" ht="16.5" customHeight="1">
      <c r="F396" s="42"/>
      <c r="G396" s="42">
        <v>5513548</v>
      </c>
      <c r="H396" s="43" t="s">
        <v>136</v>
      </c>
      <c r="I396" s="43" t="s">
        <v>178</v>
      </c>
      <c r="J396" s="43" t="s">
        <v>508</v>
      </c>
      <c r="K396" s="43" t="s">
        <v>52</v>
      </c>
    </row>
    <row r="397" spans="6:11" ht="16.5" customHeight="1">
      <c r="F397" s="42">
        <v>425</v>
      </c>
      <c r="G397" s="42">
        <v>5811817</v>
      </c>
      <c r="H397" s="43" t="s">
        <v>216</v>
      </c>
      <c r="I397" s="43" t="s">
        <v>221</v>
      </c>
      <c r="J397" s="43" t="s">
        <v>917</v>
      </c>
      <c r="K397" s="43" t="s">
        <v>52</v>
      </c>
    </row>
    <row r="398" spans="6:11" ht="16.5" customHeight="1">
      <c r="F398" s="42"/>
      <c r="G398" s="42">
        <v>5811816</v>
      </c>
      <c r="H398" s="43" t="s">
        <v>216</v>
      </c>
      <c r="I398" s="43" t="s">
        <v>221</v>
      </c>
      <c r="J398" s="43" t="s">
        <v>917</v>
      </c>
      <c r="K398" s="43" t="s">
        <v>36</v>
      </c>
    </row>
    <row r="399" spans="6:11" ht="16.5" customHeight="1">
      <c r="F399" s="42"/>
      <c r="G399" s="42">
        <v>5811815</v>
      </c>
      <c r="H399" s="43" t="s">
        <v>216</v>
      </c>
      <c r="I399" s="43" t="s">
        <v>221</v>
      </c>
      <c r="J399" s="43" t="s">
        <v>917</v>
      </c>
      <c r="K399" s="43" t="s">
        <v>28</v>
      </c>
    </row>
    <row r="400" spans="6:11" ht="16.5" customHeight="1">
      <c r="F400" s="42"/>
      <c r="G400" s="42">
        <v>5811814</v>
      </c>
      <c r="H400" s="43" t="s">
        <v>216</v>
      </c>
      <c r="I400" s="43" t="s">
        <v>221</v>
      </c>
      <c r="J400" s="43" t="s">
        <v>917</v>
      </c>
      <c r="K400" s="43" t="s">
        <v>32</v>
      </c>
    </row>
    <row r="401" spans="6:11" ht="16.5" customHeight="1">
      <c r="F401" s="42"/>
      <c r="G401" s="42">
        <v>5811813</v>
      </c>
      <c r="H401" s="43" t="s">
        <v>216</v>
      </c>
      <c r="I401" s="43" t="s">
        <v>221</v>
      </c>
      <c r="J401" s="43" t="s">
        <v>917</v>
      </c>
      <c r="K401" s="43" t="s">
        <v>63</v>
      </c>
    </row>
    <row r="402" spans="6:11" ht="16.5" customHeight="1">
      <c r="F402" s="42">
        <v>426</v>
      </c>
      <c r="G402" s="42">
        <v>5871504</v>
      </c>
      <c r="H402" s="43" t="s">
        <v>253</v>
      </c>
      <c r="I402" s="43" t="s">
        <v>259</v>
      </c>
      <c r="J402" s="43" t="s">
        <v>738</v>
      </c>
      <c r="K402" s="43">
        <v>700</v>
      </c>
    </row>
    <row r="403" spans="6:11" ht="16.5" customHeight="1">
      <c r="F403" s="42"/>
      <c r="G403" s="42">
        <v>5871502</v>
      </c>
      <c r="H403" s="43" t="s">
        <v>253</v>
      </c>
      <c r="I403" s="43" t="s">
        <v>259</v>
      </c>
      <c r="J403" s="43" t="s">
        <v>739</v>
      </c>
      <c r="K403" s="43">
        <v>700</v>
      </c>
    </row>
    <row r="404" spans="6:11" ht="16.5" customHeight="1">
      <c r="F404" s="42"/>
      <c r="G404" s="42">
        <v>5871503</v>
      </c>
      <c r="H404" s="43" t="s">
        <v>253</v>
      </c>
      <c r="I404" s="43" t="s">
        <v>259</v>
      </c>
      <c r="J404" s="43" t="s">
        <v>740</v>
      </c>
      <c r="K404" s="43">
        <v>700</v>
      </c>
    </row>
    <row r="405" spans="6:11" ht="16.5" customHeight="1">
      <c r="F405" s="42">
        <v>427</v>
      </c>
      <c r="G405" s="42">
        <v>5541528</v>
      </c>
      <c r="H405" s="43" t="s">
        <v>145</v>
      </c>
      <c r="I405" s="43" t="s">
        <v>42</v>
      </c>
      <c r="J405" s="43" t="s">
        <v>778</v>
      </c>
      <c r="K405" s="43" t="s">
        <v>52</v>
      </c>
    </row>
    <row r="406" spans="6:11" ht="16.5" customHeight="1">
      <c r="F406" s="42"/>
      <c r="G406" s="42">
        <v>5543255</v>
      </c>
      <c r="H406" s="43" t="s">
        <v>145</v>
      </c>
      <c r="I406" s="43" t="s">
        <v>42</v>
      </c>
      <c r="J406" s="43" t="s">
        <v>778</v>
      </c>
      <c r="K406" s="43" t="s">
        <v>36</v>
      </c>
    </row>
    <row r="407" spans="6:11" ht="16.5" customHeight="1">
      <c r="F407" s="42"/>
      <c r="G407" s="42">
        <v>5540350</v>
      </c>
      <c r="H407" s="43" t="s">
        <v>145</v>
      </c>
      <c r="I407" s="43" t="s">
        <v>42</v>
      </c>
      <c r="J407" s="43" t="s">
        <v>778</v>
      </c>
      <c r="K407" s="43" t="s">
        <v>28</v>
      </c>
    </row>
    <row r="408" spans="6:11" ht="16.5" customHeight="1">
      <c r="F408" s="42"/>
      <c r="G408" s="42">
        <v>5542625</v>
      </c>
      <c r="H408" s="43" t="s">
        <v>145</v>
      </c>
      <c r="I408" s="43" t="s">
        <v>42</v>
      </c>
      <c r="J408" s="43" t="s">
        <v>778</v>
      </c>
      <c r="K408" s="43" t="s">
        <v>32</v>
      </c>
    </row>
    <row r="409" spans="6:11" ht="16.5" customHeight="1">
      <c r="F409" s="42"/>
      <c r="G409" s="42">
        <v>5528363</v>
      </c>
      <c r="H409" s="43" t="s">
        <v>145</v>
      </c>
      <c r="I409" s="43" t="s">
        <v>42</v>
      </c>
      <c r="J409" s="43" t="s">
        <v>778</v>
      </c>
      <c r="K409" s="43" t="s">
        <v>63</v>
      </c>
    </row>
    <row r="410" spans="6:11" ht="16.5" customHeight="1">
      <c r="F410" s="42">
        <v>428</v>
      </c>
      <c r="G410" s="42">
        <v>5749135</v>
      </c>
      <c r="H410" s="43" t="s">
        <v>145</v>
      </c>
      <c r="I410" s="43" t="s">
        <v>42</v>
      </c>
      <c r="J410" s="43" t="s">
        <v>779</v>
      </c>
      <c r="K410" s="43" t="s">
        <v>52</v>
      </c>
    </row>
    <row r="411" spans="6:11" ht="16.5" customHeight="1">
      <c r="F411" s="42"/>
      <c r="G411" s="42">
        <v>5749134</v>
      </c>
      <c r="H411" s="43" t="s">
        <v>145</v>
      </c>
      <c r="I411" s="43" t="s">
        <v>42</v>
      </c>
      <c r="J411" s="43" t="s">
        <v>779</v>
      </c>
      <c r="K411" s="43" t="s">
        <v>36</v>
      </c>
    </row>
    <row r="412" spans="6:11" ht="16.5" customHeight="1">
      <c r="F412" s="42"/>
      <c r="G412" s="42">
        <v>5749133</v>
      </c>
      <c r="H412" s="43" t="s">
        <v>145</v>
      </c>
      <c r="I412" s="43" t="s">
        <v>42</v>
      </c>
      <c r="J412" s="43" t="s">
        <v>779</v>
      </c>
      <c r="K412" s="43" t="s">
        <v>28</v>
      </c>
    </row>
    <row r="413" spans="6:11" ht="16.5" customHeight="1">
      <c r="F413" s="42"/>
      <c r="G413" s="42">
        <v>5749132</v>
      </c>
      <c r="H413" s="43" t="s">
        <v>145</v>
      </c>
      <c r="I413" s="43" t="s">
        <v>42</v>
      </c>
      <c r="J413" s="43" t="s">
        <v>779</v>
      </c>
      <c r="K413" s="43" t="s">
        <v>32</v>
      </c>
    </row>
    <row r="414" spans="6:11" ht="16.5" customHeight="1">
      <c r="F414" s="42"/>
      <c r="G414" s="42">
        <v>5749131</v>
      </c>
      <c r="H414" s="43" t="s">
        <v>145</v>
      </c>
      <c r="I414" s="43" t="s">
        <v>42</v>
      </c>
      <c r="J414" s="43" t="s">
        <v>779</v>
      </c>
      <c r="K414" s="43" t="s">
        <v>63</v>
      </c>
    </row>
    <row r="415" spans="6:11" ht="16.5" customHeight="1">
      <c r="F415" s="42">
        <v>429</v>
      </c>
      <c r="G415" s="42">
        <v>6040053</v>
      </c>
      <c r="H415" s="43" t="s">
        <v>136</v>
      </c>
      <c r="I415" s="43" t="s">
        <v>173</v>
      </c>
      <c r="J415" s="43" t="s">
        <v>942</v>
      </c>
      <c r="K415" s="43" t="s">
        <v>36</v>
      </c>
    </row>
    <row r="416" spans="6:11" ht="16.5" customHeight="1">
      <c r="F416" s="42"/>
      <c r="G416" s="42">
        <v>6040052</v>
      </c>
      <c r="H416" s="43" t="s">
        <v>136</v>
      </c>
      <c r="I416" s="43" t="s">
        <v>173</v>
      </c>
      <c r="J416" s="43" t="s">
        <v>942</v>
      </c>
      <c r="K416" s="43" t="s">
        <v>28</v>
      </c>
    </row>
    <row r="417" spans="1:23" ht="16.5" customHeight="1">
      <c r="F417" s="42"/>
      <c r="G417" s="42">
        <v>6040051</v>
      </c>
      <c r="H417" s="43" t="s">
        <v>136</v>
      </c>
      <c r="I417" s="43" t="s">
        <v>173</v>
      </c>
      <c r="J417" s="43" t="s">
        <v>942</v>
      </c>
      <c r="K417" s="43" t="s">
        <v>32</v>
      </c>
    </row>
    <row r="418" spans="1:23" ht="16.5" customHeight="1">
      <c r="F418" s="42"/>
      <c r="G418" s="42">
        <v>6040050</v>
      </c>
      <c r="H418" s="43" t="s">
        <v>136</v>
      </c>
      <c r="I418" s="43" t="s">
        <v>173</v>
      </c>
      <c r="J418" s="43" t="s">
        <v>942</v>
      </c>
      <c r="K418" s="43" t="s">
        <v>63</v>
      </c>
    </row>
    <row r="419" spans="1:23" ht="16.5" customHeight="1">
      <c r="F419" s="42"/>
      <c r="G419" s="42">
        <v>6040049</v>
      </c>
      <c r="H419" s="43" t="s">
        <v>136</v>
      </c>
      <c r="I419" s="43" t="s">
        <v>173</v>
      </c>
      <c r="J419" s="43" t="s">
        <v>942</v>
      </c>
      <c r="K419" s="43" t="s">
        <v>241</v>
      </c>
    </row>
    <row r="420" spans="1:23" ht="16.5" customHeight="1">
      <c r="F420" s="42">
        <v>430</v>
      </c>
      <c r="G420" s="42">
        <v>6040060</v>
      </c>
      <c r="H420" s="43" t="s">
        <v>136</v>
      </c>
      <c r="I420" s="43" t="s">
        <v>173</v>
      </c>
      <c r="J420" s="43" t="s">
        <v>943</v>
      </c>
      <c r="K420" s="43" t="s">
        <v>52</v>
      </c>
    </row>
    <row r="421" spans="1:23" ht="16.5" customHeight="1">
      <c r="F421" s="42"/>
      <c r="G421" s="42">
        <v>6040059</v>
      </c>
      <c r="H421" s="43" t="s">
        <v>136</v>
      </c>
      <c r="I421" s="43" t="s">
        <v>173</v>
      </c>
      <c r="J421" s="43" t="s">
        <v>943</v>
      </c>
      <c r="K421" s="43" t="s">
        <v>36</v>
      </c>
    </row>
    <row r="422" spans="1:23" ht="16.5" customHeight="1">
      <c r="F422" s="42"/>
      <c r="G422" s="42">
        <v>6040058</v>
      </c>
      <c r="H422" s="43" t="s">
        <v>136</v>
      </c>
      <c r="I422" s="43" t="s">
        <v>173</v>
      </c>
      <c r="J422" s="43" t="s">
        <v>943</v>
      </c>
      <c r="K422" s="43" t="s">
        <v>28</v>
      </c>
    </row>
    <row r="423" spans="1:23" ht="16.5" customHeight="1">
      <c r="F423" s="42"/>
      <c r="G423" s="42">
        <v>6040057</v>
      </c>
      <c r="H423" s="43" t="s">
        <v>136</v>
      </c>
      <c r="I423" s="43" t="s">
        <v>173</v>
      </c>
      <c r="J423" s="43" t="s">
        <v>943</v>
      </c>
      <c r="K423" s="43" t="s">
        <v>32</v>
      </c>
    </row>
    <row r="424" spans="1:23" ht="16.5" customHeight="1">
      <c r="F424" s="42"/>
      <c r="G424" s="42">
        <v>6040056</v>
      </c>
      <c r="H424" s="43" t="s">
        <v>136</v>
      </c>
      <c r="I424" s="43" t="s">
        <v>173</v>
      </c>
      <c r="J424" s="43" t="s">
        <v>943</v>
      </c>
      <c r="K424" s="43" t="s">
        <v>63</v>
      </c>
    </row>
    <row r="425" spans="1:23" ht="16.5" customHeight="1">
      <c r="F425" s="42">
        <v>431</v>
      </c>
      <c r="G425" s="42">
        <v>6068557</v>
      </c>
      <c r="H425" s="43" t="s">
        <v>136</v>
      </c>
      <c r="I425" s="43" t="s">
        <v>173</v>
      </c>
      <c r="J425" s="43" t="s">
        <v>944</v>
      </c>
      <c r="K425" s="43" t="s">
        <v>36</v>
      </c>
    </row>
    <row r="426" spans="1:23" ht="16.5" customHeight="1">
      <c r="F426" s="42"/>
      <c r="G426" s="42">
        <v>6068556</v>
      </c>
      <c r="H426" s="43" t="s">
        <v>136</v>
      </c>
      <c r="I426" s="43" t="s">
        <v>173</v>
      </c>
      <c r="J426" s="43" t="s">
        <v>944</v>
      </c>
      <c r="K426" s="43" t="s">
        <v>28</v>
      </c>
    </row>
    <row r="427" spans="1:23" ht="16.5" customHeight="1">
      <c r="F427" s="42"/>
      <c r="G427" s="42">
        <v>6068555</v>
      </c>
      <c r="H427" s="43" t="s">
        <v>136</v>
      </c>
      <c r="I427" s="43" t="s">
        <v>173</v>
      </c>
      <c r="J427" s="43" t="s">
        <v>944</v>
      </c>
      <c r="K427" s="43" t="s">
        <v>32</v>
      </c>
    </row>
    <row r="428" spans="1:23" ht="16.5" customHeight="1">
      <c r="F428" s="42"/>
      <c r="G428" s="42">
        <v>6068554</v>
      </c>
      <c r="H428" s="43" t="s">
        <v>136</v>
      </c>
      <c r="I428" s="43" t="s">
        <v>173</v>
      </c>
      <c r="J428" s="43" t="s">
        <v>944</v>
      </c>
      <c r="K428" s="43" t="s">
        <v>63</v>
      </c>
    </row>
    <row r="429" spans="1:23" ht="16.5" customHeight="1">
      <c r="F429" s="104"/>
      <c r="G429" s="106"/>
      <c r="H429" s="107"/>
      <c r="I429" s="108"/>
      <c r="J429" s="109"/>
      <c r="K429" s="105"/>
    </row>
    <row r="430" spans="1:23" ht="16.5" customHeight="1">
      <c r="F430" s="104"/>
      <c r="G430" s="106"/>
      <c r="H430" s="107"/>
      <c r="I430" s="108"/>
      <c r="J430" s="109"/>
      <c r="K430" s="105"/>
    </row>
    <row r="431" spans="1:23" ht="16.5" customHeight="1"/>
    <row r="432" spans="1:23" ht="16.5" customHeight="1">
      <c r="A432" s="85" t="s">
        <v>160</v>
      </c>
      <c r="B432" s="45">
        <v>19</v>
      </c>
      <c r="C432" s="46">
        <v>46024</v>
      </c>
      <c r="D432" s="47" t="s">
        <v>142</v>
      </c>
      <c r="E432" s="87" t="s">
        <v>84</v>
      </c>
      <c r="F432" s="87" t="s">
        <v>177</v>
      </c>
      <c r="G432" s="87" t="s">
        <v>32</v>
      </c>
      <c r="H432" s="73">
        <v>2439703</v>
      </c>
      <c r="I432" s="95" t="s">
        <v>257</v>
      </c>
      <c r="J432" s="87">
        <v>100</v>
      </c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</row>
    <row r="433" spans="2:23" s="2" customFormat="1" ht="17.5" customHeight="1">
      <c r="B433"/>
      <c r="C433" s="3"/>
      <c r="D433" s="3"/>
      <c r="E433"/>
      <c r="F433" s="4"/>
      <c r="G433" s="4"/>
      <c r="H433" s="5"/>
      <c r="I433" s="5"/>
      <c r="J433" s="5"/>
      <c r="K433" s="4"/>
      <c r="L433" s="4"/>
      <c r="M433" s="5"/>
      <c r="N433" s="5"/>
      <c r="O433"/>
      <c r="P433"/>
      <c r="Q433"/>
      <c r="R433"/>
      <c r="S433"/>
      <c r="T433"/>
      <c r="U433"/>
      <c r="V433"/>
      <c r="W433"/>
    </row>
    <row r="434" spans="2:23" ht="16.5" customHeight="1">
      <c r="J434" s="244"/>
      <c r="K434" s="245"/>
    </row>
    <row r="435" spans="2:23" ht="16.5" customHeight="1">
      <c r="J435" s="244"/>
      <c r="K435" s="245"/>
      <c r="M435" s="246"/>
    </row>
    <row r="436" spans="2:23" ht="16.5" customHeight="1">
      <c r="I436" s="246"/>
      <c r="J436" s="244"/>
      <c r="K436" s="245"/>
      <c r="M436" s="246"/>
    </row>
    <row r="437" spans="2:23" ht="16.5" customHeight="1">
      <c r="I437" s="246"/>
      <c r="J437" s="244"/>
    </row>
    <row r="438" spans="2:23" ht="16.5" customHeight="1"/>
    <row r="439" spans="2:23" ht="16.5" customHeight="1"/>
    <row r="440" spans="2:23" ht="16.5" customHeight="1"/>
    <row r="441" spans="2:23" ht="16.5" customHeight="1"/>
    <row r="442" spans="2:23" ht="16.5" customHeight="1"/>
    <row r="443" spans="2:23" ht="16.5" customHeight="1"/>
    <row r="444" spans="2:23" ht="16.5" customHeight="1"/>
    <row r="445" spans="2:23" ht="16.5" customHeight="1"/>
    <row r="446" spans="2:23" ht="16.5" customHeight="1"/>
    <row r="447" spans="2:23" ht="16.5" customHeight="1"/>
    <row r="448" spans="2:23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</sheetData>
  <sheetProtection selectLockedCells="1" selectUnlockedCells="1"/>
  <autoFilter ref="G3:K204" xr:uid="{00000000-0009-0000-0000-000003000000}"/>
  <mergeCells count="1">
    <mergeCell ref="F2:K2"/>
  </mergeCells>
  <phoneticPr fontId="14" type="noConversion"/>
  <dataValidations count="9">
    <dataValidation type="list" allowBlank="1" showErrorMessage="1" sqref="H3" xr:uid="{00000000-0002-0000-0300-000000000000}">
      <formula1>#REF!</formula1>
    </dataValidation>
    <dataValidation type="list" allowBlank="1" showErrorMessage="1" sqref="E8" xr:uid="{00000000-0002-0000-0300-000001000000}">
      <formula1>$E$4:$E$6</formula1>
    </dataValidation>
    <dataValidation type="list" showErrorMessage="1" sqref="S432" xr:uid="{217439B6-6A24-4A68-A94E-24FE74D98FD1}">
      <formula1>INDIRECT("DD")</formula1>
    </dataValidation>
    <dataValidation type="list" allowBlank="1" showErrorMessage="1" sqref="R432" xr:uid="{1DEB63EE-A24B-45F6-B899-95121B2F6A67}">
      <formula1>INDIRECT("EE")</formula1>
    </dataValidation>
    <dataValidation type="list" showErrorMessage="1" sqref="P432" xr:uid="{3CDD7858-6DFC-425D-912A-7260D7E4475D}">
      <formula1>INDIRECT("CC")</formula1>
    </dataValidation>
    <dataValidation type="list" showErrorMessage="1" sqref="O432" xr:uid="{76AAD40A-EDE4-4DCB-A6A1-814C8718964F}">
      <formula1>INDIRECT("BB")</formula1>
    </dataValidation>
    <dataValidation type="list" allowBlank="1" showErrorMessage="1" sqref="T432" xr:uid="{082A79E7-9A46-4885-9B15-4E25F4BC88B8}">
      <formula1>"Rework,Derogation"</formula1>
    </dataValidation>
    <dataValidation type="list" allowBlank="1" showErrorMessage="1" sqref="V432 N432" xr:uid="{5E1D2236-ECF8-45F7-B4E2-91163A5858B6}">
      <formula1>"OK,NOK"</formula1>
    </dataValidation>
    <dataValidation type="list" allowBlank="1" showErrorMessage="1" sqref="H4:H344 H348:H353 H357:H401 H405:H430" xr:uid="{00000000-0002-0000-0300-000008000000}">
      <formula1>MM</formula1>
    </dataValidation>
  </dataValidations>
  <pageMargins left="0.75" right="0.75" top="1" bottom="1" header="0.51180555555555596" footer="0.51180555555555596"/>
  <pageSetup firstPageNumber="0" orientation="portrait" useFirstPageNumber="1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Common line</vt:lpstr>
      <vt:lpstr>High-end line</vt:lpstr>
      <vt:lpstr>FPY</vt:lpstr>
      <vt:lpstr>Index-Data</vt:lpstr>
      <vt:lpstr>BB</vt:lpstr>
      <vt:lpstr>CC</vt:lpstr>
      <vt:lpstr>DD</vt:lpstr>
      <vt:lpstr>EE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</dc:creator>
  <cp:lastModifiedBy>IT</cp:lastModifiedBy>
  <cp:revision>11</cp:revision>
  <cp:lastPrinted>2024-09-06T06:37:02Z</cp:lastPrinted>
  <dcterms:created xsi:type="dcterms:W3CDTF">2008-05-20T10:55:00Z</dcterms:created>
  <dcterms:modified xsi:type="dcterms:W3CDTF">2026-08-31T09:39:48Z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0x0101007DC66FF8E9281D498667F5595C71ECE4</vt:lpwstr>
  </property>
  <property fmtid="{D5CDD505-2E9C-101B-9397-08002B2CF9AE}" pid="3" name="KSOProductBuildVer">
    <vt:lpwstr>2052-12.1.0.15712</vt:lpwstr>
  </property>
  <property fmtid="{D5CDD505-2E9C-101B-9397-08002B2CF9AE}" pid="4" name="ICV">
    <vt:lpwstr>17C59E4B11E4479B94234B52B8E45704</vt:lpwstr>
  </property>
</Properties>
</file>
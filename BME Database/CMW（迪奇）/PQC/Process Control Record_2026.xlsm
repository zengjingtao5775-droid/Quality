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fileSharing userName="YuTao" algorithmName="SHA-512" hashValue="dSR8/YUbSU2MrpAeZghE7r7nNDya3Z+f15I/R606uaITiqieDIvUmzvT9HMNEqWl8dqha7JDU5VZ1btMop6pDQ==" saltValue="wQGdKzvPAsl4ASgprcHHXA==" spinCount="100000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YouliZHANG\2_Quality\8.2 PQC\02_PQC Record\"/>
    </mc:Choice>
  </mc:AlternateContent>
  <xr:revisionPtr revIDLastSave="0" documentId="13_ncr:10001_{CCECD51C-CAE0-434B-993B-3AF2D6829852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Findings Follow-up" sheetId="4" r:id="rId1"/>
    <sheet name="Defect Follow-up" sheetId="1" r:id="rId2"/>
    <sheet name="Data Analysis " sheetId="2" r:id="rId3"/>
    <sheet name="Index" sheetId="3" r:id="rId4"/>
  </sheets>
  <externalReferences>
    <externalReference r:id="rId5"/>
  </externalReferences>
  <definedNames>
    <definedName name="_xlnm._FilterDatabase" localSheetId="1" hidden="1">'Defect Follow-up'!$A$2:$H$3</definedName>
    <definedName name="_xlnm._FilterDatabase" localSheetId="0" hidden="1">'Findings Follow-up'!$A$2:$H$5</definedName>
    <definedName name="AA">Index!$A$2:$A$17</definedName>
    <definedName name="BB">Index!$C$2:$C$16</definedName>
    <definedName name="CC">Index!#REF!</definedName>
    <definedName name="DD" localSheetId="0">OFFSET('[1]Data By Weekly '!$A$2:$A$7,0,'[1]Data By Weekly '!$A$35)</definedName>
    <definedName name="DD">OFFSET(#REF!,0,#REF!)</definedName>
    <definedName name="EE" localSheetId="0">OFFSET('[1]Data By Weekly '!$A$10:$A$15,0,'[1]Data By Weekly '!$A$36)</definedName>
    <definedName name="EE">OFFSET(#REF!,0,#REF!)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" i="1" l="1"/>
  <c r="P6" i="2"/>
  <c r="O6" i="2"/>
  <c r="N6" i="2"/>
  <c r="M6" i="2"/>
  <c r="L6" i="2"/>
  <c r="K6" i="2"/>
  <c r="J6" i="2"/>
  <c r="I6" i="2"/>
  <c r="H6" i="2"/>
  <c r="G6" i="2"/>
  <c r="S5" i="2"/>
  <c r="S4" i="2"/>
  <c r="S6" i="2" s="1"/>
</calcChain>
</file>

<file path=xl/sharedStrings.xml><?xml version="1.0" encoding="utf-8"?>
<sst xmlns="http://schemas.openxmlformats.org/spreadsheetml/2006/main" count="765" uniqueCount="155">
  <si>
    <t>PROCESS AUDIT RECORD</t>
  </si>
  <si>
    <t>Date日期</t>
  </si>
  <si>
    <t>Month月</t>
  </si>
  <si>
    <t>Week周</t>
  </si>
  <si>
    <t>Item 项目</t>
  </si>
  <si>
    <t>Nonconformance Description 问题描述</t>
  </si>
  <si>
    <t>PCS次数</t>
  </si>
  <si>
    <t>Action措施</t>
  </si>
  <si>
    <t>Status状态</t>
  </si>
  <si>
    <t>PROCESS INSPECTION RECORD</t>
  </si>
  <si>
    <t>Model车型</t>
  </si>
  <si>
    <t>W.S 工位</t>
  </si>
  <si>
    <t>Remark备注</t>
  </si>
  <si>
    <t>Jan</t>
  </si>
  <si>
    <t>保护</t>
  </si>
  <si>
    <t>刹皮调节</t>
  </si>
  <si>
    <t>变速调节</t>
  </si>
  <si>
    <t>后轮安装</t>
  </si>
  <si>
    <t>刹车调节</t>
  </si>
  <si>
    <t>车轮组装</t>
  </si>
  <si>
    <t>下车打包</t>
  </si>
  <si>
    <t>Feb</t>
  </si>
  <si>
    <t>压头碗</t>
  </si>
  <si>
    <t>车把组装</t>
  </si>
  <si>
    <t>三合一</t>
  </si>
  <si>
    <t>剪线</t>
  </si>
  <si>
    <t>Mar</t>
  </si>
  <si>
    <t>贴标扫描</t>
  </si>
  <si>
    <t>座垫组装</t>
  </si>
  <si>
    <t xml:space="preserve">ST 530 RR </t>
  </si>
  <si>
    <t>AM 100S V2</t>
  </si>
  <si>
    <t>TRIBAN EASY WOMAN</t>
  </si>
  <si>
    <r>
      <rPr>
        <sz val="10"/>
        <rFont val="Arial"/>
        <family val="2"/>
      </rPr>
      <t>Week</t>
    </r>
    <r>
      <rPr>
        <sz val="10"/>
        <rFont val="Microsoft YaHei"/>
        <family val="2"/>
      </rPr>
      <t>周</t>
    </r>
  </si>
  <si>
    <t>- all -</t>
  </si>
  <si>
    <t>Defect Rate By Month</t>
  </si>
  <si>
    <r>
      <rPr>
        <sz val="10"/>
        <rFont val="Arial"/>
        <family val="2"/>
      </rPr>
      <t>Month</t>
    </r>
    <r>
      <rPr>
        <sz val="10"/>
        <rFont val="Microsoft YaHei"/>
        <family val="2"/>
      </rPr>
      <t>月</t>
    </r>
  </si>
  <si>
    <r>
      <rPr>
        <sz val="10"/>
        <rFont val="Arial"/>
        <family val="2"/>
      </rPr>
      <t>Sum - Q'ty</t>
    </r>
    <r>
      <rPr>
        <sz val="10"/>
        <rFont val="Microsoft YaHei"/>
        <family val="2"/>
      </rPr>
      <t>数量</t>
    </r>
    <r>
      <rPr>
        <sz val="10"/>
        <rFont val="Arial"/>
        <family val="2"/>
      </rPr>
      <t>(pcs)</t>
    </r>
  </si>
  <si>
    <t>Month</t>
  </si>
  <si>
    <t>Dec</t>
  </si>
  <si>
    <t>YTD</t>
  </si>
  <si>
    <t xml:space="preserve">Defect </t>
  </si>
  <si>
    <t>Production</t>
  </si>
  <si>
    <t>Rate</t>
  </si>
  <si>
    <t>(empty)</t>
  </si>
  <si>
    <t>Total Result</t>
  </si>
  <si>
    <r>
      <rPr>
        <sz val="10"/>
        <rFont val="Arial"/>
        <family val="2"/>
      </rPr>
      <t>BB</t>
    </r>
    <r>
      <rPr>
        <sz val="10"/>
        <rFont val="Microsoft YaHei"/>
        <family val="2"/>
      </rPr>
      <t>安装</t>
    </r>
  </si>
  <si>
    <t>泥板安装</t>
  </si>
  <si>
    <t>Q'ty数量</t>
  </si>
  <si>
    <t>GRAVEL AF SWORD</t>
  </si>
  <si>
    <t>GRAVEL AF APEX</t>
  </si>
  <si>
    <t>EXPL 540</t>
  </si>
  <si>
    <t>TOURING 520</t>
  </si>
  <si>
    <t>NCR CF APEX</t>
  </si>
  <si>
    <t>GRAVEL AF GRX</t>
  </si>
  <si>
    <t xml:space="preserve">EDR AF CUES </t>
  </si>
  <si>
    <t>24 EXPL 900 HD</t>
  </si>
  <si>
    <t>26 EXPL 900 HD</t>
  </si>
  <si>
    <t>26 EXPL 500</t>
  </si>
  <si>
    <t>前刹皮蹭轮胎</t>
  </si>
  <si>
    <t>头碗卡油封</t>
  </si>
  <si>
    <t>后轮漏装反光片</t>
  </si>
  <si>
    <t>前刹蹭碟刹片</t>
  </si>
  <si>
    <t>前轮跑胎</t>
  </si>
  <si>
    <t>前轮轮胎装反</t>
  </si>
  <si>
    <t>前叉贴花起皱</t>
  </si>
  <si>
    <t>轮胎安全线未完全浮出</t>
  </si>
  <si>
    <t>竖管上盖上下间隙不均匀</t>
  </si>
  <si>
    <t>车把划伤</t>
  </si>
  <si>
    <t>握把未完全插入</t>
  </si>
  <si>
    <t>后轮不居中</t>
  </si>
  <si>
    <t>BB安装</t>
  </si>
  <si>
    <t>曲柄晃动</t>
  </si>
  <si>
    <t>前轮刮伤</t>
  </si>
  <si>
    <t>后刹调节过松</t>
  </si>
  <si>
    <t>后轮跑胎</t>
  </si>
  <si>
    <t>前轮车圈刮伤</t>
  </si>
  <si>
    <t>后变上不去</t>
  </si>
  <si>
    <t>后变下不来</t>
  </si>
  <si>
    <t>EXPL 100 MULTI</t>
  </si>
  <si>
    <t>EXPL 140</t>
  </si>
  <si>
    <t>前轮辐条铜头掉漆</t>
  </si>
  <si>
    <t>漏挂曲柄盖扳手</t>
  </si>
  <si>
    <t>后轮快拆手柄接触车架</t>
  </si>
  <si>
    <t>后变最大盘掉链</t>
  </si>
  <si>
    <t>前叉贴花位置错误</t>
  </si>
  <si>
    <t>后刹未调节</t>
  </si>
  <si>
    <t>后变线管走错方向</t>
  </si>
  <si>
    <t>后轮衬带跑出</t>
  </si>
  <si>
    <t>前轮漏装反光片</t>
  </si>
  <si>
    <t>前变小对大蹭链</t>
  </si>
  <si>
    <t>前变最大盘掉链</t>
  </si>
  <si>
    <t>刹车剪线长度70mm，小于标准80±5mm</t>
  </si>
  <si>
    <t>前刹皮蹭车圈</t>
  </si>
  <si>
    <t>前叉贴花翻折</t>
  </si>
  <si>
    <t>后变线管破裂</t>
  </si>
  <si>
    <t>#NCMR00101</t>
  </si>
  <si>
    <t>前刹线管扭曲</t>
  </si>
  <si>
    <t>变把卡顿</t>
  </si>
  <si>
    <t>前叉贴花气泡</t>
  </si>
  <si>
    <t>后变跳链</t>
  </si>
  <si>
    <t>前轮轮圈磕伤</t>
  </si>
  <si>
    <t>竖管烤漆不良</t>
  </si>
  <si>
    <t>漏装后刹线管皮套</t>
  </si>
  <si>
    <t>座管夹未锁紧</t>
  </si>
  <si>
    <t>前叉贴花翘边</t>
  </si>
  <si>
    <t>车架头管爆漆</t>
  </si>
  <si>
    <t>前轮圈磕伤</t>
  </si>
  <si>
    <t>后轮圈刮伤</t>
  </si>
  <si>
    <t>变速剪线长度50mm，大于标准40±5mm</t>
  </si>
  <si>
    <t>Apr</t>
  </si>
  <si>
    <t>漏贴前叉贴花</t>
  </si>
  <si>
    <t>后轮轮胎装反</t>
  </si>
  <si>
    <t>后轮快拆手柄未放到底</t>
  </si>
  <si>
    <t>后刹线管皮套位置错误</t>
  </si>
  <si>
    <t>后碟刹座爆漆</t>
  </si>
  <si>
    <t>竖管上盖磕伤</t>
  </si>
  <si>
    <t>线丝外漏</t>
  </si>
  <si>
    <t>曲柄未保护</t>
  </si>
  <si>
    <t>后刹线管扭曲</t>
  </si>
  <si>
    <t>车架头管磕伤</t>
  </si>
  <si>
    <t>后轮铜头辐条掉漆</t>
  </si>
  <si>
    <t>前叉贴花起泡</t>
  </si>
  <si>
    <t>May</t>
  </si>
  <si>
    <t>后刹皮超出车圈</t>
  </si>
  <si>
    <t>座管夹手柄未放到底</t>
  </si>
  <si>
    <t>车架色差</t>
  </si>
  <si>
    <t xml:space="preserve">前刹蹭刹车皮 </t>
  </si>
  <si>
    <t>车把不居中</t>
  </si>
  <si>
    <t>前变大对小蹭链</t>
  </si>
  <si>
    <t>后变速线漏铆铝尾套</t>
  </si>
  <si>
    <t>刹把接油管处有油</t>
  </si>
  <si>
    <t>变速线管皮套未放到位</t>
  </si>
  <si>
    <t>头碗堆积黄油</t>
  </si>
  <si>
    <t xml:space="preserve">前叉磕伤掉漆 </t>
  </si>
  <si>
    <t>Jun</t>
  </si>
  <si>
    <t>后轮车圈划伤</t>
  </si>
  <si>
    <t>前轮车圈划伤</t>
  </si>
  <si>
    <t>头碗与车架间隙大于0.3mm</t>
  </si>
  <si>
    <t>漏装飞轮垫圈</t>
  </si>
  <si>
    <t>#NCMR00113</t>
  </si>
  <si>
    <t>多贴轮圈气嘴标</t>
  </si>
  <si>
    <t>轮胎用错</t>
  </si>
  <si>
    <t>#NCMR00114</t>
  </si>
  <si>
    <t>前叉贴标用错（24”用成26"贴标）</t>
  </si>
  <si>
    <t>#NCMR00115</t>
  </si>
  <si>
    <t>前叉贴标贴反</t>
  </si>
  <si>
    <t>#NCMR00116</t>
  </si>
  <si>
    <t>Jul</t>
  </si>
  <si>
    <t>前轮反光片装反</t>
  </si>
  <si>
    <t>头碗漏装油封</t>
  </si>
  <si>
    <t>车架下管磕伤掉漆</t>
  </si>
  <si>
    <t>#NCMR00119</t>
  </si>
  <si>
    <t>曲柄漏保护</t>
  </si>
  <si>
    <t>Aug</t>
  </si>
  <si>
    <t>变速线未放入前变线槽内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</si>
</sst>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"/>
    <numFmt numFmtId="165" formatCode="yyyy/mm/dd"/>
    <numFmt numFmtId="166" formatCode="&quot;Wk&quot;00"/>
  </numFmts>
  <fonts count="11">
    <font>
      <sz val="10"/>
      <name val="Arial"/>
      <charset val="134"/>
    </font>
    <font>
      <sz val="10"/>
      <name val="Microsoft YaHei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i/>
      <u/>
      <sz val="10"/>
      <name val="Arial"/>
      <family val="2"/>
    </font>
    <font>
      <b/>
      <sz val="11"/>
      <name val="Microsoft JhengHei UI"/>
      <family val="2"/>
    </font>
    <font>
      <b/>
      <sz val="20"/>
      <color rgb="FF000000"/>
      <name val="Copperplate Gothic Bold"/>
      <family val="2"/>
    </font>
    <font>
      <b/>
      <sz val="20"/>
      <color theme="1"/>
      <name val="Copperplate Gothic Bold"/>
      <family val="2"/>
    </font>
    <font>
      <sz val="10"/>
      <name val="Arial"/>
      <family val="2"/>
    </font>
    <font>
      <b/>
      <sz val="10.5"/>
      <name val="Microsoft JhengHei UI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CFFFF"/>
        <bgColor rgb="FFCCFFFF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3" fillId="0" borderId="0" applyBorder="0" applyProtection="0"/>
    <xf numFmtId="0" fontId="8" fillId="0" borderId="0"/>
    <xf numFmtId="0" fontId="8" fillId="0" borderId="0"/>
  </cellStyleXfs>
  <cellXfs count="57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/>
    <xf numFmtId="0" fontId="0" fillId="2" borderId="1" xfId="0" applyFont="1" applyFill="1" applyBorder="1" applyAlignment="1">
      <alignment vertical="center"/>
    </xf>
    <xf numFmtId="0" fontId="1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1" applyFont="1" applyAlignment="1"/>
    <xf numFmtId="0" fontId="0" fillId="0" borderId="2" xfId="0" applyFont="1" applyBorder="1"/>
    <xf numFmtId="0" fontId="0" fillId="0" borderId="3" xfId="0" applyBorder="1"/>
    <xf numFmtId="0" fontId="0" fillId="0" borderId="4" xfId="0" applyBorder="1" applyAlignment="1"/>
    <xf numFmtId="0" fontId="0" fillId="0" borderId="5" xfId="1" applyFont="1" applyBorder="1" applyAlignment="1"/>
    <xf numFmtId="0" fontId="0" fillId="0" borderId="6" xfId="1" applyFont="1" applyBorder="1" applyAlignment="1"/>
    <xf numFmtId="0" fontId="0" fillId="0" borderId="7" xfId="0" applyFont="1" applyBorder="1"/>
    <xf numFmtId="164" fontId="0" fillId="0" borderId="8" xfId="0" applyNumberFormat="1" applyBorder="1" applyAlignment="1">
      <alignment horizontal="center"/>
    </xf>
    <xf numFmtId="0" fontId="0" fillId="0" borderId="9" xfId="1" applyFont="1" applyBorder="1" applyAlignment="1">
      <alignment horizontal="left"/>
    </xf>
    <xf numFmtId="0" fontId="0" fillId="0" borderId="10" xfId="1" applyFont="1" applyBorder="1" applyAlignment="1"/>
    <xf numFmtId="0" fontId="0" fillId="0" borderId="11" xfId="0" applyFont="1" applyBorder="1"/>
    <xf numFmtId="0" fontId="0" fillId="0" borderId="0" xfId="0" applyBorder="1" applyAlignment="1">
      <alignment horizontal="center"/>
    </xf>
    <xf numFmtId="0" fontId="0" fillId="0" borderId="12" xfId="1" applyFont="1" applyBorder="1" applyAlignment="1">
      <alignment horizontal="left"/>
    </xf>
    <xf numFmtId="0" fontId="0" fillId="0" borderId="13" xfId="1" applyFont="1" applyBorder="1" applyAlignment="1"/>
    <xf numFmtId="0" fontId="0" fillId="0" borderId="14" xfId="0" applyFont="1" applyBorder="1"/>
    <xf numFmtId="10" fontId="0" fillId="0" borderId="15" xfId="0" applyNumberFormat="1" applyBorder="1"/>
    <xf numFmtId="0" fontId="0" fillId="0" borderId="16" xfId="1" applyFont="1" applyBorder="1" applyAlignment="1"/>
    <xf numFmtId="0" fontId="3" fillId="0" borderId="17" xfId="1" applyFont="1" applyBorder="1" applyAlignment="1">
      <alignment horizontal="left"/>
    </xf>
    <xf numFmtId="0" fontId="3" fillId="0" borderId="18" xfId="1" applyBorder="1"/>
    <xf numFmtId="0" fontId="4" fillId="0" borderId="4" xfId="0" applyFont="1" applyBorder="1" applyAlignment="1"/>
    <xf numFmtId="0" fontId="0" fillId="0" borderId="19" xfId="0" applyBorder="1" applyAlignment="1"/>
    <xf numFmtId="0" fontId="0" fillId="0" borderId="20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10" fontId="0" fillId="0" borderId="15" xfId="0" applyNumberFormat="1" applyBorder="1" applyAlignment="1"/>
    <xf numFmtId="10" fontId="0" fillId="0" borderId="24" xfId="0" applyNumberFormat="1" applyBorder="1" applyAlignment="1"/>
    <xf numFmtId="10" fontId="0" fillId="0" borderId="25" xfId="0" applyNumberFormat="1" applyBorder="1" applyAlignment="1">
      <alignment horizontal="center"/>
    </xf>
    <xf numFmtId="0" fontId="5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3" borderId="2" xfId="0" applyFont="1" applyFill="1" applyBorder="1" applyAlignment="1">
      <alignment horizontal="center" vertical="center" wrapText="1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left"/>
    </xf>
    <xf numFmtId="0" fontId="0" fillId="0" borderId="0" xfId="3" applyFont="1"/>
    <xf numFmtId="165" fontId="8" fillId="0" borderId="2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166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2" borderId="1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8" fillId="4" borderId="2" xfId="0" applyFont="1" applyFill="1" applyBorder="1" applyAlignment="1">
      <alignment horizontal="center"/>
    </xf>
    <xf numFmtId="0" fontId="7" fillId="0" borderId="0" xfId="3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4">
    <cellStyle name="Explanatory Text" xfId="1" builtinId="53"/>
    <cellStyle name="Normal" xfId="0" builtinId="0"/>
    <cellStyle name="Normal 2" xfId="2" xr:uid="{00000000-0005-0000-0000-000002000000}"/>
    <cellStyle name="Normal_Process audit findings summary-2011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ED1C24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00800291014898E-2"/>
          <c:y val="3.42212030340448E-2"/>
          <c:w val="0.947662786467806"/>
          <c:h val="0.852002116775445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>
                <a:alpha val="80000"/>
              </a:srgbClr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Analysis '!$G$3:$R$3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'Data Analysis '!$G$6:$R$6</c:f>
              <c:numCache>
                <c:formatCode>0.00%</c:formatCode>
                <c:ptCount val="12"/>
                <c:pt idx="0">
                  <c:v>4.457831325301205E-3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1C-4E62-AEEE-76AE6CB39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6301"/>
        <c:axId val="28766428"/>
      </c:barChart>
      <c:catAx>
        <c:axId val="37763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 cap="flat" cmpd="sng" algn="ctr">
            <a:solidFill>
              <a:srgbClr val="878787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spc="-1" baseline="0">
                <a:solidFill>
                  <a:srgbClr val="000000"/>
                </a:solidFill>
                <a:latin typeface="Calibri" panose="020F0502020204030204"/>
                <a:ea typeface="+mn-ea"/>
                <a:cs typeface="+mn-cs"/>
              </a:defRPr>
            </a:pPr>
            <a:endParaRPr lang="en-US"/>
          </a:p>
        </c:txPr>
        <c:crossAx val="28766428"/>
        <c:crosses val="autoZero"/>
        <c:auto val="1"/>
        <c:lblAlgn val="ctr"/>
        <c:lblOffset val="100"/>
        <c:noMultiLvlLbl val="1"/>
      </c:catAx>
      <c:valAx>
        <c:axId val="28766428"/>
        <c:scaling>
          <c:orientation val="minMax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9360" cap="flat" cmpd="sng" algn="ctr">
            <a:solidFill>
              <a:srgbClr val="878787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spc="-1" baseline="0">
                <a:solidFill>
                  <a:srgbClr val="000000"/>
                </a:solidFill>
                <a:latin typeface="Calibri" panose="020F0502020204030204"/>
                <a:ea typeface="+mn-ea"/>
                <a:cs typeface="+mn-cs"/>
              </a:defRPr>
            </a:pPr>
            <a:endParaRPr lang="en-US"/>
          </a:p>
        </c:txPr>
        <c:crossAx val="3776301"/>
        <c:crosses val="autoZero"/>
        <c:crossBetween val="between"/>
        <c:majorUnit val="2.00000000000001E-3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txPr>
    <a:bodyPr/>
    <a:lstStyle/>
    <a:p>
      <a:pPr>
        <a:defRPr lang="zh-CN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57150</xdr:rowOff>
    </xdr:from>
    <xdr:to>
      <xdr:col>1</xdr:col>
      <xdr:colOff>476250</xdr:colOff>
      <xdr:row>0</xdr:row>
      <xdr:rowOff>387350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1750" y="57150"/>
          <a:ext cx="1377950" cy="330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2069070</xdr:colOff>
      <xdr:row>0</xdr:row>
      <xdr:rowOff>0</xdr:rowOff>
    </xdr:from>
    <xdr:to>
      <xdr:col>7</xdr:col>
      <xdr:colOff>3090390</xdr:colOff>
      <xdr:row>0</xdr:row>
      <xdr:rowOff>367200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8520" y="0"/>
          <a:ext cx="1021320" cy="367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38160</xdr:colOff>
      <xdr:row>0</xdr:row>
      <xdr:rowOff>57240</xdr:rowOff>
    </xdr:from>
    <xdr:to>
      <xdr:col>1</xdr:col>
      <xdr:colOff>251132</xdr:colOff>
      <xdr:row>0</xdr:row>
      <xdr:rowOff>386280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57150"/>
          <a:ext cx="1163955" cy="32893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12600</xdr:colOff>
      <xdr:row>6</xdr:row>
      <xdr:rowOff>111240</xdr:rowOff>
    </xdr:from>
    <xdr:to>
      <xdr:col>18</xdr:col>
      <xdr:colOff>11520</xdr:colOff>
      <xdr:row>16</xdr:row>
      <xdr:rowOff>183240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_OLD/Process%20Control%20Record_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 Follow-up"/>
      <sheetName val="Defect Follow-up"/>
      <sheetName val="Data Analysis "/>
      <sheetName val="Data By Weekly "/>
      <sheetName val="Chart By Weekly"/>
      <sheetName val="Chart"/>
      <sheetName val="Index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Date="0" recordCount="55" xr:uid="{00000000-000A-0000-FFFF-FFFF00000000}">
  <cacheSource type="worksheet">
    <worksheetSource ref="A2:G87" sheet="Defect Follow-up"/>
  </cacheSource>
  <cacheFields count="7">
    <cacheField name="Date日期" numFmtId="0">
      <sharedItems containsString="0" containsBlank="1" containsNumber="1" containsInteger="1" minValue="0" maxValue="44986" count="25">
        <n v="44928"/>
        <n v="44929"/>
        <n v="44930"/>
        <n v="44932"/>
        <n v="44933"/>
        <n v="44935"/>
        <n v="44936"/>
        <n v="44937"/>
        <n v="44940"/>
        <n v="44958"/>
        <n v="44959"/>
        <n v="44960"/>
        <n v="44961"/>
        <n v="44963"/>
        <n v="44964"/>
        <n v="44966"/>
        <n v="44968"/>
        <n v="44970"/>
        <n v="44973"/>
        <n v="44978"/>
        <n v="44981"/>
        <n v="44982"/>
        <n v="44985"/>
        <n v="44986"/>
        <m/>
      </sharedItems>
    </cacheField>
    <cacheField name="Month月" numFmtId="0">
      <sharedItems containsBlank="1" count="4">
        <s v="Feb"/>
        <s v="Jan"/>
        <s v="Mar"/>
        <m/>
      </sharedItems>
    </cacheField>
    <cacheField name="Week周" numFmtId="0">
      <sharedItems containsString="0" containsBlank="1" containsNumber="1" containsInteger="1" minValue="0" maxValue="9" count="8">
        <n v="1"/>
        <n v="2"/>
        <n v="5"/>
        <n v="6"/>
        <n v="7"/>
        <n v="8"/>
        <n v="9"/>
        <m/>
      </sharedItems>
    </cacheField>
    <cacheField name="Model车型" numFmtId="0">
      <sharedItems containsBlank="1" count="15">
        <s v="EDR AF 105 CN"/>
        <s v="GRAVEL 120"/>
        <s v="GRAVEL 520"/>
        <s v="RC 500 CN"/>
        <s v="RC 520 CN"/>
        <s v="ST 100 24 RR"/>
        <s v="ST 120 RR CN"/>
        <s v="ST 500 20&quot; CN "/>
        <s v="ST 500 24&quot; CN "/>
        <s v="ST 530 RR CN"/>
        <s v="ST 540 RR CN"/>
        <s v="TOURING 520"/>
        <s v="TRIBAN JR"/>
        <s v="XC 50 CN"/>
        <m/>
      </sharedItems>
    </cacheField>
    <cacheField name="W.S 工位" numFmtId="0">
      <sharedItems containsBlank="1" count="13">
        <s v="BB安装"/>
        <s v="三合一"/>
        <s v="下车打包"/>
        <s v="保护"/>
        <s v="刹皮调节"/>
        <s v="刹车调节"/>
        <s v="剪线"/>
        <s v="压头碗"/>
        <s v="变速调节"/>
        <s v="后轮安装"/>
        <s v="车把组装"/>
        <s v="车轮组装"/>
        <m/>
      </sharedItems>
    </cacheField>
    <cacheField name="Nonconformance Description 问题描述" numFmtId="0">
      <sharedItems containsBlank="1" count="37">
        <s v="BB 转动紧"/>
        <s v="BB与车架间隙大于0.3mm"/>
        <s v="BB碗掉漆"/>
        <s v="中国制造标翘边"/>
        <s v="刹车装反"/>
        <s v="刹车蹭碟刹片"/>
        <s v="前刹皮超出车圈"/>
        <s v="前叉磕伤掉漆"/>
        <s v="前变最大盘掉链"/>
        <s v="前变大对小蹭链"/>
        <s v="前轮安全线未完全浮出"/>
        <s v="前轮方向放反"/>
        <s v="前轮漏装反光片"/>
        <s v="前轮贴花破损"/>
        <s v="后刹皮超出车圈"/>
        <s v="后刹皮蹭轮胎"/>
        <s v="后刹调节过松"/>
        <s v="后刹蹭碟刹片"/>
        <s v="后变大对小蹭链"/>
        <s v="后变跳链"/>
        <s v="后碟刹座爆漆"/>
        <s v="后轮不居中"/>
        <s v="后轮安全线未完全浮出"/>
        <s v="后轮快拆打开力小于50N"/>
        <s v="后轮快拆未保护"/>
        <s v="后轮护盘未装到位"/>
        <s v="后轮胎装反"/>
        <s v="头碗卡油封"/>
        <s v="握把距55mm,大于标准40±5mm"/>
        <s v="曲柄未保护"/>
        <s v="漏装后刹线管皮套"/>
        <s v="漏贴前叉标"/>
        <s v="车把漏挂&quot;EAGLE label&quot;"/>
        <s v="车架下管掉漆"/>
        <s v="车架后碟刹座爆漆"/>
        <s v="轮圈刮伤"/>
        <m/>
      </sharedItems>
    </cacheField>
    <cacheField name="Q'ty数量(pcs)" numFmtId="0">
      <sharedItems containsString="0" containsBlank="1" containsNumber="1" containsInteger="1" minValue="0" maxValue="40" count="6">
        <n v="1"/>
        <n v="2"/>
        <n v="3"/>
        <n v="23"/>
        <n v="4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1"/>
    <x v="0"/>
    <x v="6"/>
    <x v="3"/>
    <x v="29"/>
    <x v="1"/>
  </r>
  <r>
    <x v="1"/>
    <x v="1"/>
    <x v="0"/>
    <x v="8"/>
    <x v="4"/>
    <x v="14"/>
    <x v="1"/>
  </r>
  <r>
    <x v="1"/>
    <x v="1"/>
    <x v="0"/>
    <x v="8"/>
    <x v="8"/>
    <x v="19"/>
    <x v="1"/>
  </r>
  <r>
    <x v="2"/>
    <x v="1"/>
    <x v="0"/>
    <x v="8"/>
    <x v="0"/>
    <x v="1"/>
    <x v="0"/>
  </r>
  <r>
    <x v="2"/>
    <x v="1"/>
    <x v="0"/>
    <x v="8"/>
    <x v="8"/>
    <x v="19"/>
    <x v="0"/>
  </r>
  <r>
    <x v="2"/>
    <x v="1"/>
    <x v="0"/>
    <x v="8"/>
    <x v="9"/>
    <x v="21"/>
    <x v="1"/>
  </r>
  <r>
    <x v="2"/>
    <x v="1"/>
    <x v="0"/>
    <x v="8"/>
    <x v="5"/>
    <x v="16"/>
    <x v="1"/>
  </r>
  <r>
    <x v="2"/>
    <x v="1"/>
    <x v="0"/>
    <x v="5"/>
    <x v="0"/>
    <x v="1"/>
    <x v="2"/>
  </r>
  <r>
    <x v="3"/>
    <x v="1"/>
    <x v="0"/>
    <x v="5"/>
    <x v="5"/>
    <x v="17"/>
    <x v="0"/>
  </r>
  <r>
    <x v="3"/>
    <x v="1"/>
    <x v="0"/>
    <x v="5"/>
    <x v="11"/>
    <x v="35"/>
    <x v="1"/>
  </r>
  <r>
    <x v="3"/>
    <x v="1"/>
    <x v="0"/>
    <x v="5"/>
    <x v="11"/>
    <x v="12"/>
    <x v="1"/>
  </r>
  <r>
    <x v="4"/>
    <x v="1"/>
    <x v="0"/>
    <x v="1"/>
    <x v="11"/>
    <x v="25"/>
    <x v="1"/>
  </r>
  <r>
    <x v="4"/>
    <x v="1"/>
    <x v="0"/>
    <x v="1"/>
    <x v="9"/>
    <x v="21"/>
    <x v="0"/>
  </r>
  <r>
    <x v="5"/>
    <x v="1"/>
    <x v="1"/>
    <x v="0"/>
    <x v="8"/>
    <x v="19"/>
    <x v="0"/>
  </r>
  <r>
    <x v="6"/>
    <x v="1"/>
    <x v="1"/>
    <x v="4"/>
    <x v="2"/>
    <x v="11"/>
    <x v="3"/>
  </r>
  <r>
    <x v="7"/>
    <x v="1"/>
    <x v="1"/>
    <x v="4"/>
    <x v="3"/>
    <x v="24"/>
    <x v="1"/>
  </r>
  <r>
    <x v="7"/>
    <x v="1"/>
    <x v="1"/>
    <x v="4"/>
    <x v="8"/>
    <x v="19"/>
    <x v="0"/>
  </r>
  <r>
    <x v="8"/>
    <x v="1"/>
    <x v="1"/>
    <x v="0"/>
    <x v="8"/>
    <x v="19"/>
    <x v="2"/>
  </r>
  <r>
    <x v="8"/>
    <x v="1"/>
    <x v="1"/>
    <x v="0"/>
    <x v="5"/>
    <x v="4"/>
    <x v="2"/>
  </r>
  <r>
    <x v="9"/>
    <x v="0"/>
    <x v="2"/>
    <x v="6"/>
    <x v="0"/>
    <x v="1"/>
    <x v="0"/>
  </r>
  <r>
    <x v="9"/>
    <x v="0"/>
    <x v="2"/>
    <x v="6"/>
    <x v="0"/>
    <x v="0"/>
    <x v="0"/>
  </r>
  <r>
    <x v="9"/>
    <x v="0"/>
    <x v="2"/>
    <x v="6"/>
    <x v="5"/>
    <x v="16"/>
    <x v="0"/>
  </r>
  <r>
    <x v="9"/>
    <x v="0"/>
    <x v="2"/>
    <x v="6"/>
    <x v="7"/>
    <x v="20"/>
    <x v="0"/>
  </r>
  <r>
    <x v="10"/>
    <x v="0"/>
    <x v="2"/>
    <x v="6"/>
    <x v="3"/>
    <x v="31"/>
    <x v="0"/>
  </r>
  <r>
    <x v="10"/>
    <x v="0"/>
    <x v="2"/>
    <x v="6"/>
    <x v="7"/>
    <x v="27"/>
    <x v="0"/>
  </r>
  <r>
    <x v="10"/>
    <x v="0"/>
    <x v="2"/>
    <x v="12"/>
    <x v="11"/>
    <x v="22"/>
    <x v="1"/>
  </r>
  <r>
    <x v="10"/>
    <x v="0"/>
    <x v="2"/>
    <x v="4"/>
    <x v="8"/>
    <x v="19"/>
    <x v="2"/>
  </r>
  <r>
    <x v="11"/>
    <x v="0"/>
    <x v="2"/>
    <x v="3"/>
    <x v="8"/>
    <x v="18"/>
    <x v="0"/>
  </r>
  <r>
    <x v="11"/>
    <x v="0"/>
    <x v="2"/>
    <x v="3"/>
    <x v="11"/>
    <x v="12"/>
    <x v="0"/>
  </r>
  <r>
    <x v="12"/>
    <x v="0"/>
    <x v="2"/>
    <x v="3"/>
    <x v="10"/>
    <x v="28"/>
    <x v="1"/>
  </r>
  <r>
    <x v="13"/>
    <x v="0"/>
    <x v="3"/>
    <x v="7"/>
    <x v="4"/>
    <x v="6"/>
    <x v="0"/>
  </r>
  <r>
    <x v="13"/>
    <x v="0"/>
    <x v="3"/>
    <x v="7"/>
    <x v="4"/>
    <x v="15"/>
    <x v="0"/>
  </r>
  <r>
    <x v="13"/>
    <x v="0"/>
    <x v="3"/>
    <x v="7"/>
    <x v="5"/>
    <x v="30"/>
    <x v="0"/>
  </r>
  <r>
    <x v="14"/>
    <x v="0"/>
    <x v="3"/>
    <x v="7"/>
    <x v="9"/>
    <x v="21"/>
    <x v="1"/>
  </r>
  <r>
    <x v="15"/>
    <x v="0"/>
    <x v="3"/>
    <x v="9"/>
    <x v="5"/>
    <x v="30"/>
    <x v="0"/>
  </r>
  <r>
    <x v="15"/>
    <x v="0"/>
    <x v="3"/>
    <x v="9"/>
    <x v="9"/>
    <x v="23"/>
    <x v="0"/>
  </r>
  <r>
    <x v="16"/>
    <x v="0"/>
    <x v="3"/>
    <x v="4"/>
    <x v="11"/>
    <x v="26"/>
    <x v="1"/>
  </r>
  <r>
    <x v="17"/>
    <x v="0"/>
    <x v="4"/>
    <x v="4"/>
    <x v="8"/>
    <x v="19"/>
    <x v="1"/>
  </r>
  <r>
    <x v="18"/>
    <x v="0"/>
    <x v="4"/>
    <x v="4"/>
    <x v="8"/>
    <x v="19"/>
    <x v="1"/>
  </r>
  <r>
    <x v="18"/>
    <x v="0"/>
    <x v="4"/>
    <x v="4"/>
    <x v="1"/>
    <x v="7"/>
    <x v="0"/>
  </r>
  <r>
    <x v="18"/>
    <x v="0"/>
    <x v="4"/>
    <x v="4"/>
    <x v="8"/>
    <x v="22"/>
    <x v="0"/>
  </r>
  <r>
    <x v="18"/>
    <x v="0"/>
    <x v="4"/>
    <x v="3"/>
    <x v="6"/>
    <x v="3"/>
    <x v="4"/>
  </r>
  <r>
    <x v="19"/>
    <x v="0"/>
    <x v="5"/>
    <x v="10"/>
    <x v="8"/>
    <x v="8"/>
    <x v="0"/>
  </r>
  <r>
    <x v="19"/>
    <x v="0"/>
    <x v="5"/>
    <x v="10"/>
    <x v="5"/>
    <x v="30"/>
    <x v="0"/>
  </r>
  <r>
    <x v="19"/>
    <x v="0"/>
    <x v="5"/>
    <x v="10"/>
    <x v="11"/>
    <x v="13"/>
    <x v="1"/>
  </r>
  <r>
    <x v="20"/>
    <x v="0"/>
    <x v="5"/>
    <x v="13"/>
    <x v="3"/>
    <x v="32"/>
    <x v="1"/>
  </r>
  <r>
    <x v="20"/>
    <x v="0"/>
    <x v="5"/>
    <x v="4"/>
    <x v="8"/>
    <x v="19"/>
    <x v="0"/>
  </r>
  <r>
    <x v="21"/>
    <x v="0"/>
    <x v="5"/>
    <x v="2"/>
    <x v="0"/>
    <x v="2"/>
    <x v="2"/>
  </r>
  <r>
    <x v="21"/>
    <x v="0"/>
    <x v="5"/>
    <x v="9"/>
    <x v="5"/>
    <x v="5"/>
    <x v="1"/>
  </r>
  <r>
    <x v="21"/>
    <x v="0"/>
    <x v="5"/>
    <x v="11"/>
    <x v="3"/>
    <x v="11"/>
    <x v="2"/>
  </r>
  <r>
    <x v="22"/>
    <x v="0"/>
    <x v="6"/>
    <x v="12"/>
    <x v="11"/>
    <x v="10"/>
    <x v="1"/>
  </r>
  <r>
    <x v="22"/>
    <x v="0"/>
    <x v="6"/>
    <x v="12"/>
    <x v="8"/>
    <x v="19"/>
    <x v="0"/>
  </r>
  <r>
    <x v="23"/>
    <x v="2"/>
    <x v="6"/>
    <x v="3"/>
    <x v="8"/>
    <x v="9"/>
    <x v="2"/>
  </r>
  <r>
    <x v="23"/>
    <x v="2"/>
    <x v="6"/>
    <x v="6"/>
    <x v="7"/>
    <x v="34"/>
    <x v="1"/>
  </r>
  <r>
    <x v="23"/>
    <x v="2"/>
    <x v="6"/>
    <x v="6"/>
    <x v="8"/>
    <x v="3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indent="0" outline="1" outlineData="1">
  <location ref="B3:C8" firstHeaderRow="0" firstDataRow="0" firstDataCol="1" rowPageCount="1" colPageCount="1"/>
  <pivotFields count="7">
    <pivotField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colItems count="1">
    <i/>
  </colItems>
  <pageFields count="1">
    <pageField fld="2" hier="0"/>
  </pageFields>
  <dataFields count="1">
    <dataField name="" fld="6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F00"/>
  </sheetPr>
  <dimension ref="A1:H148"/>
  <sheetViews>
    <sheetView showGridLines="0" zoomScaleNormal="100" workbookViewId="0">
      <pane ySplit="2" topLeftCell="A3" activePane="bottomLeft" state="frozen"/>
      <selection pane="bottomLeft" activeCell="E7" sqref="E7"/>
    </sheetView>
  </sheetViews>
  <sheetFormatPr defaultColWidth="9.08984375" defaultRowHeight="13" customHeight="1"/>
  <cols>
    <col min="1" max="1" width="13.36328125" style="42" customWidth="1"/>
    <col min="2" max="3" width="10.6328125" style="42" customWidth="1"/>
    <col min="4" max="4" width="13.08984375" style="42" customWidth="1"/>
    <col min="5" max="5" width="73.54296875" style="43" customWidth="1"/>
    <col min="6" max="6" width="9" style="43" customWidth="1"/>
    <col min="7" max="7" width="17" style="43" customWidth="1"/>
    <col min="8" max="8" width="17" style="42" customWidth="1"/>
    <col min="9" max="16384" width="9.08984375" style="44"/>
  </cols>
  <sheetData>
    <row r="1" spans="1:8" ht="34.5" customHeight="1">
      <c r="A1" s="55" t="s">
        <v>0</v>
      </c>
      <c r="B1" s="55"/>
      <c r="C1" s="55"/>
      <c r="D1" s="55"/>
      <c r="E1" s="55"/>
      <c r="F1" s="55"/>
      <c r="G1" s="55"/>
      <c r="H1" s="55"/>
    </row>
    <row r="2" spans="1:8" s="36" customFormat="1" ht="18.75" customHeight="1">
      <c r="A2" s="41" t="s">
        <v>1</v>
      </c>
      <c r="B2" s="41" t="s">
        <v>2</v>
      </c>
      <c r="C2" s="41" t="s">
        <v>3</v>
      </c>
      <c r="D2" s="41" t="s">
        <v>4</v>
      </c>
      <c r="E2" s="41" t="s">
        <v>5</v>
      </c>
      <c r="F2" s="41" t="s">
        <v>6</v>
      </c>
      <c r="G2" s="41" t="s">
        <v>7</v>
      </c>
      <c r="H2" s="41" t="s">
        <v>8</v>
      </c>
    </row>
    <row r="3" spans="1:8" s="50" customFormat="1" ht="19.5" customHeight="1">
      <c r="A3" s="45">
        <v>45292</v>
      </c>
      <c r="B3" s="46" t="s">
        <v>13</v>
      </c>
      <c r="C3" s="47">
        <v>1</v>
      </c>
      <c r="D3" s="47"/>
      <c r="E3" s="49"/>
      <c r="F3" s="48"/>
      <c r="G3" s="49"/>
      <c r="H3" s="48"/>
    </row>
    <row r="4" spans="1:8" s="50" customFormat="1" ht="19.5" customHeight="1">
      <c r="A4" s="45">
        <v>45292</v>
      </c>
      <c r="B4" s="46" t="s">
        <v>13</v>
      </c>
      <c r="C4" s="47">
        <v>1</v>
      </c>
      <c r="D4" s="47"/>
      <c r="E4" s="49"/>
      <c r="F4" s="48"/>
      <c r="G4" s="49"/>
      <c r="H4" s="48"/>
    </row>
    <row r="5" spans="1:8" s="50" customFormat="1" ht="19.5" customHeight="1">
      <c r="A5" s="45">
        <v>45292</v>
      </c>
      <c r="B5" s="46" t="s">
        <v>13</v>
      </c>
      <c r="C5" s="47">
        <v>1</v>
      </c>
      <c r="D5" s="47"/>
      <c r="E5" s="49"/>
      <c r="F5" s="48"/>
      <c r="G5" s="49"/>
      <c r="H5" s="48"/>
    </row>
    <row r="6" spans="1:8" s="42" customFormat="1" ht="20.149999999999999" customHeight="1">
      <c r="E6" s="43"/>
      <c r="F6" s="43"/>
      <c r="G6" s="43"/>
    </row>
    <row r="7" spans="1:8" s="42" customFormat="1" ht="20.149999999999999" customHeight="1">
      <c r="E7" s="43"/>
      <c r="F7" s="43"/>
      <c r="G7" s="43"/>
    </row>
    <row r="8" spans="1:8" s="42" customFormat="1" ht="20.149999999999999" customHeight="1">
      <c r="E8" s="43"/>
      <c r="F8" s="43"/>
      <c r="G8" s="43"/>
    </row>
    <row r="9" spans="1:8" s="42" customFormat="1" ht="20.149999999999999" customHeight="1">
      <c r="E9" s="43"/>
      <c r="F9" s="43"/>
      <c r="G9" s="43"/>
    </row>
    <row r="10" spans="1:8" s="42" customFormat="1" ht="20.149999999999999" customHeight="1">
      <c r="E10" s="43"/>
      <c r="F10" s="43"/>
      <c r="G10" s="43"/>
    </row>
    <row r="11" spans="1:8" s="42" customFormat="1" ht="20.149999999999999" customHeight="1">
      <c r="E11" s="43"/>
      <c r="F11" s="43"/>
      <c r="G11" s="43"/>
    </row>
    <row r="12" spans="1:8" s="42" customFormat="1" ht="20.149999999999999" customHeight="1">
      <c r="E12" s="43"/>
      <c r="F12" s="43"/>
      <c r="G12" s="43"/>
    </row>
    <row r="13" spans="1:8" s="42" customFormat="1" ht="20.149999999999999" customHeight="1">
      <c r="E13" s="43"/>
      <c r="F13" s="43"/>
      <c r="G13" s="43"/>
    </row>
    <row r="14" spans="1:8" s="42" customFormat="1" ht="20.149999999999999" customHeight="1">
      <c r="E14" s="43"/>
      <c r="F14" s="43"/>
      <c r="G14" s="43"/>
    </row>
    <row r="15" spans="1:8" s="42" customFormat="1" ht="20.149999999999999" customHeight="1">
      <c r="E15" s="43"/>
      <c r="F15" s="43"/>
      <c r="G15" s="43"/>
    </row>
    <row r="16" spans="1:8" s="42" customFormat="1" ht="20.149999999999999" customHeight="1">
      <c r="E16" s="43"/>
      <c r="F16" s="43"/>
      <c r="G16" s="43"/>
    </row>
    <row r="17" spans="5:7" s="42" customFormat="1" ht="20.149999999999999" customHeight="1">
      <c r="E17" s="43"/>
      <c r="F17" s="43"/>
      <c r="G17" s="43"/>
    </row>
    <row r="18" spans="5:7" s="42" customFormat="1" ht="20.149999999999999" customHeight="1">
      <c r="E18" s="43"/>
      <c r="F18" s="43"/>
      <c r="G18" s="43"/>
    </row>
    <row r="19" spans="5:7" s="42" customFormat="1" ht="20.149999999999999" customHeight="1">
      <c r="E19" s="43"/>
      <c r="F19" s="43"/>
      <c r="G19" s="43"/>
    </row>
    <row r="20" spans="5:7" s="42" customFormat="1" ht="20.149999999999999" customHeight="1">
      <c r="E20" s="43"/>
      <c r="F20" s="43"/>
      <c r="G20" s="43"/>
    </row>
    <row r="21" spans="5:7" s="42" customFormat="1" ht="20.149999999999999" customHeight="1">
      <c r="E21" s="43"/>
      <c r="F21" s="43"/>
      <c r="G21" s="43"/>
    </row>
    <row r="22" spans="5:7" s="42" customFormat="1" ht="20.149999999999999" customHeight="1">
      <c r="E22" s="43"/>
      <c r="F22" s="43"/>
      <c r="G22" s="43"/>
    </row>
    <row r="23" spans="5:7" s="42" customFormat="1" ht="20.149999999999999" customHeight="1">
      <c r="E23" s="43"/>
      <c r="F23" s="43"/>
      <c r="G23" s="43"/>
    </row>
    <row r="24" spans="5:7" s="42" customFormat="1" ht="20.149999999999999" customHeight="1">
      <c r="E24" s="43"/>
      <c r="F24" s="43"/>
      <c r="G24" s="43"/>
    </row>
    <row r="25" spans="5:7" s="42" customFormat="1" ht="20.149999999999999" customHeight="1">
      <c r="E25" s="43"/>
      <c r="F25" s="43"/>
      <c r="G25" s="43"/>
    </row>
    <row r="26" spans="5:7" s="42" customFormat="1" ht="20.149999999999999" customHeight="1">
      <c r="E26" s="43"/>
      <c r="F26" s="43"/>
      <c r="G26" s="43"/>
    </row>
    <row r="27" spans="5:7" s="42" customFormat="1" ht="20.149999999999999" customHeight="1">
      <c r="E27" s="43"/>
      <c r="F27" s="43"/>
      <c r="G27" s="43"/>
    </row>
    <row r="28" spans="5:7" s="42" customFormat="1" ht="20.149999999999999" customHeight="1">
      <c r="E28" s="43"/>
      <c r="F28" s="43"/>
      <c r="G28" s="43"/>
    </row>
    <row r="29" spans="5:7" s="42" customFormat="1" ht="20.149999999999999" customHeight="1">
      <c r="E29" s="43"/>
      <c r="F29" s="43"/>
      <c r="G29" s="43"/>
    </row>
    <row r="30" spans="5:7" s="42" customFormat="1" ht="20.149999999999999" customHeight="1">
      <c r="E30" s="43"/>
      <c r="F30" s="43"/>
      <c r="G30" s="43"/>
    </row>
    <row r="31" spans="5:7" s="42" customFormat="1" ht="20.149999999999999" customHeight="1">
      <c r="E31" s="43"/>
      <c r="F31" s="43"/>
      <c r="G31" s="43"/>
    </row>
    <row r="32" spans="5:7" s="42" customFormat="1" ht="20.149999999999999" customHeight="1">
      <c r="E32" s="43"/>
      <c r="F32" s="43"/>
      <c r="G32" s="43"/>
    </row>
    <row r="33" spans="5:7" s="42" customFormat="1" ht="20.149999999999999" customHeight="1">
      <c r="E33" s="43"/>
      <c r="F33" s="43"/>
      <c r="G33" s="43"/>
    </row>
    <row r="34" spans="5:7" s="42" customFormat="1" ht="20.149999999999999" customHeight="1">
      <c r="E34" s="43"/>
      <c r="F34" s="43"/>
      <c r="G34" s="43"/>
    </row>
    <row r="35" spans="5:7" s="42" customFormat="1" ht="20.149999999999999" customHeight="1">
      <c r="E35" s="43"/>
      <c r="F35" s="43"/>
      <c r="G35" s="43"/>
    </row>
    <row r="36" spans="5:7" s="42" customFormat="1" ht="20.149999999999999" customHeight="1">
      <c r="E36" s="43"/>
      <c r="F36" s="43"/>
      <c r="G36" s="43"/>
    </row>
    <row r="37" spans="5:7" s="42" customFormat="1" ht="20.149999999999999" customHeight="1">
      <c r="E37" s="43"/>
      <c r="F37" s="43"/>
      <c r="G37" s="43"/>
    </row>
    <row r="38" spans="5:7" s="42" customFormat="1" ht="20.149999999999999" customHeight="1">
      <c r="E38" s="43"/>
      <c r="F38" s="43"/>
      <c r="G38" s="43"/>
    </row>
    <row r="39" spans="5:7" s="42" customFormat="1" ht="20.149999999999999" customHeight="1">
      <c r="E39" s="43"/>
      <c r="F39" s="43"/>
      <c r="G39" s="43"/>
    </row>
    <row r="40" spans="5:7" s="42" customFormat="1" ht="20.149999999999999" customHeight="1">
      <c r="E40" s="43"/>
      <c r="F40" s="43"/>
      <c r="G40" s="43"/>
    </row>
    <row r="41" spans="5:7" s="42" customFormat="1" ht="20.149999999999999" customHeight="1">
      <c r="E41" s="43"/>
      <c r="F41" s="43"/>
      <c r="G41" s="43"/>
    </row>
    <row r="42" spans="5:7" s="42" customFormat="1" ht="20.149999999999999" customHeight="1">
      <c r="E42" s="43"/>
      <c r="F42" s="43"/>
      <c r="G42" s="43"/>
    </row>
    <row r="43" spans="5:7" s="42" customFormat="1" ht="20.149999999999999" customHeight="1">
      <c r="E43" s="43"/>
      <c r="F43" s="43"/>
      <c r="G43" s="43"/>
    </row>
    <row r="44" spans="5:7" s="42" customFormat="1" ht="20.149999999999999" customHeight="1">
      <c r="E44" s="43"/>
      <c r="F44" s="43"/>
      <c r="G44" s="43"/>
    </row>
    <row r="45" spans="5:7" s="42" customFormat="1" ht="20.149999999999999" customHeight="1">
      <c r="E45" s="43"/>
      <c r="F45" s="43"/>
      <c r="G45" s="43"/>
    </row>
    <row r="46" spans="5:7" s="42" customFormat="1" ht="20.149999999999999" customHeight="1">
      <c r="E46" s="43"/>
      <c r="F46" s="43"/>
      <c r="G46" s="43"/>
    </row>
    <row r="47" spans="5:7" s="42" customFormat="1" ht="20.149999999999999" customHeight="1">
      <c r="E47" s="43"/>
      <c r="F47" s="43"/>
      <c r="G47" s="43"/>
    </row>
    <row r="48" spans="5:7" s="42" customFormat="1" ht="20.149999999999999" customHeight="1">
      <c r="E48" s="43"/>
      <c r="F48" s="43"/>
      <c r="G48" s="43"/>
    </row>
    <row r="49" spans="5:7" s="42" customFormat="1" ht="20.149999999999999" customHeight="1">
      <c r="E49" s="43"/>
      <c r="F49" s="43"/>
      <c r="G49" s="43"/>
    </row>
    <row r="50" spans="5:7" s="42" customFormat="1" ht="20.149999999999999" customHeight="1">
      <c r="E50" s="43"/>
      <c r="F50" s="43"/>
      <c r="G50" s="43"/>
    </row>
    <row r="51" spans="5:7" s="42" customFormat="1" ht="20.149999999999999" customHeight="1">
      <c r="E51" s="43"/>
      <c r="F51" s="43"/>
      <c r="G51" s="43"/>
    </row>
    <row r="52" spans="5:7" s="42" customFormat="1" ht="20.149999999999999" customHeight="1">
      <c r="E52" s="43"/>
      <c r="F52" s="43"/>
      <c r="G52" s="43"/>
    </row>
    <row r="53" spans="5:7" s="42" customFormat="1" ht="20.149999999999999" customHeight="1">
      <c r="E53" s="43"/>
      <c r="F53" s="43"/>
      <c r="G53" s="43"/>
    </row>
    <row r="54" spans="5:7" s="42" customFormat="1" ht="20.149999999999999" customHeight="1">
      <c r="E54" s="43"/>
      <c r="F54" s="43"/>
      <c r="G54" s="43"/>
    </row>
    <row r="55" spans="5:7" s="42" customFormat="1" ht="20.149999999999999" customHeight="1">
      <c r="E55" s="43"/>
      <c r="F55" s="43"/>
      <c r="G55" s="43"/>
    </row>
    <row r="56" spans="5:7" s="42" customFormat="1" ht="20.149999999999999" customHeight="1">
      <c r="E56" s="43"/>
      <c r="F56" s="43"/>
      <c r="G56" s="43"/>
    </row>
    <row r="57" spans="5:7" s="42" customFormat="1" ht="20.149999999999999" customHeight="1">
      <c r="E57" s="43"/>
      <c r="F57" s="43"/>
      <c r="G57" s="43"/>
    </row>
    <row r="58" spans="5:7" s="42" customFormat="1" ht="20.149999999999999" customHeight="1">
      <c r="E58" s="43"/>
      <c r="F58" s="43"/>
      <c r="G58" s="43"/>
    </row>
    <row r="59" spans="5:7" s="42" customFormat="1" ht="20.149999999999999" customHeight="1">
      <c r="E59" s="43"/>
      <c r="F59" s="43"/>
      <c r="G59" s="43"/>
    </row>
    <row r="60" spans="5:7" s="42" customFormat="1" ht="20.149999999999999" customHeight="1">
      <c r="E60" s="43"/>
      <c r="F60" s="43"/>
      <c r="G60" s="43"/>
    </row>
    <row r="61" spans="5:7" s="42" customFormat="1" ht="20.149999999999999" customHeight="1">
      <c r="E61" s="43"/>
      <c r="F61" s="43"/>
      <c r="G61" s="43"/>
    </row>
    <row r="62" spans="5:7" s="42" customFormat="1" ht="20.149999999999999" customHeight="1">
      <c r="E62" s="43"/>
      <c r="F62" s="43"/>
      <c r="G62" s="43"/>
    </row>
    <row r="63" spans="5:7" s="42" customFormat="1" ht="20.149999999999999" customHeight="1">
      <c r="E63" s="43"/>
      <c r="F63" s="43"/>
      <c r="G63" s="43"/>
    </row>
    <row r="64" spans="5:7" s="42" customFormat="1" ht="20.149999999999999" customHeight="1">
      <c r="E64" s="43"/>
      <c r="F64" s="43"/>
      <c r="G64" s="43"/>
    </row>
    <row r="65" spans="5:7" s="42" customFormat="1" ht="20.149999999999999" customHeight="1">
      <c r="E65" s="43"/>
      <c r="F65" s="43"/>
      <c r="G65" s="43"/>
    </row>
    <row r="66" spans="5:7" s="42" customFormat="1" ht="20.149999999999999" customHeight="1">
      <c r="E66" s="43"/>
      <c r="F66" s="43"/>
      <c r="G66" s="43"/>
    </row>
    <row r="67" spans="5:7" s="42" customFormat="1" ht="20.149999999999999" customHeight="1">
      <c r="E67" s="43"/>
      <c r="F67" s="43"/>
      <c r="G67" s="43"/>
    </row>
    <row r="68" spans="5:7" s="42" customFormat="1" ht="20.149999999999999" customHeight="1">
      <c r="E68" s="43"/>
      <c r="F68" s="43"/>
      <c r="G68" s="43"/>
    </row>
    <row r="69" spans="5:7" s="42" customFormat="1" ht="20.149999999999999" customHeight="1">
      <c r="E69" s="43"/>
      <c r="F69" s="43"/>
      <c r="G69" s="43"/>
    </row>
    <row r="70" spans="5:7" s="42" customFormat="1" ht="20.149999999999999" customHeight="1">
      <c r="E70" s="43"/>
      <c r="F70" s="43"/>
      <c r="G70" s="43"/>
    </row>
    <row r="71" spans="5:7" s="42" customFormat="1" ht="20.149999999999999" customHeight="1">
      <c r="E71" s="43"/>
      <c r="F71" s="43"/>
      <c r="G71" s="43"/>
    </row>
    <row r="72" spans="5:7" s="42" customFormat="1" ht="20.149999999999999" customHeight="1">
      <c r="E72" s="43"/>
      <c r="F72" s="43"/>
      <c r="G72" s="43"/>
    </row>
    <row r="73" spans="5:7" s="42" customFormat="1" ht="20.149999999999999" customHeight="1">
      <c r="E73" s="43"/>
      <c r="F73" s="43"/>
      <c r="G73" s="43"/>
    </row>
    <row r="74" spans="5:7" s="42" customFormat="1" ht="20.149999999999999" customHeight="1">
      <c r="E74" s="43"/>
      <c r="F74" s="43"/>
      <c r="G74" s="43"/>
    </row>
    <row r="75" spans="5:7" s="42" customFormat="1" ht="20.149999999999999" customHeight="1">
      <c r="E75" s="43"/>
      <c r="F75" s="43"/>
      <c r="G75" s="43"/>
    </row>
    <row r="76" spans="5:7" s="42" customFormat="1" ht="20.149999999999999" customHeight="1">
      <c r="E76" s="43"/>
      <c r="F76" s="43"/>
      <c r="G76" s="43"/>
    </row>
    <row r="77" spans="5:7" s="42" customFormat="1" ht="20.149999999999999" customHeight="1">
      <c r="E77" s="43"/>
      <c r="F77" s="43"/>
      <c r="G77" s="43"/>
    </row>
    <row r="78" spans="5:7" s="42" customFormat="1" ht="20.149999999999999" customHeight="1">
      <c r="E78" s="43"/>
      <c r="F78" s="43"/>
      <c r="G78" s="43"/>
    </row>
    <row r="79" spans="5:7" s="42" customFormat="1" ht="20.149999999999999" customHeight="1">
      <c r="E79" s="43"/>
      <c r="F79" s="43"/>
      <c r="G79" s="43"/>
    </row>
    <row r="80" spans="5:7" s="42" customFormat="1" ht="20.149999999999999" customHeight="1">
      <c r="E80" s="43"/>
      <c r="F80" s="43"/>
      <c r="G80" s="43"/>
    </row>
    <row r="81" spans="5:7" s="42" customFormat="1" ht="20.149999999999999" customHeight="1">
      <c r="E81" s="43"/>
      <c r="F81" s="43"/>
      <c r="G81" s="43"/>
    </row>
    <row r="82" spans="5:7" s="42" customFormat="1" ht="20.149999999999999" customHeight="1">
      <c r="E82" s="43"/>
      <c r="F82" s="43"/>
      <c r="G82" s="43"/>
    </row>
    <row r="83" spans="5:7" s="42" customFormat="1" ht="20.149999999999999" customHeight="1">
      <c r="E83" s="43"/>
      <c r="F83" s="43"/>
      <c r="G83" s="43"/>
    </row>
    <row r="84" spans="5:7" s="42" customFormat="1" ht="20.149999999999999" customHeight="1">
      <c r="E84" s="43"/>
      <c r="F84" s="43"/>
      <c r="G84" s="43"/>
    </row>
    <row r="85" spans="5:7" s="42" customFormat="1" ht="20.149999999999999" customHeight="1">
      <c r="E85" s="43"/>
      <c r="F85" s="43"/>
      <c r="G85" s="43"/>
    </row>
    <row r="86" spans="5:7" s="42" customFormat="1" ht="20.149999999999999" customHeight="1">
      <c r="E86" s="43"/>
      <c r="F86" s="43"/>
      <c r="G86" s="43"/>
    </row>
    <row r="87" spans="5:7" s="42" customFormat="1" ht="20.149999999999999" customHeight="1">
      <c r="E87" s="43"/>
      <c r="F87" s="43"/>
      <c r="G87" s="43"/>
    </row>
    <row r="88" spans="5:7" s="42" customFormat="1" ht="20.149999999999999" customHeight="1">
      <c r="E88" s="43"/>
      <c r="F88" s="43"/>
      <c r="G88" s="43"/>
    </row>
    <row r="89" spans="5:7" s="42" customFormat="1" ht="20.149999999999999" customHeight="1">
      <c r="E89" s="43"/>
      <c r="F89" s="43"/>
      <c r="G89" s="43"/>
    </row>
    <row r="90" spans="5:7" s="42" customFormat="1" ht="20.149999999999999" customHeight="1">
      <c r="E90" s="43"/>
      <c r="F90" s="43"/>
      <c r="G90" s="43"/>
    </row>
    <row r="91" spans="5:7" s="42" customFormat="1" ht="20.149999999999999" customHeight="1">
      <c r="E91" s="43"/>
      <c r="F91" s="43"/>
      <c r="G91" s="43"/>
    </row>
    <row r="92" spans="5:7" s="42" customFormat="1" ht="20.149999999999999" customHeight="1">
      <c r="E92" s="43"/>
      <c r="F92" s="43"/>
      <c r="G92" s="43"/>
    </row>
    <row r="93" spans="5:7" s="42" customFormat="1" ht="20.149999999999999" customHeight="1">
      <c r="E93" s="43"/>
      <c r="F93" s="43"/>
      <c r="G93" s="43"/>
    </row>
    <row r="94" spans="5:7" s="42" customFormat="1" ht="20.149999999999999" customHeight="1">
      <c r="E94" s="43"/>
      <c r="F94" s="43"/>
      <c r="G94" s="43"/>
    </row>
    <row r="95" spans="5:7" s="42" customFormat="1" ht="20.149999999999999" customHeight="1">
      <c r="E95" s="43"/>
      <c r="F95" s="43"/>
      <c r="G95" s="43"/>
    </row>
    <row r="96" spans="5:7" s="42" customFormat="1" ht="20.149999999999999" customHeight="1">
      <c r="E96" s="43"/>
      <c r="F96" s="43"/>
      <c r="G96" s="43"/>
    </row>
    <row r="97" spans="5:7" s="42" customFormat="1" ht="20.149999999999999" customHeight="1">
      <c r="E97" s="43"/>
      <c r="F97" s="43"/>
      <c r="G97" s="43"/>
    </row>
    <row r="98" spans="5:7" s="42" customFormat="1" ht="20.149999999999999" customHeight="1">
      <c r="E98" s="43"/>
      <c r="F98" s="43"/>
      <c r="G98" s="43"/>
    </row>
    <row r="99" spans="5:7" s="42" customFormat="1" ht="20.149999999999999" customHeight="1">
      <c r="E99" s="43"/>
      <c r="F99" s="43"/>
      <c r="G99" s="43"/>
    </row>
    <row r="100" spans="5:7" s="42" customFormat="1" ht="20.149999999999999" customHeight="1">
      <c r="E100" s="43"/>
      <c r="F100" s="43"/>
      <c r="G100" s="43"/>
    </row>
    <row r="101" spans="5:7" s="42" customFormat="1" ht="20.149999999999999" customHeight="1">
      <c r="E101" s="43"/>
      <c r="F101" s="43"/>
      <c r="G101" s="43"/>
    </row>
    <row r="102" spans="5:7" s="42" customFormat="1" ht="20.149999999999999" customHeight="1">
      <c r="E102" s="43"/>
      <c r="F102" s="43"/>
      <c r="G102" s="43"/>
    </row>
    <row r="103" spans="5:7" s="42" customFormat="1" ht="20.149999999999999" customHeight="1">
      <c r="E103" s="43"/>
      <c r="F103" s="43"/>
      <c r="G103" s="43"/>
    </row>
    <row r="104" spans="5:7" s="42" customFormat="1" ht="20.149999999999999" customHeight="1">
      <c r="E104" s="43"/>
      <c r="F104" s="43"/>
      <c r="G104" s="43"/>
    </row>
    <row r="105" spans="5:7" s="42" customFormat="1" ht="20.149999999999999" customHeight="1">
      <c r="E105" s="43"/>
      <c r="F105" s="43"/>
      <c r="G105" s="43"/>
    </row>
    <row r="106" spans="5:7" s="42" customFormat="1" ht="20.149999999999999" customHeight="1">
      <c r="E106" s="43"/>
      <c r="F106" s="43"/>
      <c r="G106" s="43"/>
    </row>
    <row r="107" spans="5:7" s="42" customFormat="1" ht="20.149999999999999" customHeight="1">
      <c r="E107" s="43"/>
      <c r="F107" s="43"/>
      <c r="G107" s="43"/>
    </row>
    <row r="108" spans="5:7" s="42" customFormat="1" ht="20.149999999999999" customHeight="1">
      <c r="E108" s="43"/>
      <c r="F108" s="43"/>
      <c r="G108" s="43"/>
    </row>
    <row r="109" spans="5:7" s="42" customFormat="1" ht="20.149999999999999" customHeight="1">
      <c r="E109" s="43"/>
      <c r="F109" s="43"/>
      <c r="G109" s="43"/>
    </row>
    <row r="110" spans="5:7" s="42" customFormat="1" ht="20.149999999999999" customHeight="1">
      <c r="E110" s="43"/>
      <c r="F110" s="43"/>
      <c r="G110" s="43"/>
    </row>
    <row r="111" spans="5:7" s="42" customFormat="1" ht="20.149999999999999" customHeight="1">
      <c r="E111" s="43"/>
      <c r="F111" s="43"/>
      <c r="G111" s="43"/>
    </row>
    <row r="112" spans="5:7" s="42" customFormat="1" ht="20.149999999999999" customHeight="1">
      <c r="E112" s="43"/>
      <c r="F112" s="43"/>
      <c r="G112" s="43"/>
    </row>
    <row r="113" spans="5:7" s="42" customFormat="1" ht="20.149999999999999" customHeight="1">
      <c r="E113" s="43"/>
      <c r="F113" s="43"/>
      <c r="G113" s="43"/>
    </row>
    <row r="114" spans="5:7" s="42" customFormat="1" ht="20.149999999999999" customHeight="1">
      <c r="E114" s="43"/>
      <c r="F114" s="43"/>
      <c r="G114" s="43"/>
    </row>
    <row r="115" spans="5:7" s="42" customFormat="1" ht="20.149999999999999" customHeight="1">
      <c r="E115" s="43"/>
      <c r="F115" s="43"/>
      <c r="G115" s="43"/>
    </row>
    <row r="116" spans="5:7" s="42" customFormat="1" ht="20.149999999999999" customHeight="1">
      <c r="E116" s="43"/>
      <c r="F116" s="43"/>
      <c r="G116" s="43"/>
    </row>
    <row r="117" spans="5:7" s="42" customFormat="1" ht="20.149999999999999" customHeight="1">
      <c r="E117" s="43"/>
      <c r="F117" s="43"/>
      <c r="G117" s="43"/>
    </row>
    <row r="118" spans="5:7" s="42" customFormat="1" ht="20.149999999999999" customHeight="1">
      <c r="E118" s="43"/>
      <c r="F118" s="43"/>
      <c r="G118" s="43"/>
    </row>
    <row r="119" spans="5:7" s="42" customFormat="1" ht="20.149999999999999" customHeight="1">
      <c r="E119" s="43"/>
      <c r="F119" s="43"/>
      <c r="G119" s="43"/>
    </row>
    <row r="120" spans="5:7" s="42" customFormat="1" ht="20.149999999999999" customHeight="1">
      <c r="E120" s="43"/>
      <c r="F120" s="43"/>
      <c r="G120" s="43"/>
    </row>
    <row r="121" spans="5:7" s="42" customFormat="1" ht="20.149999999999999" customHeight="1">
      <c r="E121" s="43"/>
      <c r="F121" s="43"/>
      <c r="G121" s="43"/>
    </row>
    <row r="122" spans="5:7" s="42" customFormat="1" ht="20.149999999999999" customHeight="1">
      <c r="E122" s="43"/>
      <c r="F122" s="43"/>
      <c r="G122" s="43"/>
    </row>
    <row r="123" spans="5:7" s="42" customFormat="1" ht="20.149999999999999" customHeight="1">
      <c r="E123" s="43"/>
      <c r="F123" s="43"/>
      <c r="G123" s="43"/>
    </row>
    <row r="124" spans="5:7" s="42" customFormat="1" ht="20.149999999999999" customHeight="1">
      <c r="E124" s="43"/>
      <c r="F124" s="43"/>
      <c r="G124" s="43"/>
    </row>
    <row r="125" spans="5:7" s="42" customFormat="1" ht="20.149999999999999" customHeight="1">
      <c r="E125" s="43"/>
      <c r="F125" s="43"/>
      <c r="G125" s="43"/>
    </row>
    <row r="126" spans="5:7" s="42" customFormat="1" ht="20.149999999999999" customHeight="1">
      <c r="E126" s="43"/>
      <c r="F126" s="43"/>
      <c r="G126" s="43"/>
    </row>
    <row r="127" spans="5:7" s="42" customFormat="1" ht="20.149999999999999" customHeight="1">
      <c r="E127" s="43"/>
      <c r="F127" s="43"/>
      <c r="G127" s="43"/>
    </row>
    <row r="128" spans="5:7" s="42" customFormat="1" ht="20.149999999999999" customHeight="1">
      <c r="E128" s="43"/>
      <c r="F128" s="43"/>
      <c r="G128" s="43"/>
    </row>
    <row r="129" spans="5:7" s="42" customFormat="1" ht="20.149999999999999" customHeight="1">
      <c r="E129" s="43"/>
      <c r="F129" s="43"/>
      <c r="G129" s="43"/>
    </row>
    <row r="130" spans="5:7" s="42" customFormat="1" ht="20.149999999999999" customHeight="1">
      <c r="E130" s="43"/>
      <c r="F130" s="43"/>
      <c r="G130" s="43"/>
    </row>
    <row r="131" spans="5:7" s="42" customFormat="1" ht="20.149999999999999" customHeight="1">
      <c r="E131" s="43"/>
      <c r="F131" s="43"/>
      <c r="G131" s="43"/>
    </row>
    <row r="132" spans="5:7" s="42" customFormat="1" ht="20.149999999999999" customHeight="1">
      <c r="E132" s="43"/>
      <c r="F132" s="43"/>
      <c r="G132" s="43"/>
    </row>
    <row r="133" spans="5:7" s="42" customFormat="1" ht="20.149999999999999" customHeight="1">
      <c r="E133" s="43"/>
      <c r="F133" s="43"/>
      <c r="G133" s="43"/>
    </row>
    <row r="134" spans="5:7" s="42" customFormat="1" ht="20.149999999999999" customHeight="1">
      <c r="E134" s="43"/>
      <c r="F134" s="43"/>
      <c r="G134" s="43"/>
    </row>
    <row r="135" spans="5:7" s="42" customFormat="1" ht="20.149999999999999" customHeight="1">
      <c r="E135" s="43"/>
      <c r="F135" s="43"/>
      <c r="G135" s="43"/>
    </row>
    <row r="136" spans="5:7" s="42" customFormat="1" ht="20.149999999999999" customHeight="1">
      <c r="E136" s="43"/>
      <c r="F136" s="43"/>
      <c r="G136" s="43"/>
    </row>
    <row r="137" spans="5:7" s="42" customFormat="1" ht="20.149999999999999" customHeight="1">
      <c r="E137" s="43"/>
      <c r="F137" s="43"/>
      <c r="G137" s="43"/>
    </row>
    <row r="138" spans="5:7" s="42" customFormat="1" ht="20.149999999999999" customHeight="1">
      <c r="E138" s="43"/>
      <c r="F138" s="43"/>
      <c r="G138" s="43"/>
    </row>
    <row r="139" spans="5:7" s="42" customFormat="1" ht="20.149999999999999" customHeight="1">
      <c r="E139" s="43"/>
      <c r="F139" s="43"/>
      <c r="G139" s="43"/>
    </row>
    <row r="140" spans="5:7" s="42" customFormat="1" ht="20.149999999999999" customHeight="1">
      <c r="E140" s="43"/>
      <c r="F140" s="43"/>
      <c r="G140" s="43"/>
    </row>
    <row r="141" spans="5:7" s="42" customFormat="1" ht="20.149999999999999" customHeight="1">
      <c r="E141" s="43"/>
      <c r="F141" s="43"/>
      <c r="G141" s="43"/>
    </row>
    <row r="142" spans="5:7" s="42" customFormat="1" ht="20.149999999999999" customHeight="1">
      <c r="E142" s="43"/>
      <c r="F142" s="43"/>
      <c r="G142" s="43"/>
    </row>
    <row r="143" spans="5:7" s="42" customFormat="1" ht="20.149999999999999" customHeight="1">
      <c r="E143" s="43"/>
      <c r="F143" s="43"/>
      <c r="G143" s="43"/>
    </row>
    <row r="144" spans="5:7" s="42" customFormat="1" ht="20.149999999999999" customHeight="1">
      <c r="E144" s="43"/>
      <c r="F144" s="43"/>
      <c r="G144" s="43"/>
    </row>
    <row r="145" spans="5:7" s="42" customFormat="1" ht="20.149999999999999" customHeight="1">
      <c r="E145" s="43"/>
      <c r="F145" s="43"/>
      <c r="G145" s="43"/>
    </row>
    <row r="146" spans="5:7" s="42" customFormat="1" ht="20.149999999999999" customHeight="1">
      <c r="E146" s="43"/>
      <c r="F146" s="43"/>
      <c r="G146" s="43"/>
    </row>
    <row r="147" spans="5:7" s="42" customFormat="1" ht="20.149999999999999" customHeight="1">
      <c r="E147" s="43"/>
      <c r="F147" s="43"/>
      <c r="G147" s="43"/>
    </row>
    <row r="148" spans="5:7" s="42" customFormat="1" ht="20.149999999999999" customHeight="1">
      <c r="E148" s="43"/>
      <c r="F148" s="43"/>
      <c r="G148" s="43"/>
    </row>
  </sheetData>
  <sheetProtection selectLockedCells="1" selectUnlockedCells="1"/>
  <autoFilter ref="A2:H5" xr:uid="{00000000-0009-0000-0000-000000000000}"/>
  <mergeCells count="1">
    <mergeCell ref="A1:H1"/>
  </mergeCells>
  <dataValidations count="2">
    <dataValidation type="list" allowBlank="1" showInputMessage="1" showErrorMessage="1" sqref="D3:D5" xr:uid="{00000000-0002-0000-0000-000000000000}">
      <formula1>"首件,设备参数"</formula1>
    </dataValidation>
    <dataValidation type="list" allowBlank="1" showErrorMessage="1" sqref="H3:H5" xr:uid="{00000000-0002-0000-0000-000001000000}">
      <formula1>"Closed,Ongoing"</formula1>
    </dataValidation>
  </dataValidations>
  <pageMargins left="0.15972222222222199" right="9.0277777777777804E-2" top="1" bottom="1" header="0.51180555555555596" footer="0.51180555555555596"/>
  <pageSetup paperSize="9" scale="56" firstPageNumber="0" orientation="landscape" useFirstPageNumber="1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I175"/>
  <sheetViews>
    <sheetView showGridLines="0" tabSelected="1" zoomScale="93" zoomScaleNormal="93" workbookViewId="0">
      <pane ySplit="2" topLeftCell="A171" activePane="bottomLeft" state="frozen"/>
      <selection pane="bottomLeft" activeCell="F180" sqref="F180"/>
    </sheetView>
  </sheetViews>
  <sheetFormatPr defaultColWidth="8.7265625" defaultRowHeight="12.5"/>
  <cols>
    <col min="1" max="1" width="13.54296875" style="37" customWidth="1"/>
    <col min="2" max="3" width="10.36328125" style="37" customWidth="1"/>
    <col min="4" max="4" width="27" style="37" customWidth="1"/>
    <col min="5" max="5" width="13.26953125" style="37" customWidth="1"/>
    <col min="6" max="6" width="39.90625" style="38" customWidth="1"/>
    <col min="7" max="7" width="10.08984375" style="39" customWidth="1"/>
    <col min="8" max="8" width="46.81640625" style="40" customWidth="1"/>
    <col min="9" max="1025" width="9.08984375" style="40" customWidth="1"/>
    <col min="1026" max="16384" width="8.7265625" style="40"/>
  </cols>
  <sheetData>
    <row r="1" spans="1:9" ht="34.5" customHeight="1">
      <c r="A1" s="56" t="s">
        <v>9</v>
      </c>
      <c r="B1" s="56"/>
      <c r="C1" s="56"/>
      <c r="D1" s="56"/>
      <c r="E1" s="56"/>
      <c r="F1" s="56"/>
      <c r="G1" s="56"/>
      <c r="H1" s="56"/>
      <c r="I1" s="40">
        <f ca="1">COUNTIF($H$3:$H$1000,"&lt;&gt;")/(MONTH(TODAY())-1)</f>
        <v>0.8571428571428571</v>
      </c>
    </row>
    <row r="2" spans="1:9" s="52" customFormat="1" ht="18.75" customHeight="1">
      <c r="A2" s="53" t="s">
        <v>1</v>
      </c>
      <c r="B2" s="53" t="s">
        <v>2</v>
      </c>
      <c r="C2" s="53" t="s">
        <v>3</v>
      </c>
      <c r="D2" s="53" t="s">
        <v>10</v>
      </c>
      <c r="E2" s="53" t="s">
        <v>11</v>
      </c>
      <c r="F2" s="53" t="s">
        <v>5</v>
      </c>
      <c r="G2" s="53" t="s">
        <v>47</v>
      </c>
      <c r="H2" s="53" t="s">
        <v>12</v>
      </c>
    </row>
    <row r="3" spans="1:9" s="50" customFormat="1" ht="19.5" customHeight="1">
      <c r="A3" s="45">
        <v>46028</v>
      </c>
      <c r="B3" s="46" t="s">
        <v>13</v>
      </c>
      <c r="C3" s="47">
        <v>2</v>
      </c>
      <c r="D3" s="48" t="s">
        <v>57</v>
      </c>
      <c r="E3" s="48" t="s">
        <v>15</v>
      </c>
      <c r="F3" s="49" t="s">
        <v>58</v>
      </c>
      <c r="G3" s="48">
        <v>1</v>
      </c>
      <c r="H3" s="49"/>
    </row>
    <row r="4" spans="1:9" s="50" customFormat="1" ht="19.5" customHeight="1">
      <c r="A4" s="45">
        <v>46029</v>
      </c>
      <c r="B4" s="46" t="s">
        <v>13</v>
      </c>
      <c r="C4" s="47">
        <v>2</v>
      </c>
      <c r="D4" s="48" t="s">
        <v>57</v>
      </c>
      <c r="E4" s="48" t="s">
        <v>15</v>
      </c>
      <c r="F4" s="49" t="s">
        <v>58</v>
      </c>
      <c r="G4" s="48">
        <v>1</v>
      </c>
      <c r="H4" s="49"/>
    </row>
    <row r="5" spans="1:9" s="50" customFormat="1" ht="19.5" customHeight="1">
      <c r="A5" s="45">
        <v>46029</v>
      </c>
      <c r="B5" s="46" t="s">
        <v>13</v>
      </c>
      <c r="C5" s="47">
        <v>2</v>
      </c>
      <c r="D5" s="48" t="s">
        <v>57</v>
      </c>
      <c r="E5" s="48" t="s">
        <v>24</v>
      </c>
      <c r="F5" s="49" t="s">
        <v>59</v>
      </c>
      <c r="G5" s="48">
        <v>1</v>
      </c>
      <c r="H5" s="49"/>
    </row>
    <row r="6" spans="1:9" s="50" customFormat="1" ht="19.5" customHeight="1">
      <c r="A6" s="45">
        <v>46032</v>
      </c>
      <c r="B6" s="46" t="s">
        <v>13</v>
      </c>
      <c r="C6" s="47">
        <v>2</v>
      </c>
      <c r="D6" s="48" t="s">
        <v>56</v>
      </c>
      <c r="E6" s="48" t="s">
        <v>19</v>
      </c>
      <c r="F6" s="49" t="s">
        <v>60</v>
      </c>
      <c r="G6" s="48">
        <v>2</v>
      </c>
      <c r="H6" s="49"/>
    </row>
    <row r="7" spans="1:9" s="50" customFormat="1" ht="19.5" customHeight="1">
      <c r="A7" s="45">
        <v>46038</v>
      </c>
      <c r="B7" s="46" t="s">
        <v>13</v>
      </c>
      <c r="C7" s="47">
        <v>3</v>
      </c>
      <c r="D7" s="48" t="s">
        <v>56</v>
      </c>
      <c r="E7" s="48" t="s">
        <v>18</v>
      </c>
      <c r="F7" s="49" t="s">
        <v>61</v>
      </c>
      <c r="G7" s="48">
        <v>1</v>
      </c>
      <c r="H7" s="49"/>
    </row>
    <row r="8" spans="1:9" s="50" customFormat="1" ht="19.5" customHeight="1">
      <c r="A8" s="45">
        <v>46038</v>
      </c>
      <c r="B8" s="46" t="s">
        <v>13</v>
      </c>
      <c r="C8" s="47">
        <v>3</v>
      </c>
      <c r="D8" s="48" t="s">
        <v>56</v>
      </c>
      <c r="E8" s="48" t="s">
        <v>24</v>
      </c>
      <c r="F8" s="49" t="s">
        <v>59</v>
      </c>
      <c r="G8" s="48">
        <v>1</v>
      </c>
      <c r="H8" s="49"/>
    </row>
    <row r="9" spans="1:9" s="50" customFormat="1" ht="19.5" customHeight="1">
      <c r="A9" s="45">
        <v>46038</v>
      </c>
      <c r="B9" s="46" t="s">
        <v>13</v>
      </c>
      <c r="C9" s="47">
        <v>3</v>
      </c>
      <c r="D9" s="48" t="s">
        <v>56</v>
      </c>
      <c r="E9" s="48" t="s">
        <v>19</v>
      </c>
      <c r="F9" s="49" t="s">
        <v>62</v>
      </c>
      <c r="G9" s="48">
        <v>1</v>
      </c>
      <c r="H9" s="49"/>
    </row>
    <row r="10" spans="1:9" s="50" customFormat="1" ht="19.5" customHeight="1">
      <c r="A10" s="45">
        <v>46038</v>
      </c>
      <c r="B10" s="46" t="s">
        <v>13</v>
      </c>
      <c r="C10" s="47">
        <v>3</v>
      </c>
      <c r="D10" s="48" t="s">
        <v>56</v>
      </c>
      <c r="E10" s="48" t="s">
        <v>19</v>
      </c>
      <c r="F10" s="49" t="s">
        <v>63</v>
      </c>
      <c r="G10" s="48">
        <v>1</v>
      </c>
      <c r="H10" s="49"/>
    </row>
    <row r="11" spans="1:9" s="50" customFormat="1" ht="19.5" customHeight="1">
      <c r="A11" s="45">
        <v>46038</v>
      </c>
      <c r="B11" s="46" t="s">
        <v>13</v>
      </c>
      <c r="C11" s="47">
        <v>3</v>
      </c>
      <c r="D11" s="48" t="s">
        <v>56</v>
      </c>
      <c r="E11" s="48" t="s">
        <v>25</v>
      </c>
      <c r="F11" s="49" t="s">
        <v>64</v>
      </c>
      <c r="G11" s="48">
        <v>1</v>
      </c>
      <c r="H11" s="49"/>
    </row>
    <row r="12" spans="1:9" s="50" customFormat="1" ht="19.5" customHeight="1">
      <c r="A12" s="45">
        <v>46039</v>
      </c>
      <c r="B12" s="46" t="s">
        <v>13</v>
      </c>
      <c r="C12" s="47">
        <v>3</v>
      </c>
      <c r="D12" s="48" t="s">
        <v>56</v>
      </c>
      <c r="E12" s="48" t="s">
        <v>19</v>
      </c>
      <c r="F12" s="49" t="s">
        <v>65</v>
      </c>
      <c r="G12" s="48">
        <v>2</v>
      </c>
      <c r="H12" s="49"/>
    </row>
    <row r="13" spans="1:9" s="50" customFormat="1" ht="19.5" customHeight="1">
      <c r="A13" s="45">
        <v>46039</v>
      </c>
      <c r="B13" s="46" t="s">
        <v>13</v>
      </c>
      <c r="C13" s="47">
        <v>3</v>
      </c>
      <c r="D13" s="48" t="s">
        <v>56</v>
      </c>
      <c r="E13" s="48" t="s">
        <v>23</v>
      </c>
      <c r="F13" s="49" t="s">
        <v>66</v>
      </c>
      <c r="G13" s="48">
        <v>1</v>
      </c>
      <c r="H13" s="49"/>
    </row>
    <row r="14" spans="1:9" s="50" customFormat="1" ht="19.5" customHeight="1">
      <c r="A14" s="45">
        <v>46039</v>
      </c>
      <c r="B14" s="46" t="s">
        <v>13</v>
      </c>
      <c r="C14" s="47">
        <v>3</v>
      </c>
      <c r="D14" s="48" t="s">
        <v>56</v>
      </c>
      <c r="E14" s="48" t="s">
        <v>23</v>
      </c>
      <c r="F14" s="49" t="s">
        <v>67</v>
      </c>
      <c r="G14" s="48">
        <v>1</v>
      </c>
      <c r="H14" s="49"/>
    </row>
    <row r="15" spans="1:9" s="50" customFormat="1" ht="19.5" customHeight="1">
      <c r="A15" s="45">
        <v>46039</v>
      </c>
      <c r="B15" s="46" t="s">
        <v>13</v>
      </c>
      <c r="C15" s="47">
        <v>3</v>
      </c>
      <c r="D15" s="48" t="s">
        <v>56</v>
      </c>
      <c r="E15" s="48" t="s">
        <v>18</v>
      </c>
      <c r="F15" s="49" t="s">
        <v>85</v>
      </c>
      <c r="G15" s="48">
        <v>1</v>
      </c>
      <c r="H15" s="49"/>
    </row>
    <row r="16" spans="1:9" s="50" customFormat="1" ht="19.5" customHeight="1">
      <c r="A16" s="45">
        <v>46041</v>
      </c>
      <c r="B16" s="46" t="s">
        <v>13</v>
      </c>
      <c r="C16" s="47">
        <v>4</v>
      </c>
      <c r="D16" s="48" t="s">
        <v>56</v>
      </c>
      <c r="E16" s="48" t="s">
        <v>23</v>
      </c>
      <c r="F16" s="49" t="s">
        <v>68</v>
      </c>
      <c r="G16" s="48">
        <v>2</v>
      </c>
      <c r="H16" s="49"/>
    </row>
    <row r="17" spans="1:8" s="50" customFormat="1" ht="19.5" customHeight="1">
      <c r="A17" s="45">
        <v>46042</v>
      </c>
      <c r="B17" s="46" t="s">
        <v>13</v>
      </c>
      <c r="C17" s="47">
        <v>4</v>
      </c>
      <c r="D17" s="48" t="s">
        <v>56</v>
      </c>
      <c r="E17" s="48" t="s">
        <v>24</v>
      </c>
      <c r="F17" s="49" t="s">
        <v>69</v>
      </c>
      <c r="G17" s="48">
        <v>1</v>
      </c>
      <c r="H17" s="49"/>
    </row>
    <row r="18" spans="1:8" s="50" customFormat="1" ht="19.5" customHeight="1">
      <c r="A18" s="45">
        <v>46042</v>
      </c>
      <c r="B18" s="46" t="s">
        <v>13</v>
      </c>
      <c r="C18" s="47">
        <v>4</v>
      </c>
      <c r="D18" s="48" t="s">
        <v>56</v>
      </c>
      <c r="E18" s="48" t="s">
        <v>23</v>
      </c>
      <c r="F18" s="49" t="s">
        <v>67</v>
      </c>
      <c r="G18" s="48">
        <v>1</v>
      </c>
      <c r="H18" s="49"/>
    </row>
    <row r="19" spans="1:8" s="50" customFormat="1" ht="19.5" customHeight="1">
      <c r="A19" s="45">
        <v>46042</v>
      </c>
      <c r="B19" s="46" t="s">
        <v>13</v>
      </c>
      <c r="C19" s="47">
        <v>4</v>
      </c>
      <c r="D19" s="48" t="s">
        <v>56</v>
      </c>
      <c r="E19" s="48" t="s">
        <v>23</v>
      </c>
      <c r="F19" s="49" t="s">
        <v>68</v>
      </c>
      <c r="G19" s="48">
        <v>2</v>
      </c>
      <c r="H19" s="49"/>
    </row>
    <row r="20" spans="1:8" s="50" customFormat="1" ht="19.5" customHeight="1">
      <c r="A20" s="45">
        <v>46042</v>
      </c>
      <c r="B20" s="46" t="s">
        <v>13</v>
      </c>
      <c r="C20" s="47">
        <v>4</v>
      </c>
      <c r="D20" s="48" t="s">
        <v>56</v>
      </c>
      <c r="E20" s="48" t="s">
        <v>23</v>
      </c>
      <c r="F20" s="49" t="s">
        <v>68</v>
      </c>
      <c r="G20" s="48">
        <v>2</v>
      </c>
      <c r="H20" s="49"/>
    </row>
    <row r="21" spans="1:8" s="50" customFormat="1" ht="19.5" customHeight="1">
      <c r="A21" s="45">
        <v>46042</v>
      </c>
      <c r="B21" s="46" t="s">
        <v>13</v>
      </c>
      <c r="C21" s="47">
        <v>4</v>
      </c>
      <c r="D21" s="48" t="s">
        <v>56</v>
      </c>
      <c r="E21" s="48" t="s">
        <v>23</v>
      </c>
      <c r="F21" s="49" t="s">
        <v>68</v>
      </c>
      <c r="G21" s="48">
        <v>2</v>
      </c>
      <c r="H21" s="49"/>
    </row>
    <row r="22" spans="1:8" s="50" customFormat="1" ht="19.5" customHeight="1">
      <c r="A22" s="45">
        <v>46043</v>
      </c>
      <c r="B22" s="46" t="s">
        <v>13</v>
      </c>
      <c r="C22" s="47">
        <v>4</v>
      </c>
      <c r="D22" s="48" t="s">
        <v>57</v>
      </c>
      <c r="E22" s="48" t="s">
        <v>19</v>
      </c>
      <c r="F22" s="49" t="s">
        <v>72</v>
      </c>
      <c r="G22" s="48">
        <v>1</v>
      </c>
      <c r="H22" s="49"/>
    </row>
    <row r="23" spans="1:8" s="50" customFormat="1" ht="19.5" customHeight="1">
      <c r="A23" s="45">
        <v>46043</v>
      </c>
      <c r="B23" s="46" t="s">
        <v>13</v>
      </c>
      <c r="C23" s="47">
        <v>4</v>
      </c>
      <c r="D23" s="48" t="s">
        <v>57</v>
      </c>
      <c r="E23" s="48" t="s">
        <v>70</v>
      </c>
      <c r="F23" s="49" t="s">
        <v>71</v>
      </c>
      <c r="G23" s="48">
        <v>1</v>
      </c>
      <c r="H23" s="49"/>
    </row>
    <row r="24" spans="1:8" s="50" customFormat="1" ht="19.5" customHeight="1">
      <c r="A24" s="45">
        <v>46043</v>
      </c>
      <c r="B24" s="46" t="s">
        <v>13</v>
      </c>
      <c r="C24" s="47">
        <v>4</v>
      </c>
      <c r="D24" s="48" t="s">
        <v>57</v>
      </c>
      <c r="E24" s="48" t="s">
        <v>15</v>
      </c>
      <c r="F24" s="49" t="s">
        <v>58</v>
      </c>
      <c r="G24" s="48">
        <v>1</v>
      </c>
      <c r="H24" s="49"/>
    </row>
    <row r="25" spans="1:8" s="50" customFormat="1" ht="19.5" customHeight="1">
      <c r="A25" s="45">
        <v>46044</v>
      </c>
      <c r="B25" s="46" t="s">
        <v>13</v>
      </c>
      <c r="C25" s="47">
        <v>4</v>
      </c>
      <c r="D25" s="48" t="s">
        <v>57</v>
      </c>
      <c r="E25" s="48" t="s">
        <v>18</v>
      </c>
      <c r="F25" s="49" t="s">
        <v>73</v>
      </c>
      <c r="G25" s="48">
        <v>2</v>
      </c>
      <c r="H25" s="49"/>
    </row>
    <row r="26" spans="1:8" s="50" customFormat="1" ht="19.5" customHeight="1">
      <c r="A26" s="45">
        <v>46046</v>
      </c>
      <c r="B26" s="46" t="s">
        <v>13</v>
      </c>
      <c r="C26" s="47">
        <v>4</v>
      </c>
      <c r="D26" s="48" t="s">
        <v>57</v>
      </c>
      <c r="E26" s="48" t="s">
        <v>19</v>
      </c>
      <c r="F26" s="49" t="s">
        <v>74</v>
      </c>
      <c r="G26" s="48">
        <v>1</v>
      </c>
      <c r="H26" s="49"/>
    </row>
    <row r="27" spans="1:8" s="50" customFormat="1" ht="19.5" customHeight="1">
      <c r="A27" s="45">
        <v>46046</v>
      </c>
      <c r="B27" s="46" t="s">
        <v>13</v>
      </c>
      <c r="C27" s="47">
        <v>4</v>
      </c>
      <c r="D27" s="48" t="s">
        <v>57</v>
      </c>
      <c r="E27" s="48" t="s">
        <v>19</v>
      </c>
      <c r="F27" s="49" t="s">
        <v>75</v>
      </c>
      <c r="G27" s="48">
        <v>1</v>
      </c>
      <c r="H27" s="49"/>
    </row>
    <row r="28" spans="1:8" s="50" customFormat="1" ht="19.5" customHeight="1">
      <c r="A28" s="45">
        <v>46048</v>
      </c>
      <c r="B28" s="46" t="s">
        <v>13</v>
      </c>
      <c r="C28" s="47">
        <v>5</v>
      </c>
      <c r="D28" s="48" t="s">
        <v>57</v>
      </c>
      <c r="E28" s="48" t="s">
        <v>16</v>
      </c>
      <c r="F28" s="49" t="s">
        <v>76</v>
      </c>
      <c r="G28" s="48">
        <v>1</v>
      </c>
      <c r="H28" s="49"/>
    </row>
    <row r="29" spans="1:8" s="50" customFormat="1" ht="19.5" customHeight="1">
      <c r="A29" s="45">
        <v>46048</v>
      </c>
      <c r="B29" s="46" t="s">
        <v>13</v>
      </c>
      <c r="C29" s="47">
        <v>5</v>
      </c>
      <c r="D29" s="48" t="s">
        <v>57</v>
      </c>
      <c r="E29" s="48" t="s">
        <v>16</v>
      </c>
      <c r="F29" s="49" t="s">
        <v>77</v>
      </c>
      <c r="G29" s="48">
        <v>1</v>
      </c>
      <c r="H29" s="49"/>
    </row>
    <row r="30" spans="1:8" s="50" customFormat="1" ht="19.5" customHeight="1">
      <c r="A30" s="45">
        <v>46048</v>
      </c>
      <c r="B30" s="46" t="s">
        <v>13</v>
      </c>
      <c r="C30" s="47">
        <v>5</v>
      </c>
      <c r="D30" s="48" t="s">
        <v>57</v>
      </c>
      <c r="E30" s="48" t="s">
        <v>15</v>
      </c>
      <c r="F30" s="49" t="s">
        <v>58</v>
      </c>
      <c r="G30" s="48">
        <v>1</v>
      </c>
      <c r="H30" s="49"/>
    </row>
    <row r="31" spans="1:8" s="50" customFormat="1" ht="19.5" customHeight="1">
      <c r="A31" s="45">
        <v>46048</v>
      </c>
      <c r="B31" s="46" t="s">
        <v>13</v>
      </c>
      <c r="C31" s="47">
        <v>5</v>
      </c>
      <c r="D31" s="48" t="s">
        <v>57</v>
      </c>
      <c r="E31" s="48" t="s">
        <v>18</v>
      </c>
      <c r="F31" s="49" t="s">
        <v>73</v>
      </c>
      <c r="G31" s="48">
        <v>1</v>
      </c>
      <c r="H31" s="49"/>
    </row>
    <row r="32" spans="1:8" s="50" customFormat="1" ht="19.5" customHeight="1">
      <c r="A32" s="45">
        <v>46049</v>
      </c>
      <c r="B32" s="46" t="s">
        <v>13</v>
      </c>
      <c r="C32" s="47">
        <v>5</v>
      </c>
      <c r="D32" s="48" t="s">
        <v>54</v>
      </c>
      <c r="E32" s="48" t="s">
        <v>19</v>
      </c>
      <c r="F32" s="49" t="s">
        <v>80</v>
      </c>
      <c r="G32" s="48">
        <v>3</v>
      </c>
      <c r="H32" s="49"/>
    </row>
    <row r="33" spans="1:8" s="50" customFormat="1" ht="19.5" customHeight="1">
      <c r="A33" s="45">
        <v>46049</v>
      </c>
      <c r="B33" s="46" t="s">
        <v>13</v>
      </c>
      <c r="C33" s="47">
        <v>5</v>
      </c>
      <c r="D33" s="48" t="s">
        <v>79</v>
      </c>
      <c r="E33" s="48" t="s">
        <v>28</v>
      </c>
      <c r="F33" s="49" t="s">
        <v>81</v>
      </c>
      <c r="G33" s="48">
        <v>3</v>
      </c>
      <c r="H33" s="49"/>
    </row>
    <row r="34" spans="1:8" s="50" customFormat="1" ht="19.5" customHeight="1">
      <c r="A34" s="45">
        <v>46050</v>
      </c>
      <c r="B34" s="46" t="s">
        <v>13</v>
      </c>
      <c r="C34" s="47">
        <v>5</v>
      </c>
      <c r="D34" s="48" t="s">
        <v>79</v>
      </c>
      <c r="E34" s="48" t="s">
        <v>23</v>
      </c>
      <c r="F34" s="49" t="s">
        <v>68</v>
      </c>
      <c r="G34" s="48">
        <v>1</v>
      </c>
      <c r="H34" s="49"/>
    </row>
    <row r="35" spans="1:8" s="50" customFormat="1" ht="19.5" customHeight="1">
      <c r="A35" s="45">
        <v>46050</v>
      </c>
      <c r="B35" s="46" t="s">
        <v>13</v>
      </c>
      <c r="C35" s="47">
        <v>5</v>
      </c>
      <c r="D35" s="48" t="s">
        <v>79</v>
      </c>
      <c r="E35" s="48" t="s">
        <v>23</v>
      </c>
      <c r="F35" s="49" t="s">
        <v>67</v>
      </c>
      <c r="G35" s="48">
        <v>1</v>
      </c>
      <c r="H35" s="49"/>
    </row>
    <row r="36" spans="1:8" s="50" customFormat="1" ht="19.5" customHeight="1">
      <c r="A36" s="45">
        <v>46050</v>
      </c>
      <c r="B36" s="46" t="s">
        <v>13</v>
      </c>
      <c r="C36" s="47">
        <v>5</v>
      </c>
      <c r="D36" s="48" t="s">
        <v>79</v>
      </c>
      <c r="E36" s="48" t="s">
        <v>17</v>
      </c>
      <c r="F36" s="49" t="s">
        <v>82</v>
      </c>
      <c r="G36" s="48">
        <v>2</v>
      </c>
      <c r="H36" s="49"/>
    </row>
    <row r="37" spans="1:8" s="50" customFormat="1" ht="19.5" customHeight="1">
      <c r="A37" s="45">
        <v>46051</v>
      </c>
      <c r="B37" s="46" t="s">
        <v>13</v>
      </c>
      <c r="C37" s="47">
        <v>5</v>
      </c>
      <c r="D37" s="48" t="s">
        <v>55</v>
      </c>
      <c r="E37" s="48" t="s">
        <v>16</v>
      </c>
      <c r="F37" s="49" t="s">
        <v>83</v>
      </c>
      <c r="G37" s="48">
        <v>1</v>
      </c>
      <c r="H37" s="49"/>
    </row>
    <row r="38" spans="1:8" s="50" customFormat="1" ht="19.5" customHeight="1">
      <c r="A38" s="45">
        <v>46051</v>
      </c>
      <c r="B38" s="46" t="s">
        <v>13</v>
      </c>
      <c r="C38" s="47">
        <v>5</v>
      </c>
      <c r="D38" s="48" t="s">
        <v>55</v>
      </c>
      <c r="E38" s="48" t="s">
        <v>14</v>
      </c>
      <c r="F38" s="49" t="s">
        <v>84</v>
      </c>
      <c r="G38" s="48">
        <v>3</v>
      </c>
      <c r="H38" s="49"/>
    </row>
    <row r="39" spans="1:8" s="50" customFormat="1" ht="19.5" customHeight="1">
      <c r="A39" s="45">
        <v>46053</v>
      </c>
      <c r="B39" s="46" t="s">
        <v>13</v>
      </c>
      <c r="C39" s="47">
        <v>5</v>
      </c>
      <c r="D39" s="48" t="s">
        <v>55</v>
      </c>
      <c r="E39" s="48" t="s">
        <v>18</v>
      </c>
      <c r="F39" s="49" t="s">
        <v>61</v>
      </c>
      <c r="G39" s="48">
        <v>1</v>
      </c>
      <c r="H39" s="49"/>
    </row>
    <row r="40" spans="1:8" s="50" customFormat="1" ht="19.5" customHeight="1">
      <c r="A40" s="45">
        <v>46053</v>
      </c>
      <c r="B40" s="46" t="s">
        <v>13</v>
      </c>
      <c r="C40" s="47">
        <v>5</v>
      </c>
      <c r="D40" s="48" t="s">
        <v>56</v>
      </c>
      <c r="E40" s="48" t="s">
        <v>17</v>
      </c>
      <c r="F40" s="49" t="s">
        <v>86</v>
      </c>
      <c r="G40" s="48">
        <v>1</v>
      </c>
      <c r="H40" s="49"/>
    </row>
    <row r="41" spans="1:8" s="50" customFormat="1" ht="19.5" customHeight="1">
      <c r="A41" s="45">
        <v>46055</v>
      </c>
      <c r="B41" s="46" t="s">
        <v>21</v>
      </c>
      <c r="C41" s="47">
        <v>6</v>
      </c>
      <c r="D41" s="48" t="s">
        <v>56</v>
      </c>
      <c r="E41" s="48" t="s">
        <v>23</v>
      </c>
      <c r="F41" s="49" t="s">
        <v>66</v>
      </c>
      <c r="G41" s="48">
        <v>2</v>
      </c>
      <c r="H41" s="49"/>
    </row>
    <row r="42" spans="1:8" s="50" customFormat="1" ht="19.5" customHeight="1">
      <c r="A42" s="45">
        <v>46055</v>
      </c>
      <c r="B42" s="46" t="s">
        <v>21</v>
      </c>
      <c r="C42" s="47">
        <v>6</v>
      </c>
      <c r="D42" s="48" t="s">
        <v>56</v>
      </c>
      <c r="E42" s="48" t="s">
        <v>19</v>
      </c>
      <c r="F42" s="49" t="s">
        <v>87</v>
      </c>
      <c r="G42" s="48">
        <v>1</v>
      </c>
      <c r="H42" s="49"/>
    </row>
    <row r="43" spans="1:8" s="50" customFormat="1" ht="19.5" customHeight="1">
      <c r="A43" s="45">
        <v>46056</v>
      </c>
      <c r="B43" s="46" t="s">
        <v>21</v>
      </c>
      <c r="C43" s="47">
        <v>6</v>
      </c>
      <c r="D43" s="48" t="s">
        <v>56</v>
      </c>
      <c r="E43" s="48" t="s">
        <v>18</v>
      </c>
      <c r="F43" s="49" t="s">
        <v>61</v>
      </c>
      <c r="G43" s="48">
        <v>1</v>
      </c>
      <c r="H43" s="49"/>
    </row>
    <row r="44" spans="1:8" s="50" customFormat="1" ht="19.5" customHeight="1">
      <c r="A44" s="45">
        <v>46056</v>
      </c>
      <c r="B44" s="46" t="s">
        <v>21</v>
      </c>
      <c r="C44" s="47">
        <v>6</v>
      </c>
      <c r="D44" s="48" t="s">
        <v>56</v>
      </c>
      <c r="E44" s="48" t="s">
        <v>19</v>
      </c>
      <c r="F44" s="49" t="s">
        <v>62</v>
      </c>
      <c r="G44" s="48">
        <v>1</v>
      </c>
      <c r="H44" s="49"/>
    </row>
    <row r="45" spans="1:8" s="50" customFormat="1" ht="19.5" customHeight="1">
      <c r="A45" s="45">
        <v>46057</v>
      </c>
      <c r="B45" s="46" t="s">
        <v>21</v>
      </c>
      <c r="C45" s="47">
        <v>6</v>
      </c>
      <c r="D45" s="48" t="s">
        <v>56</v>
      </c>
      <c r="E45" s="48" t="s">
        <v>16</v>
      </c>
      <c r="F45" s="49" t="s">
        <v>77</v>
      </c>
      <c r="G45" s="48">
        <v>1</v>
      </c>
      <c r="H45" s="49"/>
    </row>
    <row r="46" spans="1:8" s="50" customFormat="1" ht="19.5" customHeight="1">
      <c r="A46" s="45">
        <v>46058</v>
      </c>
      <c r="B46" s="46" t="s">
        <v>21</v>
      </c>
      <c r="C46" s="47">
        <v>6</v>
      </c>
      <c r="D46" s="48" t="s">
        <v>57</v>
      </c>
      <c r="E46" s="48" t="s">
        <v>18</v>
      </c>
      <c r="F46" s="49" t="s">
        <v>58</v>
      </c>
      <c r="G46" s="48">
        <v>1</v>
      </c>
      <c r="H46" s="49"/>
    </row>
    <row r="47" spans="1:8" s="50" customFormat="1" ht="19.5" customHeight="1">
      <c r="A47" s="45">
        <v>46058</v>
      </c>
      <c r="B47" s="46" t="s">
        <v>21</v>
      </c>
      <c r="C47" s="47">
        <v>6</v>
      </c>
      <c r="D47" s="48" t="s">
        <v>57</v>
      </c>
      <c r="E47" s="48" t="s">
        <v>16</v>
      </c>
      <c r="F47" s="49" t="s">
        <v>76</v>
      </c>
      <c r="G47" s="48">
        <v>2</v>
      </c>
      <c r="H47" s="49"/>
    </row>
    <row r="48" spans="1:8" s="50" customFormat="1" ht="19.5" customHeight="1">
      <c r="A48" s="45">
        <v>46059</v>
      </c>
      <c r="B48" s="46" t="s">
        <v>21</v>
      </c>
      <c r="C48" s="47">
        <v>6</v>
      </c>
      <c r="D48" s="48" t="s">
        <v>57</v>
      </c>
      <c r="E48" s="48" t="s">
        <v>16</v>
      </c>
      <c r="F48" s="49" t="s">
        <v>76</v>
      </c>
      <c r="G48" s="48">
        <v>2</v>
      </c>
      <c r="H48" s="49"/>
    </row>
    <row r="49" spans="1:8" s="50" customFormat="1" ht="19.5" customHeight="1">
      <c r="A49" s="45">
        <v>46059</v>
      </c>
      <c r="B49" s="46" t="s">
        <v>21</v>
      </c>
      <c r="C49" s="47">
        <v>6</v>
      </c>
      <c r="D49" s="48" t="s">
        <v>57</v>
      </c>
      <c r="E49" s="48" t="s">
        <v>19</v>
      </c>
      <c r="F49" s="49" t="s">
        <v>63</v>
      </c>
      <c r="G49" s="48">
        <v>1</v>
      </c>
      <c r="H49" s="49"/>
    </row>
    <row r="50" spans="1:8" s="50" customFormat="1" ht="19.5" customHeight="1">
      <c r="A50" s="45">
        <v>46059</v>
      </c>
      <c r="B50" s="46" t="s">
        <v>21</v>
      </c>
      <c r="C50" s="47">
        <v>6</v>
      </c>
      <c r="D50" s="48" t="s">
        <v>57</v>
      </c>
      <c r="E50" s="48" t="s">
        <v>19</v>
      </c>
      <c r="F50" s="49" t="s">
        <v>88</v>
      </c>
      <c r="G50" s="48">
        <v>1</v>
      </c>
      <c r="H50" s="49"/>
    </row>
    <row r="51" spans="1:8" s="50" customFormat="1" ht="19.5" customHeight="1">
      <c r="A51" s="45">
        <v>46076</v>
      </c>
      <c r="B51" s="46" t="s">
        <v>21</v>
      </c>
      <c r="C51" s="47">
        <v>9</v>
      </c>
      <c r="D51" s="48" t="s">
        <v>78</v>
      </c>
      <c r="E51" s="48" t="s">
        <v>16</v>
      </c>
      <c r="F51" s="49" t="s">
        <v>89</v>
      </c>
      <c r="G51" s="48">
        <v>2</v>
      </c>
      <c r="H51" s="49"/>
    </row>
    <row r="52" spans="1:8" s="50" customFormat="1" ht="19.5" customHeight="1">
      <c r="A52" s="45">
        <v>46076</v>
      </c>
      <c r="B52" s="46" t="s">
        <v>21</v>
      </c>
      <c r="C52" s="47">
        <v>9</v>
      </c>
      <c r="D52" s="48" t="s">
        <v>78</v>
      </c>
      <c r="E52" s="48" t="s">
        <v>16</v>
      </c>
      <c r="F52" s="49" t="s">
        <v>89</v>
      </c>
      <c r="G52" s="48">
        <v>1</v>
      </c>
      <c r="H52" s="49"/>
    </row>
    <row r="53" spans="1:8" s="50" customFormat="1" ht="19.5" customHeight="1">
      <c r="A53" s="45">
        <v>46077</v>
      </c>
      <c r="B53" s="46" t="s">
        <v>21</v>
      </c>
      <c r="C53" s="47">
        <v>9</v>
      </c>
      <c r="D53" s="48" t="s">
        <v>78</v>
      </c>
      <c r="E53" s="48" t="s">
        <v>16</v>
      </c>
      <c r="F53" s="49" t="s">
        <v>90</v>
      </c>
      <c r="G53" s="48">
        <v>1</v>
      </c>
      <c r="H53" s="49"/>
    </row>
    <row r="54" spans="1:8" s="50" customFormat="1" ht="19.5" customHeight="1">
      <c r="A54" s="45">
        <v>46077</v>
      </c>
      <c r="B54" s="46" t="s">
        <v>21</v>
      </c>
      <c r="C54" s="47">
        <v>9</v>
      </c>
      <c r="D54" s="48" t="s">
        <v>78</v>
      </c>
      <c r="E54" s="48" t="s">
        <v>16</v>
      </c>
      <c r="F54" s="49" t="s">
        <v>77</v>
      </c>
      <c r="G54" s="48">
        <v>1</v>
      </c>
      <c r="H54" s="49"/>
    </row>
    <row r="55" spans="1:8" s="50" customFormat="1" ht="19.5" customHeight="1">
      <c r="A55" s="45">
        <v>46077</v>
      </c>
      <c r="B55" s="46" t="s">
        <v>21</v>
      </c>
      <c r="C55" s="47">
        <v>9</v>
      </c>
      <c r="D55" s="48" t="s">
        <v>78</v>
      </c>
      <c r="E55" s="48" t="s">
        <v>16</v>
      </c>
      <c r="F55" s="49" t="s">
        <v>61</v>
      </c>
      <c r="G55" s="48">
        <v>1</v>
      </c>
      <c r="H55" s="49"/>
    </row>
    <row r="56" spans="1:8" s="50" customFormat="1" ht="19.5" customHeight="1">
      <c r="A56" s="45">
        <v>46079</v>
      </c>
      <c r="B56" s="46" t="s">
        <v>21</v>
      </c>
      <c r="C56" s="47">
        <v>9</v>
      </c>
      <c r="D56" s="48" t="s">
        <v>57</v>
      </c>
      <c r="E56" s="48" t="s">
        <v>25</v>
      </c>
      <c r="F56" s="49" t="s">
        <v>91</v>
      </c>
      <c r="G56" s="48">
        <v>3</v>
      </c>
      <c r="H56" s="49"/>
    </row>
    <row r="57" spans="1:8" s="50" customFormat="1" ht="19.5" customHeight="1">
      <c r="A57" s="45">
        <v>46080</v>
      </c>
      <c r="B57" s="46" t="s">
        <v>21</v>
      </c>
      <c r="C57" s="47">
        <v>9</v>
      </c>
      <c r="D57" s="48" t="s">
        <v>57</v>
      </c>
      <c r="E57" s="48" t="s">
        <v>18</v>
      </c>
      <c r="F57" s="49" t="s">
        <v>58</v>
      </c>
      <c r="G57" s="48">
        <v>1</v>
      </c>
      <c r="H57" s="49"/>
    </row>
    <row r="58" spans="1:8" s="50" customFormat="1" ht="19.5" customHeight="1">
      <c r="A58" s="45">
        <v>46080</v>
      </c>
      <c r="B58" s="46" t="s">
        <v>21</v>
      </c>
      <c r="C58" s="47">
        <v>9</v>
      </c>
      <c r="D58" s="48" t="s">
        <v>57</v>
      </c>
      <c r="E58" s="48" t="s">
        <v>18</v>
      </c>
      <c r="F58" s="49" t="s">
        <v>92</v>
      </c>
      <c r="G58" s="48">
        <v>1</v>
      </c>
      <c r="H58" s="49"/>
    </row>
    <row r="59" spans="1:8" s="50" customFormat="1" ht="19.5" customHeight="1">
      <c r="A59" s="45">
        <v>46080</v>
      </c>
      <c r="B59" s="46" t="s">
        <v>21</v>
      </c>
      <c r="C59" s="47">
        <v>9</v>
      </c>
      <c r="D59" s="48" t="s">
        <v>56</v>
      </c>
      <c r="E59" s="48" t="s">
        <v>23</v>
      </c>
      <c r="F59" s="49" t="s">
        <v>68</v>
      </c>
      <c r="G59" s="48">
        <v>2</v>
      </c>
      <c r="H59" s="49"/>
    </row>
    <row r="60" spans="1:8" s="50" customFormat="1" ht="19.5" customHeight="1">
      <c r="A60" s="45">
        <v>46080</v>
      </c>
      <c r="B60" s="46" t="s">
        <v>21</v>
      </c>
      <c r="C60" s="47">
        <v>9</v>
      </c>
      <c r="D60" s="48" t="s">
        <v>56</v>
      </c>
      <c r="E60" s="48" t="s">
        <v>14</v>
      </c>
      <c r="F60" s="49" t="s">
        <v>93</v>
      </c>
      <c r="G60" s="48">
        <v>2</v>
      </c>
      <c r="H60" s="49"/>
    </row>
    <row r="61" spans="1:8" s="50" customFormat="1" ht="19.5" customHeight="1">
      <c r="A61" s="45">
        <v>46081</v>
      </c>
      <c r="B61" s="46" t="s">
        <v>21</v>
      </c>
      <c r="C61" s="47">
        <v>9</v>
      </c>
      <c r="D61" s="48" t="s">
        <v>79</v>
      </c>
      <c r="E61" s="48" t="s">
        <v>16</v>
      </c>
      <c r="F61" s="49" t="s">
        <v>94</v>
      </c>
      <c r="G61" s="48">
        <v>1</v>
      </c>
      <c r="H61" s="49"/>
    </row>
    <row r="62" spans="1:8" s="50" customFormat="1" ht="19.5" customHeight="1">
      <c r="A62" s="45">
        <v>46081</v>
      </c>
      <c r="B62" s="46" t="s">
        <v>21</v>
      </c>
      <c r="C62" s="47">
        <v>9</v>
      </c>
      <c r="D62" s="48" t="s">
        <v>79</v>
      </c>
      <c r="E62" s="48" t="s">
        <v>70</v>
      </c>
      <c r="F62" s="49" t="s">
        <v>71</v>
      </c>
      <c r="G62" s="54">
        <v>16</v>
      </c>
      <c r="H62" s="49" t="s">
        <v>95</v>
      </c>
    </row>
    <row r="63" spans="1:8" s="50" customFormat="1" ht="19.5" customHeight="1">
      <c r="A63" s="45">
        <v>46083</v>
      </c>
      <c r="B63" s="46" t="s">
        <v>26</v>
      </c>
      <c r="C63" s="47">
        <v>10</v>
      </c>
      <c r="D63" s="48" t="s">
        <v>79</v>
      </c>
      <c r="E63" s="48" t="s">
        <v>17</v>
      </c>
      <c r="F63" s="49" t="s">
        <v>96</v>
      </c>
      <c r="G63" s="48">
        <v>1</v>
      </c>
      <c r="H63" s="49"/>
    </row>
    <row r="64" spans="1:8" s="50" customFormat="1" ht="19.5" customHeight="1">
      <c r="A64" s="45">
        <v>46084</v>
      </c>
      <c r="B64" s="46" t="s">
        <v>26</v>
      </c>
      <c r="C64" s="47">
        <v>10</v>
      </c>
      <c r="D64" s="48" t="s">
        <v>57</v>
      </c>
      <c r="E64" s="48" t="s">
        <v>16</v>
      </c>
      <c r="F64" s="49" t="s">
        <v>97</v>
      </c>
      <c r="G64" s="48">
        <v>1</v>
      </c>
      <c r="H64" s="49"/>
    </row>
    <row r="65" spans="1:8" s="50" customFormat="1" ht="19.5" customHeight="1">
      <c r="A65" s="45">
        <v>46084</v>
      </c>
      <c r="B65" s="46" t="s">
        <v>26</v>
      </c>
      <c r="C65" s="47">
        <v>10</v>
      </c>
      <c r="D65" s="48" t="s">
        <v>57</v>
      </c>
      <c r="E65" s="48" t="s">
        <v>18</v>
      </c>
      <c r="F65" s="49" t="s">
        <v>92</v>
      </c>
      <c r="G65" s="48">
        <v>2</v>
      </c>
      <c r="H65" s="49"/>
    </row>
    <row r="66" spans="1:8" s="50" customFormat="1" ht="19.5" customHeight="1">
      <c r="A66" s="45">
        <v>46085</v>
      </c>
      <c r="B66" s="46" t="s">
        <v>26</v>
      </c>
      <c r="C66" s="47">
        <v>10</v>
      </c>
      <c r="D66" s="48" t="s">
        <v>56</v>
      </c>
      <c r="E66" s="48" t="s">
        <v>25</v>
      </c>
      <c r="F66" s="49" t="s">
        <v>98</v>
      </c>
      <c r="G66" s="48">
        <v>2</v>
      </c>
      <c r="H66" s="49"/>
    </row>
    <row r="67" spans="1:8" s="50" customFormat="1" ht="19.5" customHeight="1">
      <c r="A67" s="45">
        <v>46085</v>
      </c>
      <c r="B67" s="46" t="s">
        <v>26</v>
      </c>
      <c r="C67" s="47">
        <v>10</v>
      </c>
      <c r="D67" s="48" t="s">
        <v>79</v>
      </c>
      <c r="E67" s="48" t="s">
        <v>19</v>
      </c>
      <c r="F67" s="49" t="s">
        <v>63</v>
      </c>
      <c r="G67" s="48">
        <v>1</v>
      </c>
      <c r="H67" s="49"/>
    </row>
    <row r="68" spans="1:8" s="50" customFormat="1" ht="19.5" customHeight="1">
      <c r="A68" s="45">
        <v>46086</v>
      </c>
      <c r="B68" s="46" t="s">
        <v>26</v>
      </c>
      <c r="C68" s="47">
        <v>10</v>
      </c>
      <c r="D68" s="48" t="s">
        <v>79</v>
      </c>
      <c r="E68" s="48" t="s">
        <v>16</v>
      </c>
      <c r="F68" s="49" t="s">
        <v>99</v>
      </c>
      <c r="G68" s="48">
        <v>1</v>
      </c>
      <c r="H68" s="49"/>
    </row>
    <row r="69" spans="1:8" s="50" customFormat="1" ht="19.5" customHeight="1">
      <c r="A69" s="45">
        <v>46087</v>
      </c>
      <c r="B69" s="46" t="s">
        <v>26</v>
      </c>
      <c r="C69" s="47">
        <v>10</v>
      </c>
      <c r="D69" s="48" t="s">
        <v>79</v>
      </c>
      <c r="E69" s="48" t="s">
        <v>16</v>
      </c>
      <c r="F69" s="49" t="s">
        <v>99</v>
      </c>
      <c r="G69" s="48">
        <v>1</v>
      </c>
      <c r="H69" s="49"/>
    </row>
    <row r="70" spans="1:8" s="50" customFormat="1" ht="19.5" customHeight="1">
      <c r="A70" s="45">
        <v>46087</v>
      </c>
      <c r="B70" s="46" t="s">
        <v>26</v>
      </c>
      <c r="C70" s="47">
        <v>10</v>
      </c>
      <c r="D70" s="48" t="s">
        <v>79</v>
      </c>
      <c r="E70" s="48" t="s">
        <v>17</v>
      </c>
      <c r="F70" s="49" t="s">
        <v>96</v>
      </c>
      <c r="G70" s="48">
        <v>1</v>
      </c>
      <c r="H70" s="49"/>
    </row>
    <row r="71" spans="1:8" s="50" customFormat="1" ht="19.5" customHeight="1">
      <c r="A71" s="45">
        <v>46090</v>
      </c>
      <c r="B71" s="46" t="s">
        <v>26</v>
      </c>
      <c r="C71" s="47">
        <v>11</v>
      </c>
      <c r="D71" s="48" t="s">
        <v>56</v>
      </c>
      <c r="E71" s="48" t="s">
        <v>70</v>
      </c>
      <c r="F71" s="49" t="s">
        <v>71</v>
      </c>
      <c r="G71" s="48">
        <v>3</v>
      </c>
      <c r="H71" s="49"/>
    </row>
    <row r="72" spans="1:8" s="50" customFormat="1" ht="19.5" customHeight="1">
      <c r="A72" s="45">
        <v>46090</v>
      </c>
      <c r="B72" s="46" t="s">
        <v>26</v>
      </c>
      <c r="C72" s="47">
        <v>11</v>
      </c>
      <c r="D72" s="48" t="s">
        <v>56</v>
      </c>
      <c r="E72" s="48" t="s">
        <v>23</v>
      </c>
      <c r="F72" s="49" t="s">
        <v>66</v>
      </c>
      <c r="G72" s="48">
        <v>1</v>
      </c>
      <c r="H72" s="49"/>
    </row>
    <row r="73" spans="1:8" s="50" customFormat="1" ht="19.5" customHeight="1">
      <c r="A73" s="45">
        <v>46090</v>
      </c>
      <c r="B73" s="46" t="s">
        <v>26</v>
      </c>
      <c r="C73" s="47">
        <v>11</v>
      </c>
      <c r="D73" s="48" t="s">
        <v>56</v>
      </c>
      <c r="E73" s="48" t="s">
        <v>19</v>
      </c>
      <c r="F73" s="49" t="s">
        <v>100</v>
      </c>
      <c r="G73" s="48">
        <v>1</v>
      </c>
      <c r="H73" s="49"/>
    </row>
    <row r="74" spans="1:8" s="50" customFormat="1" ht="19.5" customHeight="1">
      <c r="A74" s="45">
        <v>46091</v>
      </c>
      <c r="B74" s="46" t="s">
        <v>26</v>
      </c>
      <c r="C74" s="47">
        <v>11</v>
      </c>
      <c r="D74" s="48" t="s">
        <v>57</v>
      </c>
      <c r="E74" s="48" t="s">
        <v>18</v>
      </c>
      <c r="F74" s="49" t="s">
        <v>58</v>
      </c>
      <c r="G74" s="48">
        <v>2</v>
      </c>
      <c r="H74" s="49"/>
    </row>
    <row r="75" spans="1:8" s="50" customFormat="1" ht="19.5" customHeight="1">
      <c r="A75" s="45">
        <v>46092</v>
      </c>
      <c r="B75" s="46" t="s">
        <v>26</v>
      </c>
      <c r="C75" s="47">
        <v>11</v>
      </c>
      <c r="D75" s="48" t="s">
        <v>57</v>
      </c>
      <c r="E75" s="48" t="s">
        <v>23</v>
      </c>
      <c r="F75" s="49" t="s">
        <v>101</v>
      </c>
      <c r="G75" s="48">
        <v>1</v>
      </c>
      <c r="H75" s="49"/>
    </row>
    <row r="76" spans="1:8" s="50" customFormat="1" ht="19.5" customHeight="1">
      <c r="A76" s="45">
        <v>46093</v>
      </c>
      <c r="B76" s="46" t="s">
        <v>26</v>
      </c>
      <c r="C76" s="47">
        <v>11</v>
      </c>
      <c r="D76" s="48" t="s">
        <v>57</v>
      </c>
      <c r="E76" s="48" t="s">
        <v>18</v>
      </c>
      <c r="F76" s="49" t="s">
        <v>102</v>
      </c>
      <c r="G76" s="48">
        <v>2</v>
      </c>
      <c r="H76" s="49"/>
    </row>
    <row r="77" spans="1:8" s="50" customFormat="1" ht="19.5" customHeight="1">
      <c r="A77" s="45">
        <v>46093</v>
      </c>
      <c r="B77" s="46" t="s">
        <v>26</v>
      </c>
      <c r="C77" s="47">
        <v>11</v>
      </c>
      <c r="D77" s="48" t="s">
        <v>78</v>
      </c>
      <c r="E77" s="48" t="s">
        <v>16</v>
      </c>
      <c r="F77" s="49" t="s">
        <v>99</v>
      </c>
      <c r="G77" s="48">
        <v>1</v>
      </c>
      <c r="H77" s="49"/>
    </row>
    <row r="78" spans="1:8" s="50" customFormat="1" ht="19.5" customHeight="1">
      <c r="A78" s="45">
        <v>46097</v>
      </c>
      <c r="B78" s="46" t="s">
        <v>26</v>
      </c>
      <c r="C78" s="47">
        <v>12</v>
      </c>
      <c r="D78" s="48" t="s">
        <v>79</v>
      </c>
      <c r="E78" s="48" t="s">
        <v>16</v>
      </c>
      <c r="F78" s="49" t="s">
        <v>76</v>
      </c>
      <c r="G78" s="48">
        <v>1</v>
      </c>
      <c r="H78" s="49"/>
    </row>
    <row r="79" spans="1:8" s="50" customFormat="1" ht="19.5" customHeight="1">
      <c r="A79" s="45">
        <v>46097</v>
      </c>
      <c r="B79" s="46" t="s">
        <v>26</v>
      </c>
      <c r="C79" s="47">
        <v>12</v>
      </c>
      <c r="D79" s="48" t="s">
        <v>79</v>
      </c>
      <c r="E79" s="48" t="s">
        <v>24</v>
      </c>
      <c r="F79" s="49" t="s">
        <v>96</v>
      </c>
      <c r="G79" s="48">
        <v>2</v>
      </c>
      <c r="H79" s="49"/>
    </row>
    <row r="80" spans="1:8" s="50" customFormat="1" ht="19.5" customHeight="1">
      <c r="A80" s="45">
        <v>46097</v>
      </c>
      <c r="B80" s="46" t="s">
        <v>26</v>
      </c>
      <c r="C80" s="47">
        <v>12</v>
      </c>
      <c r="D80" s="48" t="s">
        <v>79</v>
      </c>
      <c r="E80" s="48" t="s">
        <v>16</v>
      </c>
      <c r="F80" s="49" t="s">
        <v>77</v>
      </c>
      <c r="G80" s="48">
        <v>1</v>
      </c>
      <c r="H80" s="49"/>
    </row>
    <row r="81" spans="1:8" s="50" customFormat="1" ht="19.5" customHeight="1">
      <c r="A81" s="45">
        <v>46098</v>
      </c>
      <c r="B81" s="46" t="s">
        <v>26</v>
      </c>
      <c r="C81" s="47">
        <v>12</v>
      </c>
      <c r="D81" s="48" t="s">
        <v>57</v>
      </c>
      <c r="E81" s="48" t="s">
        <v>16</v>
      </c>
      <c r="F81" s="49" t="s">
        <v>83</v>
      </c>
      <c r="G81" s="48">
        <v>1</v>
      </c>
      <c r="H81" s="49"/>
    </row>
    <row r="82" spans="1:8" s="50" customFormat="1" ht="19.5" customHeight="1">
      <c r="A82" s="45">
        <v>46098</v>
      </c>
      <c r="B82" s="46" t="s">
        <v>26</v>
      </c>
      <c r="C82" s="47">
        <v>12</v>
      </c>
      <c r="D82" s="48" t="s">
        <v>57</v>
      </c>
      <c r="E82" s="48" t="s">
        <v>20</v>
      </c>
      <c r="F82" s="49" t="s">
        <v>103</v>
      </c>
      <c r="G82" s="48">
        <v>2</v>
      </c>
      <c r="H82" s="49"/>
    </row>
    <row r="83" spans="1:8" s="50" customFormat="1" ht="19.5" customHeight="1">
      <c r="A83" s="45">
        <v>46099</v>
      </c>
      <c r="B83" s="46" t="s">
        <v>26</v>
      </c>
      <c r="C83" s="47">
        <v>12</v>
      </c>
      <c r="D83" s="48" t="s">
        <v>56</v>
      </c>
      <c r="E83" s="48" t="s">
        <v>19</v>
      </c>
      <c r="F83" s="49" t="s">
        <v>62</v>
      </c>
      <c r="G83" s="48">
        <v>2</v>
      </c>
      <c r="H83" s="49"/>
    </row>
    <row r="84" spans="1:8" s="50" customFormat="1" ht="19.5" customHeight="1">
      <c r="A84" s="45">
        <v>46099</v>
      </c>
      <c r="B84" s="46" t="s">
        <v>26</v>
      </c>
      <c r="C84" s="47">
        <v>12</v>
      </c>
      <c r="D84" s="48" t="s">
        <v>56</v>
      </c>
      <c r="E84" s="48" t="s">
        <v>25</v>
      </c>
      <c r="F84" s="49" t="s">
        <v>104</v>
      </c>
      <c r="G84" s="48">
        <v>2</v>
      </c>
      <c r="H84" s="49"/>
    </row>
    <row r="85" spans="1:8" s="50" customFormat="1" ht="19.5" customHeight="1">
      <c r="A85" s="45">
        <v>46100</v>
      </c>
      <c r="B85" s="46" t="s">
        <v>26</v>
      </c>
      <c r="C85" s="47">
        <v>12</v>
      </c>
      <c r="D85" s="48" t="s">
        <v>56</v>
      </c>
      <c r="E85" s="48" t="s">
        <v>23</v>
      </c>
      <c r="F85" s="49" t="s">
        <v>68</v>
      </c>
      <c r="G85" s="48">
        <v>1</v>
      </c>
      <c r="H85" s="49"/>
    </row>
    <row r="86" spans="1:8" s="50" customFormat="1" ht="19.5" customHeight="1">
      <c r="A86" s="45">
        <v>46100</v>
      </c>
      <c r="B86" s="46" t="s">
        <v>26</v>
      </c>
      <c r="C86" s="47">
        <v>12</v>
      </c>
      <c r="D86" s="48" t="s">
        <v>56</v>
      </c>
      <c r="E86" s="48" t="s">
        <v>16</v>
      </c>
      <c r="F86" s="49" t="s">
        <v>99</v>
      </c>
      <c r="G86" s="48">
        <v>2</v>
      </c>
      <c r="H86" s="49"/>
    </row>
    <row r="87" spans="1:8" s="50" customFormat="1" ht="19.5" customHeight="1">
      <c r="A87" s="45">
        <v>46101</v>
      </c>
      <c r="B87" s="46" t="s">
        <v>26</v>
      </c>
      <c r="C87" s="47">
        <v>12</v>
      </c>
      <c r="D87" s="48" t="s">
        <v>54</v>
      </c>
      <c r="E87" s="48" t="s">
        <v>22</v>
      </c>
      <c r="F87" s="49" t="s">
        <v>105</v>
      </c>
      <c r="G87" s="48">
        <v>2</v>
      </c>
      <c r="H87" s="49"/>
    </row>
    <row r="88" spans="1:8" s="50" customFormat="1" ht="19.5" customHeight="1">
      <c r="A88" s="45">
        <v>46102</v>
      </c>
      <c r="B88" s="46" t="s">
        <v>26</v>
      </c>
      <c r="C88" s="47">
        <v>12</v>
      </c>
      <c r="D88" s="48" t="s">
        <v>78</v>
      </c>
      <c r="E88" s="48" t="s">
        <v>19</v>
      </c>
      <c r="F88" s="49" t="s">
        <v>63</v>
      </c>
      <c r="G88" s="48">
        <v>2</v>
      </c>
      <c r="H88" s="49"/>
    </row>
    <row r="89" spans="1:8" s="50" customFormat="1" ht="19.5" customHeight="1">
      <c r="A89" s="45">
        <v>46104</v>
      </c>
      <c r="B89" s="46" t="s">
        <v>26</v>
      </c>
      <c r="C89" s="47">
        <v>13</v>
      </c>
      <c r="D89" s="48" t="s">
        <v>78</v>
      </c>
      <c r="E89" s="48" t="s">
        <v>19</v>
      </c>
      <c r="F89" s="49" t="s">
        <v>106</v>
      </c>
      <c r="G89" s="48">
        <v>1</v>
      </c>
      <c r="H89" s="49"/>
    </row>
    <row r="90" spans="1:8" s="50" customFormat="1" ht="19.5" customHeight="1">
      <c r="A90" s="45">
        <v>46105</v>
      </c>
      <c r="B90" s="46" t="s">
        <v>26</v>
      </c>
      <c r="C90" s="47">
        <v>13</v>
      </c>
      <c r="D90" s="48" t="s">
        <v>79</v>
      </c>
      <c r="E90" s="48" t="s">
        <v>16</v>
      </c>
      <c r="F90" s="49" t="s">
        <v>99</v>
      </c>
      <c r="G90" s="48">
        <v>2</v>
      </c>
      <c r="H90" s="49"/>
    </row>
    <row r="91" spans="1:8" s="50" customFormat="1" ht="19.5" customHeight="1">
      <c r="A91" s="45">
        <v>46105</v>
      </c>
      <c r="B91" s="46" t="s">
        <v>26</v>
      </c>
      <c r="C91" s="47">
        <v>13</v>
      </c>
      <c r="D91" s="48" t="s">
        <v>79</v>
      </c>
      <c r="E91" s="48" t="s">
        <v>16</v>
      </c>
      <c r="F91" s="49" t="s">
        <v>107</v>
      </c>
      <c r="G91" s="48">
        <v>1</v>
      </c>
      <c r="H91" s="49"/>
    </row>
    <row r="92" spans="1:8" s="50" customFormat="1" ht="19.5" customHeight="1">
      <c r="A92" s="45">
        <v>46106</v>
      </c>
      <c r="B92" s="46" t="s">
        <v>26</v>
      </c>
      <c r="C92" s="47">
        <v>13</v>
      </c>
      <c r="D92" s="48" t="s">
        <v>56</v>
      </c>
      <c r="E92" s="48" t="s">
        <v>25</v>
      </c>
      <c r="F92" s="49" t="s">
        <v>108</v>
      </c>
      <c r="G92" s="48">
        <v>3</v>
      </c>
      <c r="H92" s="49"/>
    </row>
    <row r="93" spans="1:8" s="50" customFormat="1" ht="19.5" customHeight="1">
      <c r="A93" s="45">
        <v>46106</v>
      </c>
      <c r="B93" s="46" t="s">
        <v>26</v>
      </c>
      <c r="C93" s="47">
        <v>13</v>
      </c>
      <c r="D93" s="48" t="s">
        <v>56</v>
      </c>
      <c r="E93" s="48" t="s">
        <v>16</v>
      </c>
      <c r="F93" s="49" t="s">
        <v>99</v>
      </c>
      <c r="G93" s="48">
        <v>2</v>
      </c>
      <c r="H93" s="49"/>
    </row>
    <row r="94" spans="1:8" s="50" customFormat="1" ht="19.5" customHeight="1">
      <c r="A94" s="45">
        <v>46107</v>
      </c>
      <c r="B94" s="46" t="s">
        <v>26</v>
      </c>
      <c r="C94" s="47">
        <v>13</v>
      </c>
      <c r="D94" s="48" t="s">
        <v>56</v>
      </c>
      <c r="E94" s="48" t="s">
        <v>16</v>
      </c>
      <c r="F94" s="49" t="s">
        <v>76</v>
      </c>
      <c r="G94" s="48">
        <v>2</v>
      </c>
      <c r="H94" s="49"/>
    </row>
    <row r="95" spans="1:8" s="50" customFormat="1" ht="19.5" customHeight="1">
      <c r="A95" s="45">
        <v>46108</v>
      </c>
      <c r="B95" s="46" t="s">
        <v>26</v>
      </c>
      <c r="C95" s="47">
        <v>13</v>
      </c>
      <c r="D95" s="48" t="s">
        <v>56</v>
      </c>
      <c r="E95" s="48" t="s">
        <v>16</v>
      </c>
      <c r="F95" s="49" t="s">
        <v>77</v>
      </c>
      <c r="G95" s="48">
        <v>2</v>
      </c>
      <c r="H95" s="49"/>
    </row>
    <row r="96" spans="1:8" s="50" customFormat="1" ht="19.5" customHeight="1">
      <c r="A96" s="45">
        <v>46109</v>
      </c>
      <c r="B96" s="46" t="s">
        <v>26</v>
      </c>
      <c r="C96" s="47">
        <v>13</v>
      </c>
      <c r="D96" s="48" t="s">
        <v>57</v>
      </c>
      <c r="E96" s="48" t="s">
        <v>23</v>
      </c>
      <c r="F96" s="49" t="s">
        <v>66</v>
      </c>
      <c r="G96" s="48">
        <v>3</v>
      </c>
      <c r="H96" s="49"/>
    </row>
    <row r="97" spans="1:8" s="50" customFormat="1" ht="19.5" customHeight="1">
      <c r="A97" s="45">
        <v>46111</v>
      </c>
      <c r="B97" s="46" t="s">
        <v>26</v>
      </c>
      <c r="C97" s="47">
        <v>14</v>
      </c>
      <c r="D97" s="48" t="s">
        <v>57</v>
      </c>
      <c r="E97" s="48" t="s">
        <v>23</v>
      </c>
      <c r="F97" s="49" t="s">
        <v>68</v>
      </c>
      <c r="G97" s="48">
        <v>1</v>
      </c>
      <c r="H97" s="49"/>
    </row>
    <row r="98" spans="1:8" s="50" customFormat="1" ht="19.5" customHeight="1">
      <c r="A98" s="45">
        <v>46112</v>
      </c>
      <c r="B98" s="46" t="s">
        <v>26</v>
      </c>
      <c r="C98" s="47">
        <v>14</v>
      </c>
      <c r="D98" s="48" t="s">
        <v>55</v>
      </c>
      <c r="E98" s="48" t="s">
        <v>25</v>
      </c>
      <c r="F98" s="49" t="s">
        <v>110</v>
      </c>
      <c r="G98" s="48">
        <v>2</v>
      </c>
      <c r="H98" s="49"/>
    </row>
    <row r="99" spans="1:8" s="50" customFormat="1" ht="19.5" customHeight="1">
      <c r="A99" s="45">
        <v>46113</v>
      </c>
      <c r="B99" s="46" t="s">
        <v>109</v>
      </c>
      <c r="C99" s="47">
        <v>14</v>
      </c>
      <c r="D99" s="48" t="s">
        <v>55</v>
      </c>
      <c r="E99" s="48" t="s">
        <v>16</v>
      </c>
      <c r="F99" s="49" t="s">
        <v>76</v>
      </c>
      <c r="G99" s="48">
        <v>1</v>
      </c>
      <c r="H99" s="49"/>
    </row>
    <row r="100" spans="1:8" s="50" customFormat="1" ht="19.5" customHeight="1">
      <c r="A100" s="45">
        <v>46114</v>
      </c>
      <c r="B100" s="46" t="s">
        <v>109</v>
      </c>
      <c r="C100" s="47">
        <v>14</v>
      </c>
      <c r="D100" s="48" t="s">
        <v>55</v>
      </c>
      <c r="E100" s="48" t="s">
        <v>19</v>
      </c>
      <c r="F100" s="49" t="s">
        <v>111</v>
      </c>
      <c r="G100" s="48">
        <v>2</v>
      </c>
      <c r="H100" s="49"/>
    </row>
    <row r="101" spans="1:8" s="50" customFormat="1" ht="19.5" customHeight="1">
      <c r="A101" s="45">
        <v>46115</v>
      </c>
      <c r="B101" s="46" t="s">
        <v>109</v>
      </c>
      <c r="C101" s="47">
        <v>14</v>
      </c>
      <c r="D101" s="48" t="s">
        <v>55</v>
      </c>
      <c r="E101" s="48" t="s">
        <v>19</v>
      </c>
      <c r="F101" s="49" t="s">
        <v>68</v>
      </c>
      <c r="G101" s="48">
        <v>1</v>
      </c>
      <c r="H101" s="49"/>
    </row>
    <row r="102" spans="1:8" s="50" customFormat="1" ht="19.5" customHeight="1">
      <c r="A102" s="45">
        <v>46115</v>
      </c>
      <c r="B102" s="46" t="s">
        <v>109</v>
      </c>
      <c r="C102" s="47">
        <v>14</v>
      </c>
      <c r="D102" s="48" t="s">
        <v>55</v>
      </c>
      <c r="E102" s="48" t="s">
        <v>19</v>
      </c>
      <c r="F102" s="49" t="s">
        <v>63</v>
      </c>
      <c r="G102" s="48">
        <v>1</v>
      </c>
      <c r="H102" s="49"/>
    </row>
    <row r="103" spans="1:8" s="50" customFormat="1" ht="19.5" customHeight="1">
      <c r="A103" s="45">
        <v>46119</v>
      </c>
      <c r="B103" s="46" t="s">
        <v>109</v>
      </c>
      <c r="C103" s="47">
        <v>15</v>
      </c>
      <c r="D103" s="48" t="s">
        <v>78</v>
      </c>
      <c r="E103" s="48" t="s">
        <v>24</v>
      </c>
      <c r="F103" s="49" t="s">
        <v>112</v>
      </c>
      <c r="G103" s="48">
        <v>1</v>
      </c>
      <c r="H103" s="49"/>
    </row>
    <row r="104" spans="1:8" s="50" customFormat="1" ht="19.5" customHeight="1">
      <c r="A104" s="45">
        <v>46119</v>
      </c>
      <c r="B104" s="46" t="s">
        <v>109</v>
      </c>
      <c r="C104" s="47">
        <v>15</v>
      </c>
      <c r="D104" s="48" t="s">
        <v>78</v>
      </c>
      <c r="E104" s="48" t="s">
        <v>19</v>
      </c>
      <c r="F104" s="49" t="s">
        <v>111</v>
      </c>
      <c r="G104" s="48">
        <v>1</v>
      </c>
      <c r="H104" s="49"/>
    </row>
    <row r="105" spans="1:8" s="50" customFormat="1" ht="19.5" customHeight="1">
      <c r="A105" s="45">
        <v>46120</v>
      </c>
      <c r="B105" s="46" t="s">
        <v>109</v>
      </c>
      <c r="C105" s="47">
        <v>15</v>
      </c>
      <c r="D105" s="48" t="s">
        <v>55</v>
      </c>
      <c r="E105" s="48" t="s">
        <v>19</v>
      </c>
      <c r="F105" s="49" t="s">
        <v>62</v>
      </c>
      <c r="G105" s="48">
        <v>1</v>
      </c>
      <c r="H105" s="49"/>
    </row>
    <row r="106" spans="1:8" s="50" customFormat="1" ht="19.5" customHeight="1">
      <c r="A106" s="45">
        <v>46121</v>
      </c>
      <c r="B106" s="46" t="s">
        <v>109</v>
      </c>
      <c r="C106" s="47">
        <v>15</v>
      </c>
      <c r="D106" s="48" t="s">
        <v>56</v>
      </c>
      <c r="E106" s="48" t="s">
        <v>18</v>
      </c>
      <c r="F106" s="49" t="s">
        <v>113</v>
      </c>
      <c r="G106" s="48">
        <v>3</v>
      </c>
      <c r="H106" s="49"/>
    </row>
    <row r="107" spans="1:8" s="50" customFormat="1" ht="19.5" customHeight="1">
      <c r="A107" s="45">
        <v>46122</v>
      </c>
      <c r="B107" s="46" t="s">
        <v>109</v>
      </c>
      <c r="C107" s="47">
        <v>15</v>
      </c>
      <c r="D107" s="48" t="s">
        <v>56</v>
      </c>
      <c r="E107" s="48" t="s">
        <v>22</v>
      </c>
      <c r="F107" s="49" t="s">
        <v>114</v>
      </c>
      <c r="G107" s="48">
        <v>1</v>
      </c>
      <c r="H107" s="49"/>
    </row>
    <row r="108" spans="1:8" s="50" customFormat="1" ht="19.5" customHeight="1">
      <c r="A108" s="45">
        <v>46122</v>
      </c>
      <c r="B108" s="46" t="s">
        <v>109</v>
      </c>
      <c r="C108" s="47">
        <v>15</v>
      </c>
      <c r="D108" s="48" t="s">
        <v>79</v>
      </c>
      <c r="E108" s="48" t="s">
        <v>19</v>
      </c>
      <c r="F108" s="49" t="s">
        <v>63</v>
      </c>
      <c r="G108" s="48">
        <v>1</v>
      </c>
      <c r="H108" s="49"/>
    </row>
    <row r="109" spans="1:8" s="50" customFormat="1" ht="19.5" customHeight="1">
      <c r="A109" s="45">
        <v>46122</v>
      </c>
      <c r="B109" s="46" t="s">
        <v>109</v>
      </c>
      <c r="C109" s="47">
        <v>15</v>
      </c>
      <c r="D109" s="48" t="s">
        <v>79</v>
      </c>
      <c r="E109" s="48" t="s">
        <v>23</v>
      </c>
      <c r="F109" s="49" t="s">
        <v>68</v>
      </c>
      <c r="G109" s="48">
        <v>1</v>
      </c>
      <c r="H109" s="49"/>
    </row>
    <row r="110" spans="1:8" s="50" customFormat="1" ht="19.5" customHeight="1">
      <c r="A110" s="45">
        <v>46126</v>
      </c>
      <c r="B110" s="46" t="s">
        <v>109</v>
      </c>
      <c r="C110" s="47">
        <v>16</v>
      </c>
      <c r="D110" s="48" t="s">
        <v>78</v>
      </c>
      <c r="E110" s="48" t="s">
        <v>24</v>
      </c>
      <c r="F110" s="49" t="s">
        <v>96</v>
      </c>
      <c r="G110" s="48">
        <v>2</v>
      </c>
      <c r="H110" s="49"/>
    </row>
    <row r="111" spans="1:8" s="50" customFormat="1" ht="19.5" customHeight="1">
      <c r="A111" s="45">
        <v>46126</v>
      </c>
      <c r="B111" s="46" t="s">
        <v>109</v>
      </c>
      <c r="C111" s="47">
        <v>16</v>
      </c>
      <c r="D111" s="48" t="s">
        <v>78</v>
      </c>
      <c r="E111" s="48" t="s">
        <v>23</v>
      </c>
      <c r="F111" s="49" t="s">
        <v>115</v>
      </c>
      <c r="G111" s="48">
        <v>2</v>
      </c>
      <c r="H111" s="49"/>
    </row>
    <row r="112" spans="1:8" s="50" customFormat="1" ht="19.5" customHeight="1">
      <c r="A112" s="45">
        <v>46127</v>
      </c>
      <c r="B112" s="46" t="s">
        <v>109</v>
      </c>
      <c r="C112" s="47">
        <v>16</v>
      </c>
      <c r="D112" s="48" t="s">
        <v>56</v>
      </c>
      <c r="E112" s="48" t="s">
        <v>19</v>
      </c>
      <c r="F112" s="49" t="s">
        <v>63</v>
      </c>
      <c r="G112" s="48">
        <v>1</v>
      </c>
      <c r="H112" s="49"/>
    </row>
    <row r="113" spans="1:8" s="50" customFormat="1" ht="19.5" customHeight="1">
      <c r="A113" s="45">
        <v>46127</v>
      </c>
      <c r="B113" s="46" t="s">
        <v>109</v>
      </c>
      <c r="C113" s="47">
        <v>16</v>
      </c>
      <c r="D113" s="48" t="s">
        <v>56</v>
      </c>
      <c r="E113" s="48" t="s">
        <v>19</v>
      </c>
      <c r="F113" s="49" t="s">
        <v>62</v>
      </c>
      <c r="G113" s="48">
        <v>1</v>
      </c>
      <c r="H113" s="49"/>
    </row>
    <row r="114" spans="1:8" s="50" customFormat="1" ht="19.5" customHeight="1">
      <c r="A114" s="45">
        <v>46129</v>
      </c>
      <c r="B114" s="46" t="s">
        <v>109</v>
      </c>
      <c r="C114" s="47">
        <v>16</v>
      </c>
      <c r="D114" s="48" t="s">
        <v>57</v>
      </c>
      <c r="E114" s="48" t="s">
        <v>16</v>
      </c>
      <c r="F114" s="49" t="s">
        <v>76</v>
      </c>
      <c r="G114" s="48">
        <v>2</v>
      </c>
      <c r="H114" s="49"/>
    </row>
    <row r="115" spans="1:8" s="50" customFormat="1" ht="19.5" customHeight="1">
      <c r="A115" s="45">
        <v>46129</v>
      </c>
      <c r="B115" s="46" t="s">
        <v>109</v>
      </c>
      <c r="C115" s="47">
        <v>16</v>
      </c>
      <c r="D115" s="48" t="s">
        <v>78</v>
      </c>
      <c r="E115" s="48" t="s">
        <v>25</v>
      </c>
      <c r="F115" s="49" t="s">
        <v>116</v>
      </c>
      <c r="G115" s="48">
        <v>2</v>
      </c>
      <c r="H115" s="49"/>
    </row>
    <row r="116" spans="1:8" s="50" customFormat="1" ht="19.5" customHeight="1">
      <c r="A116" s="45">
        <v>46130</v>
      </c>
      <c r="B116" s="46" t="s">
        <v>109</v>
      </c>
      <c r="C116" s="47">
        <v>16</v>
      </c>
      <c r="D116" s="48" t="s">
        <v>78</v>
      </c>
      <c r="E116" s="48" t="s">
        <v>19</v>
      </c>
      <c r="F116" s="49" t="s">
        <v>63</v>
      </c>
      <c r="G116" s="48">
        <v>1</v>
      </c>
      <c r="H116" s="49"/>
    </row>
    <row r="117" spans="1:8" s="50" customFormat="1" ht="19.5" customHeight="1">
      <c r="A117" s="45">
        <v>46132</v>
      </c>
      <c r="B117" s="46" t="s">
        <v>109</v>
      </c>
      <c r="C117" s="47">
        <v>17</v>
      </c>
      <c r="D117" s="48" t="s">
        <v>78</v>
      </c>
      <c r="E117" s="48" t="s">
        <v>14</v>
      </c>
      <c r="F117" s="49" t="s">
        <v>117</v>
      </c>
      <c r="G117" s="48">
        <v>2</v>
      </c>
      <c r="H117" s="49"/>
    </row>
    <row r="118" spans="1:8" s="50" customFormat="1" ht="19.5" customHeight="1">
      <c r="A118" s="45">
        <v>46132</v>
      </c>
      <c r="B118" s="46" t="s">
        <v>109</v>
      </c>
      <c r="C118" s="47">
        <v>17</v>
      </c>
      <c r="D118" s="48" t="s">
        <v>78</v>
      </c>
      <c r="E118" s="48" t="s">
        <v>24</v>
      </c>
      <c r="F118" s="49" t="s">
        <v>118</v>
      </c>
      <c r="G118" s="48">
        <v>3</v>
      </c>
      <c r="H118" s="49"/>
    </row>
    <row r="119" spans="1:8" s="50" customFormat="1" ht="19.5" customHeight="1">
      <c r="A119" s="45">
        <v>46133</v>
      </c>
      <c r="B119" s="46" t="s">
        <v>109</v>
      </c>
      <c r="C119" s="47">
        <v>17</v>
      </c>
      <c r="D119" s="48" t="s">
        <v>78</v>
      </c>
      <c r="E119" s="48" t="s">
        <v>22</v>
      </c>
      <c r="F119" s="49" t="s">
        <v>119</v>
      </c>
      <c r="G119" s="48">
        <v>1</v>
      </c>
      <c r="H119" s="49"/>
    </row>
    <row r="120" spans="1:8" s="50" customFormat="1" ht="19.5" customHeight="1">
      <c r="A120" s="45">
        <v>46135</v>
      </c>
      <c r="B120" s="46" t="s">
        <v>109</v>
      </c>
      <c r="C120" s="47">
        <v>17</v>
      </c>
      <c r="D120" s="48" t="s">
        <v>56</v>
      </c>
      <c r="E120" s="48" t="s">
        <v>25</v>
      </c>
      <c r="F120" s="49" t="s">
        <v>110</v>
      </c>
      <c r="G120" s="48">
        <v>1</v>
      </c>
      <c r="H120" s="49"/>
    </row>
    <row r="121" spans="1:8" s="50" customFormat="1" ht="19.5" customHeight="1">
      <c r="A121" s="45">
        <v>46135</v>
      </c>
      <c r="B121" s="46" t="s">
        <v>109</v>
      </c>
      <c r="C121" s="47">
        <v>17</v>
      </c>
      <c r="D121" s="48" t="s">
        <v>56</v>
      </c>
      <c r="E121" s="48" t="s">
        <v>23</v>
      </c>
      <c r="F121" s="49" t="s">
        <v>68</v>
      </c>
      <c r="G121" s="48">
        <v>1</v>
      </c>
      <c r="H121" s="49"/>
    </row>
    <row r="122" spans="1:8" s="50" customFormat="1" ht="19.5" customHeight="1">
      <c r="A122" s="45">
        <v>46137</v>
      </c>
      <c r="B122" s="46" t="s">
        <v>109</v>
      </c>
      <c r="C122" s="47">
        <v>17</v>
      </c>
      <c r="D122" s="48" t="s">
        <v>54</v>
      </c>
      <c r="E122" s="48" t="s">
        <v>19</v>
      </c>
      <c r="F122" s="49" t="s">
        <v>120</v>
      </c>
      <c r="G122" s="48">
        <v>3</v>
      </c>
      <c r="H122" s="49"/>
    </row>
    <row r="123" spans="1:8" s="50" customFormat="1" ht="19.5" customHeight="1">
      <c r="A123" s="45">
        <v>46137</v>
      </c>
      <c r="B123" s="46" t="s">
        <v>109</v>
      </c>
      <c r="C123" s="47">
        <v>17</v>
      </c>
      <c r="D123" s="48" t="s">
        <v>56</v>
      </c>
      <c r="E123" s="48" t="s">
        <v>19</v>
      </c>
      <c r="F123" s="49" t="s">
        <v>63</v>
      </c>
      <c r="G123" s="48">
        <v>1</v>
      </c>
      <c r="H123" s="49"/>
    </row>
    <row r="124" spans="1:8" s="50" customFormat="1" ht="19.5" customHeight="1">
      <c r="A124" s="45">
        <v>46139</v>
      </c>
      <c r="B124" s="46" t="s">
        <v>109</v>
      </c>
      <c r="C124" s="47">
        <v>18</v>
      </c>
      <c r="D124" s="48" t="s">
        <v>56</v>
      </c>
      <c r="E124" s="48" t="s">
        <v>25</v>
      </c>
      <c r="F124" s="49" t="s">
        <v>121</v>
      </c>
      <c r="G124" s="48">
        <v>1</v>
      </c>
      <c r="H124" s="49"/>
    </row>
    <row r="125" spans="1:8" s="50" customFormat="1" ht="19.5" customHeight="1">
      <c r="A125" s="45">
        <v>46142</v>
      </c>
      <c r="B125" s="46" t="s">
        <v>109</v>
      </c>
      <c r="C125" s="47">
        <v>18</v>
      </c>
      <c r="D125" s="48" t="s">
        <v>79</v>
      </c>
      <c r="E125" s="48" t="s">
        <v>23</v>
      </c>
      <c r="F125" s="49" t="s">
        <v>68</v>
      </c>
      <c r="G125" s="48">
        <v>1</v>
      </c>
      <c r="H125" s="49"/>
    </row>
    <row r="126" spans="1:8" s="50" customFormat="1" ht="19.5" customHeight="1">
      <c r="A126" s="45">
        <v>46146</v>
      </c>
      <c r="B126" s="46" t="s">
        <v>122</v>
      </c>
      <c r="C126" s="47">
        <v>19</v>
      </c>
      <c r="D126" s="48" t="s">
        <v>57</v>
      </c>
      <c r="E126" s="48" t="s">
        <v>18</v>
      </c>
      <c r="F126" s="49" t="s">
        <v>123</v>
      </c>
      <c r="G126" s="48">
        <v>1</v>
      </c>
      <c r="H126" s="49"/>
    </row>
    <row r="127" spans="1:8" s="50" customFormat="1" ht="19.5" customHeight="1">
      <c r="A127" s="45">
        <v>46146</v>
      </c>
      <c r="B127" s="46" t="s">
        <v>122</v>
      </c>
      <c r="C127" s="47">
        <v>19</v>
      </c>
      <c r="D127" s="48" t="s">
        <v>57</v>
      </c>
      <c r="E127" s="48" t="s">
        <v>18</v>
      </c>
      <c r="F127" s="49" t="s">
        <v>58</v>
      </c>
      <c r="G127" s="48">
        <v>1</v>
      </c>
      <c r="H127" s="49"/>
    </row>
    <row r="128" spans="1:8" s="50" customFormat="1" ht="19.5" customHeight="1">
      <c r="A128" s="45">
        <v>46146</v>
      </c>
      <c r="B128" s="46" t="s">
        <v>122</v>
      </c>
      <c r="C128" s="47">
        <v>19</v>
      </c>
      <c r="D128" s="48" t="s">
        <v>56</v>
      </c>
      <c r="E128" s="48" t="s">
        <v>14</v>
      </c>
      <c r="F128" s="49" t="s">
        <v>117</v>
      </c>
      <c r="G128" s="48">
        <v>1</v>
      </c>
      <c r="H128" s="49"/>
    </row>
    <row r="129" spans="1:8" s="50" customFormat="1" ht="19.5" customHeight="1">
      <c r="A129" s="45">
        <v>46150</v>
      </c>
      <c r="B129" s="46" t="s">
        <v>122</v>
      </c>
      <c r="C129" s="47">
        <v>19</v>
      </c>
      <c r="D129" s="48" t="s">
        <v>55</v>
      </c>
      <c r="E129" s="48" t="s">
        <v>20</v>
      </c>
      <c r="F129" s="49" t="s">
        <v>124</v>
      </c>
      <c r="G129" s="48">
        <v>2</v>
      </c>
      <c r="H129" s="49"/>
    </row>
    <row r="130" spans="1:8" s="50" customFormat="1" ht="19.5" customHeight="1">
      <c r="A130" s="45">
        <v>46150</v>
      </c>
      <c r="B130" s="46" t="s">
        <v>122</v>
      </c>
      <c r="C130" s="47">
        <v>19</v>
      </c>
      <c r="D130" s="48" t="s">
        <v>78</v>
      </c>
      <c r="E130" s="48" t="s">
        <v>27</v>
      </c>
      <c r="F130" s="49" t="s">
        <v>125</v>
      </c>
      <c r="G130" s="48">
        <v>2</v>
      </c>
      <c r="H130" s="49"/>
    </row>
    <row r="131" spans="1:8" s="50" customFormat="1" ht="19.5" customHeight="1">
      <c r="A131" s="45">
        <v>46153</v>
      </c>
      <c r="B131" s="46" t="s">
        <v>122</v>
      </c>
      <c r="C131" s="47">
        <v>20</v>
      </c>
      <c r="D131" s="48" t="s">
        <v>57</v>
      </c>
      <c r="E131" s="48" t="s">
        <v>18</v>
      </c>
      <c r="F131" s="49" t="s">
        <v>126</v>
      </c>
      <c r="G131" s="48">
        <v>1</v>
      </c>
      <c r="H131" s="49"/>
    </row>
    <row r="132" spans="1:8" s="50" customFormat="1" ht="19.5" customHeight="1">
      <c r="A132" s="45">
        <v>46154</v>
      </c>
      <c r="B132" s="46" t="s">
        <v>122</v>
      </c>
      <c r="C132" s="47">
        <v>20</v>
      </c>
      <c r="D132" s="48" t="s">
        <v>56</v>
      </c>
      <c r="E132" s="48" t="s">
        <v>23</v>
      </c>
      <c r="F132" s="49" t="s">
        <v>127</v>
      </c>
      <c r="G132" s="48">
        <v>3</v>
      </c>
      <c r="H132" s="49"/>
    </row>
    <row r="133" spans="1:8" s="50" customFormat="1" ht="19.5" customHeight="1">
      <c r="A133" s="45">
        <v>46154</v>
      </c>
      <c r="B133" s="46" t="s">
        <v>122</v>
      </c>
      <c r="C133" s="47">
        <v>20</v>
      </c>
      <c r="D133" s="48" t="s">
        <v>56</v>
      </c>
      <c r="E133" s="48" t="s">
        <v>19</v>
      </c>
      <c r="F133" s="49" t="s">
        <v>63</v>
      </c>
      <c r="G133" s="48">
        <v>1</v>
      </c>
      <c r="H133" s="49"/>
    </row>
    <row r="134" spans="1:8" s="50" customFormat="1" ht="19.5" customHeight="1">
      <c r="A134" s="45">
        <v>46154</v>
      </c>
      <c r="B134" s="46" t="s">
        <v>122</v>
      </c>
      <c r="C134" s="47">
        <v>20</v>
      </c>
      <c r="D134" s="48" t="s">
        <v>56</v>
      </c>
      <c r="E134" s="48" t="s">
        <v>23</v>
      </c>
      <c r="F134" s="49" t="s">
        <v>66</v>
      </c>
      <c r="G134" s="48">
        <v>2</v>
      </c>
      <c r="H134" s="49"/>
    </row>
    <row r="135" spans="1:8" s="50" customFormat="1" ht="19.5" customHeight="1">
      <c r="A135" s="45">
        <v>46155</v>
      </c>
      <c r="B135" s="46" t="s">
        <v>122</v>
      </c>
      <c r="C135" s="47">
        <v>20</v>
      </c>
      <c r="D135" s="48" t="s">
        <v>56</v>
      </c>
      <c r="E135" s="48" t="s">
        <v>19</v>
      </c>
      <c r="F135" s="49" t="s">
        <v>74</v>
      </c>
      <c r="G135" s="48">
        <v>1</v>
      </c>
      <c r="H135" s="49"/>
    </row>
    <row r="136" spans="1:8" s="50" customFormat="1" ht="19.5" customHeight="1">
      <c r="A136" s="45">
        <v>46160</v>
      </c>
      <c r="B136" s="46" t="s">
        <v>122</v>
      </c>
      <c r="C136" s="47">
        <v>21</v>
      </c>
      <c r="D136" s="48" t="s">
        <v>78</v>
      </c>
      <c r="E136" s="48" t="s">
        <v>16</v>
      </c>
      <c r="F136" s="49" t="s">
        <v>128</v>
      </c>
      <c r="G136" s="48">
        <v>1</v>
      </c>
      <c r="H136" s="49"/>
    </row>
    <row r="137" spans="1:8" s="50" customFormat="1" ht="19.5" customHeight="1">
      <c r="A137" s="45">
        <v>46160</v>
      </c>
      <c r="B137" s="46" t="s">
        <v>122</v>
      </c>
      <c r="C137" s="47">
        <v>21</v>
      </c>
      <c r="D137" s="48" t="s">
        <v>78</v>
      </c>
      <c r="E137" s="48" t="s">
        <v>25</v>
      </c>
      <c r="F137" s="49" t="s">
        <v>129</v>
      </c>
      <c r="G137" s="48">
        <v>1</v>
      </c>
      <c r="H137" s="49"/>
    </row>
    <row r="138" spans="1:8" s="50" customFormat="1" ht="19.5" customHeight="1">
      <c r="A138" s="45">
        <v>46162</v>
      </c>
      <c r="B138" s="46" t="s">
        <v>122</v>
      </c>
      <c r="C138" s="47">
        <v>21</v>
      </c>
      <c r="D138" s="48" t="s">
        <v>56</v>
      </c>
      <c r="E138" s="48" t="s">
        <v>23</v>
      </c>
      <c r="F138" s="49" t="s">
        <v>68</v>
      </c>
      <c r="G138" s="48">
        <v>1</v>
      </c>
      <c r="H138" s="49"/>
    </row>
    <row r="139" spans="1:8" s="50" customFormat="1" ht="19.5" customHeight="1">
      <c r="A139" s="45">
        <v>46162</v>
      </c>
      <c r="B139" s="46" t="s">
        <v>122</v>
      </c>
      <c r="C139" s="47">
        <v>21</v>
      </c>
      <c r="D139" s="48" t="s">
        <v>56</v>
      </c>
      <c r="E139" s="48" t="s">
        <v>16</v>
      </c>
      <c r="F139" s="49" t="s">
        <v>76</v>
      </c>
      <c r="G139" s="48">
        <v>1</v>
      </c>
      <c r="H139" s="49"/>
    </row>
    <row r="140" spans="1:8" s="50" customFormat="1" ht="19.5" customHeight="1">
      <c r="A140" s="45">
        <v>46164</v>
      </c>
      <c r="B140" s="46" t="s">
        <v>122</v>
      </c>
      <c r="C140" s="47">
        <v>21</v>
      </c>
      <c r="D140" s="48" t="s">
        <v>55</v>
      </c>
      <c r="E140" s="48" t="s">
        <v>23</v>
      </c>
      <c r="F140" s="49" t="s">
        <v>68</v>
      </c>
      <c r="G140" s="48">
        <v>1</v>
      </c>
      <c r="H140" s="49"/>
    </row>
    <row r="141" spans="1:8" s="50" customFormat="1" ht="19.5" customHeight="1">
      <c r="A141" s="45">
        <v>46167</v>
      </c>
      <c r="B141" s="46" t="s">
        <v>122</v>
      </c>
      <c r="C141" s="47">
        <v>22</v>
      </c>
      <c r="D141" s="48" t="s">
        <v>79</v>
      </c>
      <c r="E141" s="48" t="s">
        <v>70</v>
      </c>
      <c r="F141" s="49" t="s">
        <v>71</v>
      </c>
      <c r="G141" s="48">
        <v>1</v>
      </c>
      <c r="H141" s="49"/>
    </row>
    <row r="142" spans="1:8" s="50" customFormat="1" ht="19.5" customHeight="1">
      <c r="A142" s="45">
        <v>46167</v>
      </c>
      <c r="B142" s="46" t="s">
        <v>122</v>
      </c>
      <c r="C142" s="47">
        <v>22</v>
      </c>
      <c r="D142" s="48" t="s">
        <v>79</v>
      </c>
      <c r="E142" s="48" t="s">
        <v>24</v>
      </c>
      <c r="F142" s="49" t="s">
        <v>130</v>
      </c>
      <c r="G142" s="48">
        <v>3</v>
      </c>
      <c r="H142" s="49"/>
    </row>
    <row r="143" spans="1:8" s="50" customFormat="1" ht="19.5" customHeight="1">
      <c r="A143" s="45">
        <v>46168</v>
      </c>
      <c r="B143" s="46" t="s">
        <v>122</v>
      </c>
      <c r="C143" s="47">
        <v>22</v>
      </c>
      <c r="D143" s="48" t="s">
        <v>54</v>
      </c>
      <c r="E143" s="48" t="s">
        <v>16</v>
      </c>
      <c r="F143" s="49" t="s">
        <v>131</v>
      </c>
      <c r="G143" s="48">
        <v>2</v>
      </c>
      <c r="H143" s="49"/>
    </row>
    <row r="144" spans="1:8" s="50" customFormat="1" ht="19.5" customHeight="1">
      <c r="A144" s="45">
        <v>46169</v>
      </c>
      <c r="B144" s="46" t="s">
        <v>122</v>
      </c>
      <c r="C144" s="47">
        <v>22</v>
      </c>
      <c r="D144" s="48" t="s">
        <v>55</v>
      </c>
      <c r="E144" s="48" t="s">
        <v>24</v>
      </c>
      <c r="F144" s="49" t="s">
        <v>132</v>
      </c>
      <c r="G144" s="48">
        <v>2</v>
      </c>
      <c r="H144" s="49"/>
    </row>
    <row r="145" spans="1:8" s="50" customFormat="1" ht="19.5" customHeight="1">
      <c r="A145" s="45">
        <v>46169</v>
      </c>
      <c r="B145" s="46" t="s">
        <v>122</v>
      </c>
      <c r="C145" s="47">
        <v>22</v>
      </c>
      <c r="D145" s="48" t="s">
        <v>55</v>
      </c>
      <c r="E145" s="48" t="s">
        <v>19</v>
      </c>
      <c r="F145" s="49" t="s">
        <v>74</v>
      </c>
      <c r="G145" s="48">
        <v>1</v>
      </c>
      <c r="H145" s="49"/>
    </row>
    <row r="146" spans="1:8" s="50" customFormat="1" ht="19.5" customHeight="1">
      <c r="A146" s="45">
        <v>46169</v>
      </c>
      <c r="B146" s="46" t="s">
        <v>122</v>
      </c>
      <c r="C146" s="47">
        <v>22</v>
      </c>
      <c r="D146" s="48" t="s">
        <v>56</v>
      </c>
      <c r="E146" s="48" t="s">
        <v>24</v>
      </c>
      <c r="F146" s="49" t="s">
        <v>133</v>
      </c>
      <c r="G146" s="48">
        <v>2</v>
      </c>
      <c r="H146" s="49"/>
    </row>
    <row r="147" spans="1:8" s="50" customFormat="1" ht="19.5" customHeight="1">
      <c r="A147" s="45">
        <v>46174</v>
      </c>
      <c r="B147" s="46" t="s">
        <v>134</v>
      </c>
      <c r="C147" s="47">
        <v>23</v>
      </c>
      <c r="D147" s="48" t="s">
        <v>56</v>
      </c>
      <c r="E147" s="48" t="s">
        <v>19</v>
      </c>
      <c r="F147" s="49" t="s">
        <v>135</v>
      </c>
      <c r="G147" s="48">
        <v>3</v>
      </c>
      <c r="H147" s="49"/>
    </row>
    <row r="148" spans="1:8" s="50" customFormat="1" ht="19.5" customHeight="1">
      <c r="A148" s="45">
        <v>46176</v>
      </c>
      <c r="B148" s="46" t="s">
        <v>134</v>
      </c>
      <c r="C148" s="47">
        <v>23</v>
      </c>
      <c r="D148" s="48" t="s">
        <v>57</v>
      </c>
      <c r="E148" s="48" t="s">
        <v>19</v>
      </c>
      <c r="F148" s="49" t="s">
        <v>136</v>
      </c>
      <c r="G148" s="48">
        <v>2</v>
      </c>
      <c r="H148" s="49"/>
    </row>
    <row r="149" spans="1:8" s="50" customFormat="1" ht="19.5" customHeight="1">
      <c r="A149" s="45">
        <v>46179</v>
      </c>
      <c r="B149" s="46" t="s">
        <v>134</v>
      </c>
      <c r="C149" s="47">
        <v>23</v>
      </c>
      <c r="D149" s="48" t="s">
        <v>53</v>
      </c>
      <c r="E149" s="48" t="s">
        <v>19</v>
      </c>
      <c r="F149" s="49" t="s">
        <v>140</v>
      </c>
      <c r="G149" s="48">
        <v>3</v>
      </c>
      <c r="H149" s="49"/>
    </row>
    <row r="150" spans="1:8" s="50" customFormat="1" ht="19.5" customHeight="1">
      <c r="A150" s="45">
        <v>46179</v>
      </c>
      <c r="B150" s="46" t="s">
        <v>134</v>
      </c>
      <c r="C150" s="47">
        <v>23</v>
      </c>
      <c r="D150" s="48" t="s">
        <v>48</v>
      </c>
      <c r="E150" s="48" t="s">
        <v>19</v>
      </c>
      <c r="F150" s="49" t="s">
        <v>138</v>
      </c>
      <c r="G150" s="54">
        <v>12</v>
      </c>
      <c r="H150" s="49" t="s">
        <v>139</v>
      </c>
    </row>
    <row r="151" spans="1:8" s="50" customFormat="1" ht="19.5" customHeight="1">
      <c r="A151" s="45">
        <v>46179</v>
      </c>
      <c r="B151" s="46" t="s">
        <v>134</v>
      </c>
      <c r="C151" s="47">
        <v>23</v>
      </c>
      <c r="D151" s="48" t="s">
        <v>48</v>
      </c>
      <c r="E151" s="48" t="s">
        <v>22</v>
      </c>
      <c r="F151" s="49" t="s">
        <v>137</v>
      </c>
      <c r="G151" s="48">
        <v>3</v>
      </c>
      <c r="H151" s="49"/>
    </row>
    <row r="152" spans="1:8" s="50" customFormat="1" ht="19.5" customHeight="1">
      <c r="A152" s="45">
        <v>46181</v>
      </c>
      <c r="B152" s="46" t="s">
        <v>134</v>
      </c>
      <c r="C152" s="47">
        <v>24</v>
      </c>
      <c r="D152" s="48" t="s">
        <v>48</v>
      </c>
      <c r="E152" s="48" t="s">
        <v>19</v>
      </c>
      <c r="F152" s="49" t="s">
        <v>141</v>
      </c>
      <c r="G152" s="54">
        <v>60</v>
      </c>
      <c r="H152" s="49" t="s">
        <v>142</v>
      </c>
    </row>
    <row r="153" spans="1:8" s="50" customFormat="1" ht="19.5" customHeight="1">
      <c r="A153" s="45">
        <v>46182</v>
      </c>
      <c r="B153" s="46" t="s">
        <v>134</v>
      </c>
      <c r="C153" s="47">
        <v>24</v>
      </c>
      <c r="D153" s="48" t="s">
        <v>56</v>
      </c>
      <c r="E153" s="48" t="s">
        <v>23</v>
      </c>
      <c r="F153" s="49" t="s">
        <v>68</v>
      </c>
      <c r="G153" s="48">
        <v>2</v>
      </c>
      <c r="H153" s="49"/>
    </row>
    <row r="154" spans="1:8" s="50" customFormat="1" ht="19.5" customHeight="1">
      <c r="A154" s="45">
        <v>46183</v>
      </c>
      <c r="B154" s="46" t="s">
        <v>134</v>
      </c>
      <c r="C154" s="47">
        <v>24</v>
      </c>
      <c r="D154" s="48" t="s">
        <v>56</v>
      </c>
      <c r="E154" s="48" t="s">
        <v>24</v>
      </c>
      <c r="F154" s="49" t="s">
        <v>59</v>
      </c>
      <c r="G154" s="48">
        <v>1</v>
      </c>
      <c r="H154" s="49"/>
    </row>
    <row r="155" spans="1:8" s="50" customFormat="1" ht="19.5" customHeight="1">
      <c r="A155" s="45">
        <v>46185</v>
      </c>
      <c r="B155" s="46" t="s">
        <v>134</v>
      </c>
      <c r="C155" s="47">
        <v>24</v>
      </c>
      <c r="D155" s="48" t="s">
        <v>56</v>
      </c>
      <c r="E155" s="48" t="s">
        <v>23</v>
      </c>
      <c r="F155" s="49" t="s">
        <v>66</v>
      </c>
      <c r="G155" s="48">
        <v>1</v>
      </c>
      <c r="H155" s="49"/>
    </row>
    <row r="156" spans="1:8" s="50" customFormat="1" ht="19.5" customHeight="1">
      <c r="A156" s="45">
        <v>46185</v>
      </c>
      <c r="B156" s="46" t="s">
        <v>134</v>
      </c>
      <c r="C156" s="47">
        <v>24</v>
      </c>
      <c r="D156" s="48" t="s">
        <v>56</v>
      </c>
      <c r="E156" s="48" t="s">
        <v>19</v>
      </c>
      <c r="F156" s="49" t="s">
        <v>62</v>
      </c>
      <c r="G156" s="48">
        <v>1</v>
      </c>
      <c r="H156" s="49"/>
    </row>
    <row r="157" spans="1:8" s="50" customFormat="1" ht="19.5" customHeight="1">
      <c r="A157" s="45">
        <v>46186</v>
      </c>
      <c r="B157" s="46" t="s">
        <v>134</v>
      </c>
      <c r="C157" s="47">
        <v>24</v>
      </c>
      <c r="D157" s="48" t="s">
        <v>55</v>
      </c>
      <c r="E157" s="48" t="s">
        <v>25</v>
      </c>
      <c r="F157" s="49" t="s">
        <v>143</v>
      </c>
      <c r="G157" s="54">
        <v>30</v>
      </c>
      <c r="H157" s="49" t="s">
        <v>144</v>
      </c>
    </row>
    <row r="158" spans="1:8" s="50" customFormat="1" ht="19.5" customHeight="1">
      <c r="A158" s="45">
        <v>46190</v>
      </c>
      <c r="B158" s="46" t="s">
        <v>134</v>
      </c>
      <c r="C158" s="47">
        <v>25</v>
      </c>
      <c r="D158" s="48" t="s">
        <v>50</v>
      </c>
      <c r="E158" s="48" t="s">
        <v>25</v>
      </c>
      <c r="F158" s="49" t="s">
        <v>145</v>
      </c>
      <c r="G158" s="54">
        <v>4</v>
      </c>
      <c r="H158" s="49" t="s">
        <v>146</v>
      </c>
    </row>
    <row r="159" spans="1:8" s="50" customFormat="1" ht="19.5" customHeight="1">
      <c r="A159" s="45">
        <v>46193</v>
      </c>
      <c r="B159" s="46" t="s">
        <v>134</v>
      </c>
      <c r="C159" s="47">
        <v>25</v>
      </c>
      <c r="D159" s="48" t="s">
        <v>56</v>
      </c>
      <c r="E159" s="48" t="s">
        <v>24</v>
      </c>
      <c r="F159" s="49" t="s">
        <v>59</v>
      </c>
      <c r="G159" s="48">
        <v>1</v>
      </c>
      <c r="H159" s="49"/>
    </row>
    <row r="160" spans="1:8" s="50" customFormat="1" ht="19.5" customHeight="1">
      <c r="A160" s="45">
        <v>46196</v>
      </c>
      <c r="B160" s="46" t="s">
        <v>134</v>
      </c>
      <c r="C160" s="47">
        <v>26</v>
      </c>
      <c r="D160" s="48" t="s">
        <v>79</v>
      </c>
      <c r="E160" s="48" t="s">
        <v>16</v>
      </c>
      <c r="F160" s="49" t="s">
        <v>99</v>
      </c>
      <c r="G160" s="48">
        <v>2</v>
      </c>
      <c r="H160" s="49"/>
    </row>
    <row r="161" spans="1:8" s="50" customFormat="1" ht="19.5" customHeight="1">
      <c r="A161" s="45">
        <v>46203</v>
      </c>
      <c r="B161" s="46" t="s">
        <v>134</v>
      </c>
      <c r="C161" s="47">
        <v>27</v>
      </c>
      <c r="D161" s="48" t="s">
        <v>55</v>
      </c>
      <c r="E161" s="48" t="s">
        <v>19</v>
      </c>
      <c r="F161" s="49" t="s">
        <v>62</v>
      </c>
      <c r="G161" s="48">
        <v>1</v>
      </c>
      <c r="H161" s="49"/>
    </row>
    <row r="162" spans="1:8" s="50" customFormat="1" ht="19.5" customHeight="1">
      <c r="A162" s="45">
        <v>46204</v>
      </c>
      <c r="B162" s="46" t="s">
        <v>147</v>
      </c>
      <c r="C162" s="47">
        <v>27</v>
      </c>
      <c r="D162" s="48" t="s">
        <v>57</v>
      </c>
      <c r="E162" s="48" t="s">
        <v>19</v>
      </c>
      <c r="F162" s="49" t="s">
        <v>148</v>
      </c>
      <c r="G162" s="48">
        <v>3</v>
      </c>
      <c r="H162" s="49"/>
    </row>
    <row r="163" spans="1:8" s="50" customFormat="1" ht="19.5" customHeight="1">
      <c r="A163" s="45">
        <v>46209</v>
      </c>
      <c r="B163" s="46" t="s">
        <v>147</v>
      </c>
      <c r="C163" s="47">
        <v>28</v>
      </c>
      <c r="D163" s="48" t="s">
        <v>56</v>
      </c>
      <c r="E163" s="48" t="s">
        <v>24</v>
      </c>
      <c r="F163" s="49" t="s">
        <v>149</v>
      </c>
      <c r="G163" s="48">
        <v>1</v>
      </c>
      <c r="H163" s="49"/>
    </row>
    <row r="164" spans="1:8" s="50" customFormat="1" ht="19.5" customHeight="1">
      <c r="A164" s="45">
        <v>46214</v>
      </c>
      <c r="B164" s="46" t="s">
        <v>147</v>
      </c>
      <c r="C164" s="47">
        <v>28</v>
      </c>
      <c r="D164" s="48" t="s">
        <v>79</v>
      </c>
      <c r="E164" s="48" t="s">
        <v>70</v>
      </c>
      <c r="F164" s="49" t="s">
        <v>150</v>
      </c>
      <c r="G164" s="48">
        <v>1</v>
      </c>
      <c r="H164" s="49"/>
    </row>
    <row r="165" spans="1:8" s="50" customFormat="1" ht="19.5" customHeight="1">
      <c r="A165" s="45">
        <v>46214</v>
      </c>
      <c r="B165" s="46" t="s">
        <v>147</v>
      </c>
      <c r="C165" s="47">
        <v>28</v>
      </c>
      <c r="D165" s="48" t="s">
        <v>79</v>
      </c>
      <c r="E165" s="48" t="s">
        <v>24</v>
      </c>
      <c r="F165" s="49" t="s">
        <v>118</v>
      </c>
      <c r="G165" s="48">
        <v>1</v>
      </c>
      <c r="H165" s="49"/>
    </row>
    <row r="166" spans="1:8" s="50" customFormat="1" ht="19.5" customHeight="1">
      <c r="A166" s="45">
        <v>46217</v>
      </c>
      <c r="B166" s="46" t="s">
        <v>147</v>
      </c>
      <c r="C166" s="47">
        <v>29</v>
      </c>
      <c r="D166" s="48" t="s">
        <v>79</v>
      </c>
      <c r="E166" s="48" t="s">
        <v>70</v>
      </c>
      <c r="F166" s="49" t="s">
        <v>71</v>
      </c>
      <c r="G166" s="48">
        <v>2</v>
      </c>
      <c r="H166" s="49"/>
    </row>
    <row r="167" spans="1:8" s="50" customFormat="1" ht="19.5" customHeight="1">
      <c r="A167" s="45">
        <v>46217</v>
      </c>
      <c r="B167" s="46" t="s">
        <v>147</v>
      </c>
      <c r="C167" s="47">
        <v>29</v>
      </c>
      <c r="D167" s="48" t="s">
        <v>56</v>
      </c>
      <c r="E167" s="48" t="s">
        <v>18</v>
      </c>
      <c r="F167" s="49" t="s">
        <v>102</v>
      </c>
      <c r="G167" s="48">
        <v>1</v>
      </c>
      <c r="H167" s="49"/>
    </row>
    <row r="168" spans="1:8" s="50" customFormat="1" ht="19.5" customHeight="1">
      <c r="A168" s="45">
        <v>46220</v>
      </c>
      <c r="B168" s="46" t="s">
        <v>147</v>
      </c>
      <c r="C168" s="47">
        <v>29</v>
      </c>
      <c r="D168" s="48" t="s">
        <v>78</v>
      </c>
      <c r="E168" s="48" t="s">
        <v>16</v>
      </c>
      <c r="F168" s="49" t="s">
        <v>128</v>
      </c>
      <c r="G168" s="54">
        <v>72</v>
      </c>
      <c r="H168" s="49" t="s">
        <v>151</v>
      </c>
    </row>
    <row r="169" spans="1:8" s="50" customFormat="1" ht="19.5" customHeight="1">
      <c r="A169" s="45">
        <v>46223</v>
      </c>
      <c r="B169" s="46" t="s">
        <v>147</v>
      </c>
      <c r="C169" s="47">
        <v>30</v>
      </c>
      <c r="D169" s="48" t="s">
        <v>56</v>
      </c>
      <c r="E169" s="48" t="s">
        <v>19</v>
      </c>
      <c r="F169" s="49" t="s">
        <v>65</v>
      </c>
      <c r="G169" s="48">
        <v>2</v>
      </c>
      <c r="H169" s="49"/>
    </row>
    <row r="170" spans="1:8" s="50" customFormat="1" ht="19.5" customHeight="1">
      <c r="A170" s="45">
        <v>46224</v>
      </c>
      <c r="B170" s="46" t="s">
        <v>147</v>
      </c>
      <c r="C170" s="47">
        <v>30</v>
      </c>
      <c r="D170" s="48" t="s">
        <v>56</v>
      </c>
      <c r="E170" s="48" t="s">
        <v>19</v>
      </c>
      <c r="F170" s="49" t="s">
        <v>152</v>
      </c>
      <c r="G170" s="48">
        <v>2</v>
      </c>
      <c r="H170" s="49"/>
    </row>
    <row r="171" spans="1:8" s="50" customFormat="1" ht="19.5" customHeight="1">
      <c r="A171" s="45">
        <v>46230</v>
      </c>
      <c r="B171" s="46" t="s">
        <v>147</v>
      </c>
      <c r="C171" s="47">
        <v>31</v>
      </c>
      <c r="D171" s="48" t="s">
        <v>56</v>
      </c>
      <c r="E171" s="48" t="s">
        <v>24</v>
      </c>
      <c r="F171" s="49" t="s">
        <v>133</v>
      </c>
      <c r="G171" s="48">
        <v>2</v>
      </c>
      <c r="H171" s="49"/>
    </row>
    <row r="172" spans="1:8" s="50" customFormat="1" ht="19.5" customHeight="1">
      <c r="A172" s="45">
        <v>46231</v>
      </c>
      <c r="B172" s="46" t="s">
        <v>147</v>
      </c>
      <c r="C172" s="47">
        <v>31</v>
      </c>
      <c r="D172" s="48" t="s">
        <v>56</v>
      </c>
      <c r="E172" s="48" t="s">
        <v>16</v>
      </c>
      <c r="F172" s="49" t="s">
        <v>99</v>
      </c>
      <c r="G172" s="48">
        <v>1</v>
      </c>
      <c r="H172" s="49"/>
    </row>
    <row r="173" spans="1:8" s="50" customFormat="1" ht="19.5" customHeight="1">
      <c r="A173" s="45">
        <v>46231</v>
      </c>
      <c r="B173" s="46" t="s">
        <v>147</v>
      </c>
      <c r="C173" s="47">
        <v>31</v>
      </c>
      <c r="D173" s="48" t="s">
        <v>56</v>
      </c>
      <c r="E173" s="48" t="s">
        <v>24</v>
      </c>
      <c r="F173" s="49" t="s">
        <v>96</v>
      </c>
      <c r="G173" s="48">
        <v>1</v>
      </c>
      <c r="H173" s="49"/>
    </row>
    <row r="174" spans="1:8" s="50" customFormat="1" ht="19.5" customHeight="1">
      <c r="A174" s="45">
        <v>46238</v>
      </c>
      <c r="B174" s="46" t="s">
        <v>153</v>
      </c>
      <c r="C174" s="47">
        <v>32</v>
      </c>
      <c r="D174" s="48" t="s">
        <v>78</v>
      </c>
      <c r="E174" s="48" t="s">
        <v>19</v>
      </c>
      <c r="F174" s="49" t="s">
        <v>75</v>
      </c>
      <c r="G174" s="48">
        <v>2</v>
      </c>
      <c r="H174" s="49"/>
    </row>
    <row r="175" spans="1:8" s="50" customFormat="1" ht="19.5" customHeight="1">
      <c r="A175" s="45">
        <v>46238</v>
      </c>
      <c r="B175" s="46" t="s">
        <v>153</v>
      </c>
      <c r="C175" s="47">
        <v>32</v>
      </c>
      <c r="D175" s="48" t="s">
        <v>78</v>
      </c>
      <c r="E175" s="48" t="s">
        <v>16</v>
      </c>
      <c r="F175" s="49" t="s">
        <v>154</v>
      </c>
      <c r="G175" s="48">
        <v>1</v>
      </c>
      <c r="H175" s="49"/>
    </row>
  </sheetData>
  <autoFilter ref="A2:H3" xr:uid="{00000000-0009-0000-0000-000001000000}"/>
  <mergeCells count="1">
    <mergeCell ref="A1:H1"/>
  </mergeCells>
  <phoneticPr fontId="10" type="noConversion"/>
  <dataValidations count="2">
    <dataValidation type="list" allowBlank="1" showErrorMessage="1" sqref="D3:D175" xr:uid="{00000000-0002-0000-0100-000000000000}">
      <formula1>INDIRECT("AA")</formula1>
    </dataValidation>
    <dataValidation type="list" allowBlank="1" showErrorMessage="1" sqref="E3:E175" xr:uid="{00000000-0002-0000-0100-000001000000}">
      <formula1>INDIRECT("BB")</formula1>
    </dataValidation>
  </dataValidations>
  <pageMargins left="0.15972222222222199" right="9.0277777777777804E-2" top="1" bottom="1" header="0.51180555555555496" footer="0.51180555555555496"/>
  <pageSetup paperSize="9" scale="56" firstPageNumber="0" orientation="landscape" useFirstPageNumber="1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00FF"/>
  </sheetPr>
  <dimension ref="B1:S17"/>
  <sheetViews>
    <sheetView showGridLines="0" workbookViewId="0">
      <selection activeCell="I21" sqref="I21"/>
    </sheetView>
  </sheetViews>
  <sheetFormatPr defaultColWidth="9" defaultRowHeight="12.5"/>
  <cols>
    <col min="1" max="1" width="1.81640625" customWidth="1"/>
    <col min="2" max="2" width="18" customWidth="1"/>
    <col min="3" max="3" width="8" customWidth="1"/>
    <col min="4" max="5" width="4.81640625" customWidth="1"/>
    <col min="6" max="6" width="9.7265625" customWidth="1"/>
    <col min="7" max="18" width="8.54296875" style="7" customWidth="1"/>
    <col min="19" max="19" width="11.7265625" customWidth="1"/>
    <col min="20" max="1025" width="9" customWidth="1"/>
  </cols>
  <sheetData>
    <row r="1" spans="2:19" ht="15.5" customHeight="1">
      <c r="B1" s="8" t="s">
        <v>32</v>
      </c>
      <c r="C1" s="9" t="s">
        <v>33</v>
      </c>
      <c r="F1" s="10"/>
      <c r="G1" s="11"/>
      <c r="H1" s="11"/>
      <c r="I1" s="11"/>
      <c r="J1" s="11"/>
      <c r="K1" s="27" t="s">
        <v>34</v>
      </c>
      <c r="L1" s="11"/>
      <c r="M1" s="11"/>
      <c r="N1" s="11"/>
      <c r="O1" s="11"/>
      <c r="P1" s="11"/>
      <c r="Q1" s="11"/>
      <c r="R1" s="28"/>
    </row>
    <row r="2" spans="2:19" ht="15.5" customHeight="1"/>
    <row r="3" spans="2:19" ht="15.5" customHeight="1">
      <c r="B3" s="12" t="s">
        <v>35</v>
      </c>
      <c r="C3" s="13" t="s">
        <v>36</v>
      </c>
      <c r="F3" s="14" t="s">
        <v>37</v>
      </c>
      <c r="G3" s="15">
        <v>30</v>
      </c>
      <c r="H3" s="15">
        <v>60</v>
      </c>
      <c r="I3" s="15">
        <v>90</v>
      </c>
      <c r="J3" s="15">
        <v>120</v>
      </c>
      <c r="K3" s="15">
        <v>150</v>
      </c>
      <c r="L3" s="15">
        <v>180</v>
      </c>
      <c r="M3" s="15">
        <v>210</v>
      </c>
      <c r="N3" s="15">
        <v>240</v>
      </c>
      <c r="O3" s="15">
        <v>270</v>
      </c>
      <c r="P3" s="15">
        <v>300</v>
      </c>
      <c r="Q3" s="15">
        <v>330</v>
      </c>
      <c r="R3" s="29" t="s">
        <v>38</v>
      </c>
      <c r="S3" s="30" t="s">
        <v>39</v>
      </c>
    </row>
    <row r="4" spans="2:19" ht="15.5" customHeight="1">
      <c r="B4" s="16" t="s">
        <v>21</v>
      </c>
      <c r="C4" s="17">
        <v>88</v>
      </c>
      <c r="F4" s="18" t="s">
        <v>40</v>
      </c>
      <c r="G4" s="19">
        <v>37</v>
      </c>
      <c r="H4" s="19">
        <v>20</v>
      </c>
      <c r="I4" s="19">
        <v>233</v>
      </c>
      <c r="J4" s="19">
        <v>13</v>
      </c>
      <c r="K4" s="19">
        <v>42</v>
      </c>
      <c r="L4" s="19">
        <v>33</v>
      </c>
      <c r="M4" s="19"/>
      <c r="N4" s="19"/>
      <c r="O4" s="19"/>
      <c r="P4" s="19"/>
      <c r="Q4" s="19"/>
      <c r="R4" s="31"/>
      <c r="S4" s="32">
        <f>SUM(G4:R4)</f>
        <v>378</v>
      </c>
    </row>
    <row r="5" spans="2:19" ht="15.5" customHeight="1">
      <c r="B5" s="20" t="s">
        <v>13</v>
      </c>
      <c r="C5" s="21">
        <v>56</v>
      </c>
      <c r="F5" s="18" t="s">
        <v>41</v>
      </c>
      <c r="G5" s="19">
        <v>8300</v>
      </c>
      <c r="H5" s="19"/>
      <c r="I5" s="19"/>
      <c r="J5" s="19"/>
      <c r="K5" s="19"/>
      <c r="L5" s="19"/>
      <c r="M5" s="19"/>
      <c r="N5" s="19"/>
      <c r="O5" s="19"/>
      <c r="P5" s="19"/>
      <c r="Q5" s="19"/>
      <c r="R5" s="31"/>
      <c r="S5" s="32">
        <f>SUM(G5:R5)</f>
        <v>8300</v>
      </c>
    </row>
    <row r="6" spans="2:19" ht="15.5" customHeight="1">
      <c r="B6" s="20" t="s">
        <v>26</v>
      </c>
      <c r="C6" s="21">
        <v>6</v>
      </c>
      <c r="F6" s="22" t="s">
        <v>42</v>
      </c>
      <c r="G6" s="23">
        <f t="shared" ref="G6:P6" si="0">G4/G5</f>
        <v>4.457831325301205E-3</v>
      </c>
      <c r="H6" s="23" t="e">
        <f t="shared" si="0"/>
        <v>#DIV/0!</v>
      </c>
      <c r="I6" s="23" t="e">
        <f t="shared" si="0"/>
        <v>#DIV/0!</v>
      </c>
      <c r="J6" s="23" t="e">
        <f t="shared" si="0"/>
        <v>#DIV/0!</v>
      </c>
      <c r="K6" s="23" t="e">
        <f t="shared" si="0"/>
        <v>#DIV/0!</v>
      </c>
      <c r="L6" s="23" t="e">
        <f t="shared" si="0"/>
        <v>#DIV/0!</v>
      </c>
      <c r="M6" s="23" t="e">
        <f t="shared" si="0"/>
        <v>#DIV/0!</v>
      </c>
      <c r="N6" s="23" t="e">
        <f t="shared" si="0"/>
        <v>#DIV/0!</v>
      </c>
      <c r="O6" s="23" t="e">
        <f t="shared" si="0"/>
        <v>#DIV/0!</v>
      </c>
      <c r="P6" s="23" t="e">
        <f t="shared" si="0"/>
        <v>#DIV/0!</v>
      </c>
      <c r="Q6" s="33"/>
      <c r="R6" s="34"/>
      <c r="S6" s="35">
        <f>S4/S5</f>
        <v>4.5542168674698798E-2</v>
      </c>
    </row>
    <row r="7" spans="2:19" ht="15.5" customHeight="1">
      <c r="B7" s="20" t="s">
        <v>43</v>
      </c>
      <c r="C7" s="24"/>
    </row>
    <row r="8" spans="2:19" ht="15.5" customHeight="1">
      <c r="B8" s="25" t="s">
        <v>44</v>
      </c>
      <c r="C8" s="26">
        <v>150</v>
      </c>
    </row>
    <row r="9" spans="2:19" ht="15.5" customHeight="1"/>
    <row r="10" spans="2:19" ht="15.5" customHeight="1"/>
    <row r="11" spans="2:19" ht="15.5" customHeight="1"/>
    <row r="12" spans="2:19" ht="15.5" customHeight="1"/>
    <row r="13" spans="2:19" ht="15.5" customHeight="1"/>
    <row r="14" spans="2:19" ht="15.5" customHeight="1"/>
    <row r="15" spans="2:19" ht="15.5" customHeight="1"/>
    <row r="16" spans="2:19" ht="15.5" customHeight="1"/>
    <row r="17" ht="15.5" customHeight="1"/>
  </sheetData>
  <pageMargins left="0.7" right="0.7" top="0.75" bottom="0.75" header="0.51180555555555496" footer="0.51180555555555496"/>
  <pageSetup firstPageNumber="0" orientation="portrait" useFirstPageNumber="1" horizontalDpi="300" verticalDpi="30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50"/>
  </sheetPr>
  <dimension ref="A1:AMK17"/>
  <sheetViews>
    <sheetView workbookViewId="0">
      <pane ySplit="1" topLeftCell="A2" activePane="bottomLeft" state="frozen"/>
      <selection pane="bottomLeft" activeCell="H10" sqref="H10"/>
    </sheetView>
  </sheetViews>
  <sheetFormatPr defaultColWidth="9" defaultRowHeight="12.5"/>
  <cols>
    <col min="1" max="1" width="25.81640625" style="1" customWidth="1"/>
    <col min="2" max="2" width="4.08984375" style="2" customWidth="1"/>
    <col min="3" max="3" width="18.08984375" style="2" customWidth="1"/>
    <col min="4" max="4" width="4.7265625" style="2" customWidth="1"/>
    <col min="5" max="1025" width="9.08984375" style="2" customWidth="1"/>
  </cols>
  <sheetData>
    <row r="1" spans="1:3" ht="7.5" customHeight="1"/>
    <row r="2" spans="1:3" ht="17.5" customHeight="1">
      <c r="A2" s="6" t="s">
        <v>57</v>
      </c>
      <c r="C2" s="4" t="s">
        <v>27</v>
      </c>
    </row>
    <row r="3" spans="1:3" ht="17.5" customHeight="1">
      <c r="A3" s="6" t="s">
        <v>55</v>
      </c>
      <c r="C3" s="5" t="s">
        <v>45</v>
      </c>
    </row>
    <row r="4" spans="1:3" ht="17.5" customHeight="1">
      <c r="A4" s="6" t="s">
        <v>56</v>
      </c>
      <c r="C4" s="4" t="s">
        <v>22</v>
      </c>
    </row>
    <row r="5" spans="1:3" ht="17.5" customHeight="1">
      <c r="A5" s="6" t="s">
        <v>78</v>
      </c>
      <c r="C5" s="4" t="s">
        <v>23</v>
      </c>
    </row>
    <row r="6" spans="1:3" ht="17.5" customHeight="1">
      <c r="A6" s="6" t="s">
        <v>79</v>
      </c>
      <c r="C6" s="4" t="s">
        <v>24</v>
      </c>
    </row>
    <row r="7" spans="1:3" ht="17.5" customHeight="1">
      <c r="A7" s="6" t="s">
        <v>29</v>
      </c>
      <c r="C7" s="4" t="s">
        <v>46</v>
      </c>
    </row>
    <row r="8" spans="1:3" ht="17.5" customHeight="1">
      <c r="A8" s="6" t="s">
        <v>50</v>
      </c>
      <c r="C8" s="4" t="s">
        <v>17</v>
      </c>
    </row>
    <row r="9" spans="1:3" ht="17.5" customHeight="1">
      <c r="A9" s="3" t="s">
        <v>30</v>
      </c>
      <c r="C9" s="4" t="s">
        <v>16</v>
      </c>
    </row>
    <row r="10" spans="1:3" ht="17.5" customHeight="1">
      <c r="A10" s="51" t="s">
        <v>54</v>
      </c>
      <c r="C10" s="4" t="s">
        <v>15</v>
      </c>
    </row>
    <row r="11" spans="1:3" ht="17.5" customHeight="1">
      <c r="A11" s="51" t="s">
        <v>52</v>
      </c>
      <c r="C11" s="4" t="s">
        <v>18</v>
      </c>
    </row>
    <row r="12" spans="1:3" ht="17.5" customHeight="1">
      <c r="A12" s="3" t="s">
        <v>31</v>
      </c>
      <c r="C12" s="4" t="s">
        <v>28</v>
      </c>
    </row>
    <row r="13" spans="1:3" ht="17.5" customHeight="1">
      <c r="A13" s="3" t="s">
        <v>48</v>
      </c>
      <c r="C13" s="4" t="s">
        <v>25</v>
      </c>
    </row>
    <row r="14" spans="1:3" ht="17.5" customHeight="1">
      <c r="A14" s="3" t="s">
        <v>49</v>
      </c>
      <c r="C14" s="4" t="s">
        <v>14</v>
      </c>
    </row>
    <row r="15" spans="1:3" ht="17.5" customHeight="1">
      <c r="A15" s="51" t="s">
        <v>53</v>
      </c>
      <c r="C15" s="4" t="s">
        <v>20</v>
      </c>
    </row>
    <row r="16" spans="1:3" ht="17.5" customHeight="1">
      <c r="A16" s="51" t="s">
        <v>51</v>
      </c>
      <c r="C16" s="4" t="s">
        <v>19</v>
      </c>
    </row>
    <row r="17" ht="12.75" customHeight="1"/>
  </sheetData>
  <phoneticPr fontId="10" type="noConversion"/>
  <pageMargins left="0.7" right="0.7" top="0.75" bottom="0.75" header="0.51180555555555496" footer="0.51180555555555496"/>
  <pageSetup firstPageNumber="0" orientation="portrait" useFirstPageNumber="1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Findings Follow-up</vt:lpstr>
      <vt:lpstr>Defect Follow-up</vt:lpstr>
      <vt:lpstr>Data Analysis </vt:lpstr>
      <vt:lpstr>Index</vt:lpstr>
      <vt:lpstr>AA</vt:lpstr>
      <vt:lpstr>BB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YOULI</dc:creator>
  <cp:lastModifiedBy>IT</cp:lastModifiedBy>
  <cp:revision>10</cp:revision>
  <cp:lastPrinted>2020-05-04T06:18:00Z</cp:lastPrinted>
  <dcterms:created xsi:type="dcterms:W3CDTF">2020-01-06T02:38:00Z</dcterms:created>
  <dcterms:modified xsi:type="dcterms:W3CDTF">2026-08-04T11:36:36Z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ICV">
    <vt:lpwstr>860FABC887BD4667B4CBB7BB959E1F0D</vt:lpwstr>
  </property>
  <property fmtid="{D5CDD505-2E9C-101B-9397-08002B2CF9AE}" pid="6" name="KSOProductBuildVer">
    <vt:lpwstr>2052-12.1.0.15712</vt:lpwstr>
  </property>
  <property fmtid="{D5CDD505-2E9C-101B-9397-08002B2CF9AE}" pid="7" name="KSOReadingLayout">
    <vt:bool>false</vt:bool>
  </property>
  <property fmtid="{D5CDD505-2E9C-101B-9397-08002B2CF9AE}" pid="8" name="LinksUpToDate">
    <vt:bool>false</vt:bool>
  </property>
  <property fmtid="{D5CDD505-2E9C-101B-9397-08002B2CF9AE}" pid="9" name="ScaleCrop">
    <vt:bool>false</vt:bool>
  </property>
  <property fmtid="{D5CDD505-2E9C-101B-9397-08002B2CF9AE}" pid="10" name="ShareDoc">
    <vt:bool>false</vt:bool>
  </property>
</Properties>
</file>
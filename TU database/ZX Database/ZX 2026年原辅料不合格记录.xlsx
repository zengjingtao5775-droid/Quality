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/>
  <mc:AlternateContent xmlns:mc="http://schemas.openxmlformats.org/markup-compatibility/2006">
    <mc:Choice Requires="x15">
      <x15ac:absPath xmlns:x15ac="http://schemas.microsoft.com/office/spreadsheetml/2010/11/ac" url="/Users/eric/Desktop/Decathlon/Quality/"/>
    </mc:Choice>
  </mc:AlternateContent>
  <xr:revisionPtr revIDLastSave="0" documentId="13_ncr:1_{104A96A6-640C-C242-9695-F97F1FF1D753}" xr6:coauthVersionLast="47" xr6:coauthVersionMax="47" xr10:uidLastSave="{00000000-0000-0000-0000-000000000000}"/>
  <bookViews>
    <workbookView xWindow="0" yWindow="660" windowWidth="29400" windowHeight="16820" activeTab="1" xr2:uid="{00000000-000D-0000-FFFF-FFFF00000000}"/>
  </bookViews>
  <sheets>
    <sheet name="汇总" sheetId="1" r:id="rId1"/>
    <sheet name="辅料不良明细记录" sheetId="5" r:id="rId2"/>
    <sheet name="主料不良明细记录" sheetId="4" r:id="rId3"/>
  </sheets>
  <definedNames>
    <definedName name="_xlnm._FilterDatabase" localSheetId="1" hidden="1">辅料不良明细记录!$A$2:$N$56</definedName>
    <definedName name="_xlnm._FilterDatabase" localSheetId="2" hidden="1">主料不良明细记录!$A$2:$L$75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F16" i="1"/>
  <c r="E16" i="1"/>
  <c r="D16" i="1"/>
  <c r="C16" i="1"/>
  <c r="B16" i="1"/>
  <c r="H14" i="1"/>
  <c r="G14" i="1"/>
  <c r="D14" i="1"/>
  <c r="H13" i="1"/>
  <c r="G13" i="1"/>
  <c r="D13" i="1"/>
  <c r="H12" i="1"/>
  <c r="G12" i="1"/>
  <c r="D12" i="1"/>
  <c r="H11" i="1"/>
  <c r="G11" i="1"/>
  <c r="D11" i="1"/>
  <c r="H10" i="1"/>
  <c r="G10" i="1"/>
  <c r="D10" i="1"/>
  <c r="H9" i="1"/>
  <c r="G9" i="1"/>
  <c r="D9" i="1"/>
  <c r="H8" i="1"/>
  <c r="G8" i="1"/>
  <c r="D8" i="1"/>
  <c r="H7" i="1"/>
  <c r="G7" i="1"/>
  <c r="D7" i="1"/>
  <c r="H6" i="1"/>
  <c r="G6" i="1"/>
  <c r="D6" i="1"/>
  <c r="H5" i="1"/>
  <c r="G5" i="1"/>
  <c r="D5" i="1"/>
  <c r="H4" i="1"/>
  <c r="G4" i="1"/>
  <c r="D4" i="1"/>
  <c r="H3" i="1"/>
  <c r="G3" i="1"/>
  <c r="D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I5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和2025.12.8号情况一样</t>
        </r>
      </text>
    </comment>
  </commentList>
</comments>
</file>

<file path=xl/sharedStrings.xml><?xml version="1.0" encoding="utf-8"?>
<sst xmlns="http://schemas.openxmlformats.org/spreadsheetml/2006/main" count="641" uniqueCount="320">
  <si>
    <t>2025年验货记录</t>
  </si>
  <si>
    <t>月份</t>
  </si>
  <si>
    <t>辅料验货批次（次）</t>
  </si>
  <si>
    <t>不合格次数（次）</t>
  </si>
  <si>
    <t>不合格率</t>
  </si>
  <si>
    <t>主料验货批次（次）</t>
  </si>
  <si>
    <t>合计不合格率</t>
  </si>
  <si>
    <t>1月</t>
  </si>
  <si>
    <t>2月</t>
  </si>
  <si>
    <t>3月</t>
  </si>
  <si>
    <t>4月</t>
  </si>
  <si>
    <t>主面料本月13批次问题材料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</si>
  <si>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</si>
  <si>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</si>
  <si>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</si>
  <si>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</si>
  <si>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</si>
  <si>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</si>
  <si>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</si>
  <si>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</si>
  <si>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</si>
  <si>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 xml:space="preserve">                                                                                                                                                                                                    </t>
  </si>
  <si>
    <t xml:space="preserve"> </t>
  </si>
  <si>
    <t>辅料不合格记录</t>
  </si>
  <si>
    <t>批次</t>
  </si>
  <si>
    <t>供应商</t>
  </si>
  <si>
    <t>对应客户</t>
  </si>
  <si>
    <t>材料名称</t>
  </si>
  <si>
    <t>材料颜色</t>
  </si>
  <si>
    <t>数量</t>
  </si>
  <si>
    <t>单位</t>
  </si>
  <si>
    <t>质量问题点</t>
  </si>
  <si>
    <t>结论</t>
  </si>
  <si>
    <t>检验日期</t>
  </si>
  <si>
    <t>备注</t>
  </si>
  <si>
    <t>润国包装</t>
  </si>
  <si>
    <t>DYJ</t>
  </si>
  <si>
    <t>追溯标</t>
  </si>
  <si>
    <t>合成带白底/黑字</t>
  </si>
  <si>
    <t>片</t>
  </si>
  <si>
    <t>印刷不良</t>
  </si>
  <si>
    <t>退货</t>
  </si>
  <si>
    <t>标颜色的是退货核算次数</t>
  </si>
  <si>
    <t>上海西文</t>
  </si>
  <si>
    <t>连接标</t>
  </si>
  <si>
    <t>标示线不标准</t>
  </si>
  <si>
    <t>让步使用</t>
  </si>
  <si>
    <t>上海宝顶</t>
  </si>
  <si>
    <t xml:space="preserve">PRN </t>
  </si>
  <si>
    <t>267插扣</t>
  </si>
  <si>
    <t>黑色</t>
  </si>
  <si>
    <t>不好打开</t>
  </si>
  <si>
    <t>和2025.12.8号情况一样</t>
  </si>
  <si>
    <t>SRB</t>
  </si>
  <si>
    <t>77#2.5cm背带头</t>
  </si>
  <si>
    <t>个</t>
  </si>
  <si>
    <t>残次</t>
  </si>
  <si>
    <t>周庄胜达</t>
  </si>
  <si>
    <t>KBS</t>
  </si>
  <si>
    <t>大童祝票签</t>
  </si>
  <si>
    <t>红底/白字</t>
  </si>
  <si>
    <t>有印刷不良现象</t>
  </si>
  <si>
    <t>圆珠</t>
  </si>
  <si>
    <t>注塑点毛刺</t>
  </si>
  <si>
    <t>尚承</t>
  </si>
  <si>
    <t>JZ</t>
  </si>
  <si>
    <t>GO3标</t>
  </si>
  <si>
    <t>白底/黑字</t>
  </si>
  <si>
    <t>其中3000片（500片*6包）是G02</t>
  </si>
  <si>
    <t>退3000片</t>
  </si>
  <si>
    <t>济南天桥实利</t>
  </si>
  <si>
    <t>南恩</t>
  </si>
  <si>
    <t>3#漂白隐形拉链13cm长</t>
  </si>
  <si>
    <t>白带黑头</t>
  </si>
  <si>
    <t>条</t>
  </si>
  <si>
    <t>其中（4包*100条）400条染上红色脏污</t>
  </si>
  <si>
    <t>退400条</t>
  </si>
  <si>
    <t>海晨希</t>
  </si>
  <si>
    <t>OQ</t>
  </si>
  <si>
    <t>1cm人字纹</t>
  </si>
  <si>
    <t>米</t>
  </si>
  <si>
    <t>实测1.5cm</t>
  </si>
  <si>
    <t>嘉兴德欣</t>
  </si>
  <si>
    <t>条码贴纸（BG5000款）</t>
  </si>
  <si>
    <t>款号错</t>
  </si>
  <si>
    <t>重做</t>
  </si>
  <si>
    <t>KBS-38-39</t>
  </si>
  <si>
    <t>成分标-3-4-7</t>
  </si>
  <si>
    <t>缎带黑底/白字</t>
  </si>
  <si>
    <t>印字不全</t>
  </si>
  <si>
    <t>KBS-41</t>
  </si>
  <si>
    <t>成分标-1-2-3-4-5</t>
  </si>
  <si>
    <t>KBS-42</t>
  </si>
  <si>
    <t>成分标-6</t>
  </si>
  <si>
    <t>KBS-43</t>
  </si>
  <si>
    <t>成分标-1-2-4-7</t>
  </si>
  <si>
    <t>电话版（要求新版实际是旧版）</t>
  </si>
  <si>
    <t>济宁翔腾</t>
  </si>
  <si>
    <t>YDL</t>
  </si>
  <si>
    <t>条码贴纸</t>
  </si>
  <si>
    <t>8174WG.53应该是Venus Dark实物是Venus PK Dark</t>
  </si>
  <si>
    <t>共收到15405片其中错一个色组4个尺码错（错误222片）</t>
  </si>
  <si>
    <t>青岛优好</t>
  </si>
  <si>
    <t>SS</t>
  </si>
  <si>
    <t>成分标</t>
  </si>
  <si>
    <t>印刷不清晰</t>
  </si>
  <si>
    <t>盛宝</t>
  </si>
  <si>
    <t>PRN</t>
  </si>
  <si>
    <t>罗口</t>
  </si>
  <si>
    <t>2604（19-2047）</t>
  </si>
  <si>
    <t>KG</t>
  </si>
  <si>
    <t>色差大、不是一个色系</t>
  </si>
  <si>
    <t>青岛皓润轩</t>
  </si>
  <si>
    <t>RB</t>
  </si>
  <si>
    <t>织标FZG</t>
  </si>
  <si>
    <t>织标黑底/白字</t>
  </si>
  <si>
    <t>烫亮、残次</t>
  </si>
  <si>
    <t>其中不良：烫亮占50%、残次50%</t>
  </si>
  <si>
    <t>织标DARTFORD</t>
  </si>
  <si>
    <t>其中不良：烫亮占80%、残次20%</t>
  </si>
  <si>
    <t>亿收</t>
  </si>
  <si>
    <t>403线</t>
  </si>
  <si>
    <t>2178玖红</t>
  </si>
  <si>
    <t>轴</t>
  </si>
  <si>
    <t>色差</t>
  </si>
  <si>
    <t>宽度不够296片</t>
  </si>
  <si>
    <t>在2.27号里挑出来296片补齐</t>
  </si>
  <si>
    <t>德欣</t>
  </si>
  <si>
    <t>价格条码贴纸</t>
  </si>
  <si>
    <t>要求MITANE实物多字母S</t>
  </si>
  <si>
    <t>圣化织带</t>
  </si>
  <si>
    <t>TN</t>
  </si>
  <si>
    <t>圆橡筋</t>
  </si>
  <si>
    <t>橙色</t>
  </si>
  <si>
    <t>编织不良有花纹及脏污</t>
  </si>
  <si>
    <t>洗标</t>
  </si>
  <si>
    <t>白色合成带</t>
  </si>
  <si>
    <r>
      <rPr>
        <sz val="11"/>
        <color theme="1"/>
        <rFont val="宋体"/>
        <family val="3"/>
        <charset val="134"/>
        <scheme val="minor"/>
      </rPr>
      <t>套</t>
    </r>
    <r>
      <rPr>
        <sz val="8"/>
        <color theme="1"/>
        <rFont val="宋体"/>
        <family val="3"/>
        <charset val="134"/>
        <scheme val="minor"/>
      </rPr>
      <t>（*4片）</t>
    </r>
  </si>
  <si>
    <t>成分1条码错误</t>
  </si>
  <si>
    <t>40292片</t>
  </si>
  <si>
    <t>5#树脂拉链</t>
  </si>
  <si>
    <t>2501色</t>
  </si>
  <si>
    <t>与之前的对比有色差</t>
  </si>
  <si>
    <t>业务同意让步使用</t>
  </si>
  <si>
    <t>句容</t>
  </si>
  <si>
    <t>HW\RB</t>
  </si>
  <si>
    <t>2.5平四方扣</t>
  </si>
  <si>
    <t>有毛刺不良60%</t>
  </si>
  <si>
    <t>主票签</t>
  </si>
  <si>
    <t>蓝色/红字</t>
  </si>
  <si>
    <t>L00259L#印刷不居中</t>
  </si>
  <si>
    <t>收到2738片不良305片</t>
  </si>
  <si>
    <t>昆山澄新</t>
  </si>
  <si>
    <t>DX</t>
  </si>
  <si>
    <t>灰色</t>
  </si>
  <si>
    <t>颜色浅、偏粗</t>
  </si>
  <si>
    <t>BOB</t>
  </si>
  <si>
    <t>291#软皮头</t>
  </si>
  <si>
    <t>尺码洗标</t>
  </si>
  <si>
    <t>白底/黑字红字</t>
  </si>
  <si>
    <t>有裁剪斜</t>
  </si>
  <si>
    <t>可以使用</t>
  </si>
  <si>
    <t>港俊</t>
  </si>
  <si>
    <t>SBW61</t>
  </si>
  <si>
    <t>头脱落较多，供应商补数4.5%</t>
  </si>
  <si>
    <t>补不良数量使用</t>
  </si>
  <si>
    <t>2.5CM软皮头291#</t>
  </si>
  <si>
    <t>注塑残次不良20%</t>
  </si>
  <si>
    <t>润国</t>
  </si>
  <si>
    <t>通用</t>
  </si>
  <si>
    <t>尺码标</t>
  </si>
  <si>
    <t>合成带</t>
  </si>
  <si>
    <t>业务同意使用</t>
  </si>
  <si>
    <t>XS、XL换版</t>
  </si>
  <si>
    <t>伟星</t>
  </si>
  <si>
    <t>FAJ7</t>
  </si>
  <si>
    <t>圆松紧绳</t>
  </si>
  <si>
    <t>大红</t>
  </si>
  <si>
    <t>比2025年细</t>
  </si>
  <si>
    <t>WEST</t>
  </si>
  <si>
    <t>袋贴</t>
  </si>
  <si>
    <t>印字粘连退3个规格</t>
  </si>
  <si>
    <t>B952145-YM:1176片，B952135-YM:1152片，B952155-WSM:1176片</t>
  </si>
  <si>
    <t>成城辅料</t>
  </si>
  <si>
    <t>GNJ31</t>
  </si>
  <si>
    <t>提花橡筋</t>
  </si>
  <si>
    <t>黑底/白字</t>
  </si>
  <si>
    <t>2026年字母长7.1cm，2025年字母7.8cm</t>
  </si>
  <si>
    <t>金悦</t>
  </si>
  <si>
    <t>要求2*2实物1*1</t>
  </si>
  <si>
    <t>牧远</t>
  </si>
  <si>
    <t>防水里</t>
  </si>
  <si>
    <t>中透</t>
  </si>
  <si>
    <t>双</t>
  </si>
  <si>
    <t>A116-38规格透气</t>
  </si>
  <si>
    <t>SAA</t>
  </si>
  <si>
    <t>UPC贴纸</t>
  </si>
  <si>
    <t>ITME65917-3   65917-2少字母</t>
  </si>
  <si>
    <t>成分洗标</t>
  </si>
  <si>
    <t>主料不合格记录</t>
  </si>
  <si>
    <t>华锦</t>
  </si>
  <si>
    <t>防晒浅灰</t>
  </si>
  <si>
    <t>Y</t>
  </si>
  <si>
    <t>有折痕</t>
  </si>
  <si>
    <t>新兴</t>
  </si>
  <si>
    <t>SR-17668</t>
  </si>
  <si>
    <t>浅炭灰</t>
  </si>
  <si>
    <t>残次、小破洞严重超标</t>
  </si>
  <si>
    <t>SR-17669</t>
  </si>
  <si>
    <t>色差3.5级</t>
  </si>
  <si>
    <t>海宁天艺</t>
  </si>
  <si>
    <t>XMLY</t>
  </si>
  <si>
    <t>防绒棉印花+TPU</t>
  </si>
  <si>
    <t>开拓地</t>
  </si>
  <si>
    <t>色差3.5级以下</t>
  </si>
  <si>
    <t>咖啡</t>
  </si>
  <si>
    <t>绍兴舜日</t>
  </si>
  <si>
    <t>摇粒绒双纱单摇</t>
  </si>
  <si>
    <t>棕</t>
  </si>
  <si>
    <t>色差3级</t>
  </si>
  <si>
    <t>吴江明星</t>
  </si>
  <si>
    <t xml:space="preserve">SRB </t>
  </si>
  <si>
    <t>240T春亚纺</t>
  </si>
  <si>
    <t>渐变色不能使用</t>
  </si>
  <si>
    <t>挑着使用</t>
  </si>
  <si>
    <t>210T涤塔夫防绒</t>
  </si>
  <si>
    <t>拉力不达标</t>
  </si>
  <si>
    <t>残次、小破洞严重超标有237.5米退货</t>
  </si>
  <si>
    <t>残次、小破洞10米</t>
  </si>
  <si>
    <t>减数使用</t>
  </si>
  <si>
    <t>残次、小破洞</t>
  </si>
  <si>
    <t>吉碌</t>
  </si>
  <si>
    <t>BXH</t>
  </si>
  <si>
    <t>01TX011</t>
  </si>
  <si>
    <t>色差3级业务确认可以使用</t>
  </si>
  <si>
    <t>东菀沐彩</t>
  </si>
  <si>
    <t>LB</t>
  </si>
  <si>
    <t>A175冰丝面料</t>
  </si>
  <si>
    <t>材料错误</t>
  </si>
  <si>
    <t>文泰兴</t>
  </si>
  <si>
    <t>香草白</t>
  </si>
  <si>
    <t>拉力不达标5kg力瞬间撕裂</t>
  </si>
  <si>
    <t>领导沟通让步使用</t>
  </si>
  <si>
    <t>橙红</t>
  </si>
  <si>
    <t>兰美人纺织（凌隆集团）</t>
  </si>
  <si>
    <t>TJJS</t>
  </si>
  <si>
    <t>G52900亚光高平里</t>
  </si>
  <si>
    <t>6kg/力开始出现滑移</t>
  </si>
  <si>
    <t>材料特色同205年情况一样</t>
  </si>
  <si>
    <t>苏州诸美</t>
  </si>
  <si>
    <t>平桃布</t>
  </si>
  <si>
    <t>紫色</t>
  </si>
  <si>
    <t>3支每支减5米（有破损烂了）</t>
  </si>
  <si>
    <t>粉色</t>
  </si>
  <si>
    <t>1支每支减6米（有破损烂了）</t>
  </si>
  <si>
    <t>鸥驰</t>
  </si>
  <si>
    <t>BIM</t>
  </si>
  <si>
    <t>涤氨拉毛布240g</t>
  </si>
  <si>
    <t>kg</t>
  </si>
  <si>
    <t>1支克重偏轻不符合要求退货，其它可以使用</t>
  </si>
  <si>
    <t>退货1支</t>
  </si>
  <si>
    <t>缸号C2876-7号卷24.1kg实测210g/M2  经领导沟通4.15号让使用</t>
  </si>
  <si>
    <t>涤氨拉毛布</t>
  </si>
  <si>
    <t>酱红</t>
  </si>
  <si>
    <t>客供</t>
  </si>
  <si>
    <t>四面弹烫银</t>
  </si>
  <si>
    <t>黑色四面弹烫银</t>
  </si>
  <si>
    <t>涂层拉伸有断裂</t>
  </si>
  <si>
    <t>苏州林恩</t>
  </si>
  <si>
    <t>300D春亚纺</t>
  </si>
  <si>
    <t>145米、18米两卷有色差3.5级客人同意使用</t>
  </si>
  <si>
    <t>301D春亚纺</t>
  </si>
  <si>
    <t>印花红格</t>
  </si>
  <si>
    <t>滚纱客人同意使用</t>
  </si>
  <si>
    <t>302D春亚纺</t>
  </si>
  <si>
    <t>印花咖啡</t>
  </si>
  <si>
    <t>台华</t>
  </si>
  <si>
    <t>1771Y</t>
  </si>
  <si>
    <t>色差3.5级，经领导确认可以使用</t>
  </si>
  <si>
    <t>海安华纳</t>
  </si>
  <si>
    <t xml:space="preserve">TSL </t>
  </si>
  <si>
    <t>4.18业务回复可以使用</t>
  </si>
  <si>
    <t xml:space="preserve">色差3级  </t>
  </si>
  <si>
    <t xml:space="preserve">DYJ </t>
  </si>
  <si>
    <t>色差大3级</t>
  </si>
  <si>
    <t>JWL</t>
  </si>
  <si>
    <t>SR-16913</t>
  </si>
  <si>
    <t>奶油兰</t>
  </si>
  <si>
    <t>有色斑及针孔</t>
  </si>
  <si>
    <t>漫幕黑</t>
  </si>
  <si>
    <t>实物幅宽1.3米，要求幅宽1.5米</t>
  </si>
  <si>
    <t>烟台万华</t>
  </si>
  <si>
    <t>YZL</t>
  </si>
  <si>
    <t>山羊纹（C49）PU</t>
  </si>
  <si>
    <t>黑</t>
  </si>
  <si>
    <t>表面有反光亮点</t>
  </si>
  <si>
    <t>留用1000米</t>
  </si>
  <si>
    <t>深灰</t>
  </si>
  <si>
    <t>共3缸一缸（缸号0020）色差</t>
  </si>
  <si>
    <t>164Y不良</t>
  </si>
  <si>
    <t>鑫悦</t>
  </si>
  <si>
    <t>反绒牛皮</t>
  </si>
  <si>
    <t>SF</t>
  </si>
  <si>
    <t>要求1.1-1.2mm，实物1.4-1.7mm</t>
  </si>
  <si>
    <t>白色防水羊皮</t>
  </si>
  <si>
    <t>白色</t>
  </si>
  <si>
    <t>色差业务确认可以使用</t>
  </si>
  <si>
    <t>ROS</t>
  </si>
  <si>
    <t>300D斜纹阳离子</t>
  </si>
  <si>
    <t>麻灰</t>
  </si>
  <si>
    <t>侧缝滑移瞬间撕裂</t>
  </si>
  <si>
    <t>涤纶大峰巢</t>
  </si>
  <si>
    <t>白数码印浅兰</t>
  </si>
  <si>
    <t>浅灰色</t>
  </si>
  <si>
    <t>有褶皱减数幅宽20cm</t>
  </si>
  <si>
    <t>昆山盛元</t>
  </si>
  <si>
    <t xml:space="preserve">SWN </t>
  </si>
  <si>
    <t>锦纶夹里</t>
  </si>
  <si>
    <t>有色差</t>
  </si>
  <si>
    <t>表面有反光亮点（防光点较上批小）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</si>
</sst>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yyyy/m/d;@"/>
    <numFmt numFmtId="181" formatCode="0.0%"/>
  </numFmts>
  <fonts count="1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9" fontId="9" fillId="0" borderId="0" applyFont="0" applyFill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3" borderId="0" xfId="0" applyFont="1" applyFill="1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left" vertical="center"/>
    </xf>
    <xf numFmtId="0" fontId="1" fillId="2" borderId="0" xfId="0" applyFont="1" applyFill="1">
      <alignment vertical="center"/>
    </xf>
    <xf numFmtId="180" fontId="0" fillId="2" borderId="1" xfId="0" applyNumberFormat="1" applyFill="1" applyBorder="1" applyAlignment="1">
      <alignment horizontal="left" vertical="center"/>
    </xf>
    <xf numFmtId="180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14" fontId="0" fillId="4" borderId="1" xfId="0" applyNumberFormat="1" applyFill="1" applyBorder="1" applyAlignment="1">
      <alignment horizontal="left" vertical="center"/>
    </xf>
    <xf numFmtId="14" fontId="0" fillId="3" borderId="1" xfId="0" applyNumberForma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5" borderId="0" xfId="0" applyFill="1">
      <alignment vertical="center"/>
    </xf>
    <xf numFmtId="0" fontId="0" fillId="4" borderId="1" xfId="0" applyFill="1" applyBorder="1" applyAlignment="1">
      <alignment horizontal="left" vertical="center" wrapText="1"/>
    </xf>
    <xf numFmtId="0" fontId="1" fillId="4" borderId="0" xfId="0" applyFont="1" applyFill="1">
      <alignment vertical="center"/>
    </xf>
    <xf numFmtId="0" fontId="0" fillId="2" borderId="0" xfId="0" applyFill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14" fontId="0" fillId="5" borderId="1" xfId="0" applyNumberFormat="1" applyFill="1" applyBorder="1" applyAlignment="1">
      <alignment horizontal="left" vertical="center"/>
    </xf>
    <xf numFmtId="14" fontId="0" fillId="3" borderId="2" xfId="0" applyNumberFormat="1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14" fontId="0" fillId="3" borderId="0" xfId="0" applyNumberFormat="1" applyFill="1" applyAlignment="1">
      <alignment horizontal="left" vertical="center"/>
    </xf>
    <xf numFmtId="0" fontId="0" fillId="3" borderId="2" xfId="0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181" fontId="0" fillId="3" borderId="0" xfId="1" applyNumberFormat="1" applyFill="1" applyAlignment="1">
      <alignment horizontal="center" vertical="center"/>
    </xf>
    <xf numFmtId="10" fontId="0" fillId="3" borderId="0" xfId="1" applyNumberFormat="1" applyFill="1" applyAlignment="1">
      <alignment horizontal="center" vertical="center"/>
    </xf>
    <xf numFmtId="181" fontId="0" fillId="3" borderId="1" xfId="1" applyNumberFormat="1" applyFill="1" applyBorder="1" applyAlignment="1">
      <alignment horizontal="center" vertical="center"/>
    </xf>
    <xf numFmtId="10" fontId="0" fillId="3" borderId="1" xfId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6" borderId="1" xfId="1" applyNumberFormat="1" applyFill="1" applyBorder="1" applyAlignment="1">
      <alignment horizontal="center" vertical="center"/>
    </xf>
    <xf numFmtId="10" fontId="0" fillId="0" borderId="1" xfId="1" applyNumberFormat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81" fontId="5" fillId="3" borderId="1" xfId="1" applyNumberFormat="1" applyFont="1" applyFill="1" applyBorder="1" applyAlignment="1">
      <alignment horizontal="center" vertical="center"/>
    </xf>
    <xf numFmtId="10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0" fillId="3" borderId="3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1748155</xdr:colOff>
      <xdr:row>35</xdr:row>
      <xdr:rowOff>22860</xdr:rowOff>
    </xdr:from>
    <xdr:to>
      <xdr:col>10</xdr:col>
      <xdr:colOff>2050415</xdr:colOff>
      <xdr:row>35</xdr:row>
      <xdr:rowOff>282575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18135" y="6274435"/>
          <a:ext cx="302260" cy="2597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workbookViewId="0">
      <selection activeCell="C20" sqref="C20"/>
    </sheetView>
  </sheetViews>
  <sheetFormatPr baseColWidth="10" defaultColWidth="9" defaultRowHeight="14"/>
  <cols>
    <col min="1" max="1" width="9" style="2"/>
    <col min="2" max="2" width="17.1640625" style="5" customWidth="1"/>
    <col min="3" max="3" width="15.1640625" style="5" customWidth="1"/>
    <col min="4" max="4" width="10.1640625" style="44" customWidth="1"/>
    <col min="5" max="5" width="18" style="5" customWidth="1"/>
    <col min="6" max="6" width="14.6640625" style="5" customWidth="1"/>
    <col min="7" max="7" width="10.33203125" style="44"/>
    <col min="8" max="8" width="12.6640625" style="45"/>
    <col min="9" max="16384" width="9" style="2"/>
  </cols>
  <sheetData>
    <row r="1" spans="1:9" ht="19">
      <c r="A1" s="53" t="s">
        <v>0</v>
      </c>
      <c r="B1" s="53"/>
      <c r="C1" s="53"/>
      <c r="D1" s="54"/>
      <c r="E1" s="53"/>
      <c r="F1" s="53"/>
      <c r="G1" s="54"/>
      <c r="H1" s="55"/>
    </row>
    <row r="2" spans="1:9">
      <c r="A2" s="23" t="s">
        <v>1</v>
      </c>
      <c r="B2" s="7" t="s">
        <v>2</v>
      </c>
      <c r="C2" s="7" t="s">
        <v>3</v>
      </c>
      <c r="D2" s="46" t="s">
        <v>4</v>
      </c>
      <c r="E2" s="7" t="s">
        <v>5</v>
      </c>
      <c r="F2" s="7" t="s">
        <v>3</v>
      </c>
      <c r="G2" s="46" t="s">
        <v>4</v>
      </c>
      <c r="H2" s="47" t="s">
        <v>6</v>
      </c>
    </row>
    <row r="3" spans="1:9">
      <c r="A3" s="23" t="s">
        <v>7</v>
      </c>
      <c r="B3" s="48">
        <v>749</v>
      </c>
      <c r="C3" s="48">
        <v>13</v>
      </c>
      <c r="D3" s="46">
        <f t="shared" ref="D3:D14" si="0">C3/B3</f>
        <v>1.7356475300400499E-2</v>
      </c>
      <c r="E3" s="48">
        <v>221</v>
      </c>
      <c r="F3" s="48">
        <v>7</v>
      </c>
      <c r="G3" s="46">
        <f t="shared" ref="G3:G14" si="1">F3/E3</f>
        <v>3.1674208144796399E-2</v>
      </c>
      <c r="H3" s="49">
        <f t="shared" ref="H3:H8" si="2">1-(F3+C3)/(E3+B3)</f>
        <v>0.97938144329896903</v>
      </c>
    </row>
    <row r="4" spans="1:9">
      <c r="A4" s="23" t="s">
        <v>8</v>
      </c>
      <c r="B4" s="48">
        <v>189</v>
      </c>
      <c r="C4" s="48">
        <v>5</v>
      </c>
      <c r="D4" s="46">
        <f t="shared" si="0"/>
        <v>2.6455026455026499E-2</v>
      </c>
      <c r="E4" s="48">
        <v>97</v>
      </c>
      <c r="F4" s="48">
        <v>1</v>
      </c>
      <c r="G4" s="46">
        <f t="shared" si="1"/>
        <v>1.03092783505155E-2</v>
      </c>
      <c r="H4" s="49">
        <f t="shared" si="2"/>
        <v>0.97902097902097895</v>
      </c>
    </row>
    <row r="5" spans="1:9">
      <c r="A5" s="23" t="s">
        <v>9</v>
      </c>
      <c r="B5" s="48">
        <v>512</v>
      </c>
      <c r="C5" s="48">
        <v>7</v>
      </c>
      <c r="D5" s="46">
        <f t="shared" si="0"/>
        <v>1.3671875E-2</v>
      </c>
      <c r="E5" s="48">
        <v>284</v>
      </c>
      <c r="F5" s="48">
        <v>5</v>
      </c>
      <c r="G5" s="46">
        <f t="shared" si="1"/>
        <v>1.7605633802816899E-2</v>
      </c>
      <c r="H5" s="49">
        <f t="shared" si="2"/>
        <v>0.98492462311557805</v>
      </c>
    </row>
    <row r="6" spans="1:9">
      <c r="A6" s="23" t="s">
        <v>10</v>
      </c>
      <c r="B6" s="5">
        <v>515</v>
      </c>
      <c r="C6" s="7">
        <v>7</v>
      </c>
      <c r="D6" s="46">
        <f t="shared" si="0"/>
        <v>1.35922330097087E-2</v>
      </c>
      <c r="E6" s="7">
        <v>259</v>
      </c>
      <c r="F6" s="7">
        <v>7</v>
      </c>
      <c r="G6" s="46">
        <f t="shared" si="1"/>
        <v>2.7027027027027001E-2</v>
      </c>
      <c r="H6" s="49">
        <f t="shared" si="2"/>
        <v>0.98191214470284205</v>
      </c>
      <c r="I6" s="2" t="s">
        <v>11</v>
      </c>
    </row>
    <row r="7" spans="1:9">
      <c r="A7" s="23" t="s">
        <v>12</v>
      </c>
      <c r="B7" s="7"/>
      <c r="C7" s="7"/>
      <c r="D7" s="46" t="e">
        <f t="shared" si="0"/>
        <v>#DIV/0!</v>
      </c>
      <c r="E7" s="7"/>
      <c r="F7" s="7"/>
      <c r="G7" s="46" t="e">
        <f t="shared" si="1"/>
        <v>#DIV/0!</v>
      </c>
      <c r="H7" s="49" t="e">
        <f t="shared" si="2"/>
        <v>#DIV/0!</v>
      </c>
    </row>
    <row r="8" spans="1:9">
      <c r="A8" s="23" t="s">
        <v>13</v>
      </c>
      <c r="B8" s="7"/>
      <c r="C8" s="7"/>
      <c r="D8" s="46" t="e">
        <f t="shared" si="0"/>
        <v>#DIV/0!</v>
      </c>
      <c r="E8" s="7"/>
      <c r="F8" s="7"/>
      <c r="G8" s="46" t="e">
        <f t="shared" si="1"/>
        <v>#DIV/0!</v>
      </c>
      <c r="H8" s="49" t="e">
        <f t="shared" si="2"/>
        <v>#DIV/0!</v>
      </c>
    </row>
    <row r="9" spans="1:9">
      <c r="A9" s="23" t="s">
        <v>14</v>
      </c>
      <c r="B9" s="7"/>
      <c r="C9" s="7"/>
      <c r="D9" s="46" t="e">
        <f t="shared" si="0"/>
        <v>#DIV/0!</v>
      </c>
      <c r="E9" s="7"/>
      <c r="F9" s="7"/>
      <c r="G9" s="46" t="e">
        <f t="shared" si="1"/>
        <v>#DIV/0!</v>
      </c>
      <c r="H9" s="47" t="e">
        <f>1-(F9+C9)/(B9+E9)</f>
        <v>#DIV/0!</v>
      </c>
    </row>
    <row r="10" spans="1:9">
      <c r="A10" s="23" t="s">
        <v>15</v>
      </c>
      <c r="B10" s="7"/>
      <c r="C10" s="7"/>
      <c r="D10" s="46" t="e">
        <f t="shared" si="0"/>
        <v>#DIV/0!</v>
      </c>
      <c r="E10" s="7"/>
      <c r="G10" s="46" t="e">
        <f t="shared" si="1"/>
        <v>#DIV/0!</v>
      </c>
      <c r="H10" s="47" t="e">
        <f>1-(F10+C10)/(B10+E10)</f>
        <v>#DIV/0!</v>
      </c>
    </row>
    <row r="11" spans="1:9">
      <c r="A11" s="23" t="s">
        <v>16</v>
      </c>
      <c r="B11" s="7"/>
      <c r="C11" s="7"/>
      <c r="D11" s="46" t="e">
        <f t="shared" si="0"/>
        <v>#DIV/0!</v>
      </c>
      <c r="E11" s="7"/>
      <c r="F11" s="7"/>
      <c r="G11" s="46" t="e">
        <f t="shared" si="1"/>
        <v>#DIV/0!</v>
      </c>
      <c r="H11" s="47" t="e">
        <f>1-(F11+C11)/(B11+E11)</f>
        <v>#DIV/0!</v>
      </c>
    </row>
    <row r="12" spans="1:9">
      <c r="A12" s="23" t="s">
        <v>17</v>
      </c>
      <c r="B12" s="7"/>
      <c r="C12" s="7"/>
      <c r="D12" s="46" t="e">
        <f t="shared" si="0"/>
        <v>#DIV/0!</v>
      </c>
      <c r="E12" s="7"/>
      <c r="F12" s="7"/>
      <c r="G12" s="46" t="e">
        <f t="shared" si="1"/>
        <v>#DIV/0!</v>
      </c>
      <c r="H12" s="50" t="e">
        <f>1-(F12+C12)/(B12+E12)</f>
        <v>#DIV/0!</v>
      </c>
    </row>
    <row r="13" spans="1:9">
      <c r="A13" s="23" t="s">
        <v>18</v>
      </c>
      <c r="B13" s="7"/>
      <c r="C13" s="7"/>
      <c r="D13" s="46" t="e">
        <f t="shared" si="0"/>
        <v>#DIV/0!</v>
      </c>
      <c r="E13" s="7"/>
      <c r="F13" s="7"/>
      <c r="G13" s="46" t="e">
        <f t="shared" si="1"/>
        <v>#DIV/0!</v>
      </c>
      <c r="H13" s="50" t="e">
        <f>1-(G13+D13)/2</f>
        <v>#DIV/0!</v>
      </c>
    </row>
    <row r="14" spans="1:9">
      <c r="A14" s="23" t="s">
        <v>19</v>
      </c>
      <c r="B14" s="7"/>
      <c r="C14" s="7"/>
      <c r="D14" s="46" t="e">
        <f t="shared" si="0"/>
        <v>#DIV/0!</v>
      </c>
      <c r="E14" s="7"/>
      <c r="F14" s="7"/>
      <c r="G14" s="46" t="e">
        <f t="shared" si="1"/>
        <v>#DIV/0!</v>
      </c>
      <c r="H14" s="50" t="e">
        <f>1-(G14+D14)/2</f>
        <v>#DIV/0!</v>
      </c>
    </row>
    <row r="15" spans="1:9">
      <c r="A15" s="23"/>
      <c r="B15" s="7"/>
      <c r="C15" s="7"/>
      <c r="D15" s="46"/>
      <c r="E15" s="7"/>
      <c r="F15" s="7"/>
      <c r="G15" s="46"/>
      <c r="H15" s="50"/>
    </row>
    <row r="16" spans="1:9">
      <c r="A16" s="23" t="s">
        <v>20</v>
      </c>
      <c r="B16" s="7">
        <f t="shared" ref="B16:F16" si="3">SUM(B3:B15)</f>
        <v>1965</v>
      </c>
      <c r="C16" s="7">
        <f t="shared" si="3"/>
        <v>32</v>
      </c>
      <c r="D16" s="46">
        <f>C16/B16</f>
        <v>1.62849872773537E-2</v>
      </c>
      <c r="E16" s="7">
        <f t="shared" si="3"/>
        <v>861</v>
      </c>
      <c r="F16" s="7">
        <f t="shared" si="3"/>
        <v>20</v>
      </c>
      <c r="G16" s="46">
        <f>F16/E16</f>
        <v>2.3228803716608602E-2</v>
      </c>
      <c r="H16" s="50"/>
    </row>
    <row r="19" spans="1:3">
      <c r="C19" s="5" t="s">
        <v>21</v>
      </c>
    </row>
    <row r="22" spans="1:3">
      <c r="A22" s="2" t="s">
        <v>22</v>
      </c>
    </row>
  </sheetData>
  <mergeCells count="1">
    <mergeCell ref="A1:H1"/>
  </mergeCells>
  <phoneticPr fontId="10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8"/>
  <sheetViews>
    <sheetView tabSelected="1" topLeftCell="B1" workbookViewId="0">
      <selection activeCell="E18" sqref="E18"/>
    </sheetView>
  </sheetViews>
  <sheetFormatPr baseColWidth="10" defaultColWidth="9" defaultRowHeight="14"/>
  <cols>
    <col min="1" max="1" width="9" style="4"/>
    <col min="2" max="3" width="16.33203125" style="4" customWidth="1"/>
    <col min="4" max="4" width="20" style="4" customWidth="1"/>
    <col min="5" max="5" width="14.1640625" style="4" customWidth="1"/>
    <col min="6" max="6" width="9" style="4"/>
    <col min="7" max="7" width="8.33203125" style="4" customWidth="1"/>
    <col min="8" max="8" width="33.6640625" style="4" customWidth="1"/>
    <col min="9" max="9" width="9.6640625" style="4" customWidth="1"/>
    <col min="10" max="10" width="11.1640625" style="4" customWidth="1"/>
    <col min="11" max="11" width="27" style="4" customWidth="1"/>
    <col min="12" max="16384" width="9" style="2"/>
  </cols>
  <sheetData>
    <row r="1" spans="1:14" ht="17">
      <c r="A1" s="56" t="s">
        <v>23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14">
      <c r="A2" s="6" t="s">
        <v>24</v>
      </c>
      <c r="B2" s="6" t="s">
        <v>25</v>
      </c>
      <c r="C2" s="6" t="s">
        <v>26</v>
      </c>
      <c r="D2" s="6" t="s">
        <v>27</v>
      </c>
      <c r="E2" s="6" t="s">
        <v>28</v>
      </c>
      <c r="F2" s="6" t="s">
        <v>29</v>
      </c>
      <c r="G2" s="6" t="s">
        <v>30</v>
      </c>
      <c r="H2" s="6" t="s">
        <v>31</v>
      </c>
      <c r="I2" s="7" t="s">
        <v>32</v>
      </c>
      <c r="J2" s="6" t="s">
        <v>33</v>
      </c>
      <c r="K2" s="6" t="s">
        <v>34</v>
      </c>
    </row>
    <row r="3" spans="1:14" s="3" customFormat="1" ht="15">
      <c r="A3" s="17">
        <v>1</v>
      </c>
      <c r="B3" s="17" t="s">
        <v>35</v>
      </c>
      <c r="C3" s="17" t="s">
        <v>36</v>
      </c>
      <c r="D3" s="17" t="s">
        <v>37</v>
      </c>
      <c r="E3" s="17" t="s">
        <v>38</v>
      </c>
      <c r="F3" s="17">
        <v>960</v>
      </c>
      <c r="G3" s="31" t="s">
        <v>39</v>
      </c>
      <c r="H3" s="31" t="s">
        <v>40</v>
      </c>
      <c r="I3" s="31" t="s">
        <v>41</v>
      </c>
      <c r="J3" s="18">
        <v>46025</v>
      </c>
      <c r="K3" s="17"/>
      <c r="L3" s="32" t="s">
        <v>42</v>
      </c>
      <c r="M3" s="32"/>
      <c r="N3" s="32"/>
    </row>
    <row r="4" spans="1:14" s="3" customFormat="1" ht="15">
      <c r="A4" s="17">
        <v>2</v>
      </c>
      <c r="B4" s="17" t="s">
        <v>43</v>
      </c>
      <c r="C4" s="17" t="s">
        <v>36</v>
      </c>
      <c r="D4" s="17" t="s">
        <v>44</v>
      </c>
      <c r="E4" s="17" t="s">
        <v>38</v>
      </c>
      <c r="F4" s="17">
        <v>760</v>
      </c>
      <c r="G4" s="31" t="s">
        <v>39</v>
      </c>
      <c r="H4" s="31" t="s">
        <v>45</v>
      </c>
      <c r="I4" s="31" t="s">
        <v>46</v>
      </c>
      <c r="J4" s="18">
        <v>46025</v>
      </c>
      <c r="K4" s="17"/>
      <c r="L4" s="32"/>
      <c r="M4" s="32"/>
      <c r="N4" s="32"/>
    </row>
    <row r="5" spans="1:14" ht="15">
      <c r="A5" s="6">
        <v>3</v>
      </c>
      <c r="B5" s="6" t="s">
        <v>47</v>
      </c>
      <c r="C5" s="6" t="s">
        <v>48</v>
      </c>
      <c r="D5" s="6" t="s">
        <v>49</v>
      </c>
      <c r="E5" s="6" t="s">
        <v>50</v>
      </c>
      <c r="F5" s="6">
        <v>28000</v>
      </c>
      <c r="G5" s="15" t="s">
        <v>39</v>
      </c>
      <c r="H5" s="6" t="s">
        <v>51</v>
      </c>
      <c r="I5" s="15" t="s">
        <v>46</v>
      </c>
      <c r="J5" s="19">
        <v>46026</v>
      </c>
      <c r="K5" s="23" t="s">
        <v>52</v>
      </c>
    </row>
    <row r="6" spans="1:14" s="3" customFormat="1" ht="15">
      <c r="A6" s="17">
        <v>4</v>
      </c>
      <c r="B6" s="17" t="s">
        <v>47</v>
      </c>
      <c r="C6" s="17" t="s">
        <v>53</v>
      </c>
      <c r="D6" s="17" t="s">
        <v>54</v>
      </c>
      <c r="E6" s="17" t="s">
        <v>50</v>
      </c>
      <c r="F6" s="17">
        <v>40000</v>
      </c>
      <c r="G6" s="17" t="s">
        <v>55</v>
      </c>
      <c r="H6" s="17" t="s">
        <v>56</v>
      </c>
      <c r="I6" s="31" t="s">
        <v>41</v>
      </c>
      <c r="J6" s="18">
        <v>46026</v>
      </c>
      <c r="K6" s="31"/>
    </row>
    <row r="7" spans="1:14" s="3" customFormat="1" ht="15">
      <c r="A7" s="17">
        <v>5</v>
      </c>
      <c r="B7" s="17" t="s">
        <v>57</v>
      </c>
      <c r="C7" s="17" t="s">
        <v>58</v>
      </c>
      <c r="D7" s="17" t="s">
        <v>59</v>
      </c>
      <c r="E7" s="17" t="s">
        <v>60</v>
      </c>
      <c r="F7" s="31">
        <v>2838</v>
      </c>
      <c r="G7" s="31" t="s">
        <v>39</v>
      </c>
      <c r="H7" s="17" t="s">
        <v>61</v>
      </c>
      <c r="I7" s="17" t="s">
        <v>46</v>
      </c>
      <c r="J7" s="18">
        <v>46027</v>
      </c>
      <c r="K7" s="17"/>
    </row>
    <row r="8" spans="1:14" s="3" customFormat="1" ht="15">
      <c r="A8" s="17">
        <v>6</v>
      </c>
      <c r="B8" s="17" t="s">
        <v>47</v>
      </c>
      <c r="C8" s="17" t="s">
        <v>53</v>
      </c>
      <c r="D8" s="17" t="s">
        <v>62</v>
      </c>
      <c r="E8" s="17" t="s">
        <v>50</v>
      </c>
      <c r="F8" s="17">
        <v>50000</v>
      </c>
      <c r="G8" s="17" t="s">
        <v>55</v>
      </c>
      <c r="H8" s="17" t="s">
        <v>63</v>
      </c>
      <c r="I8" s="31" t="s">
        <v>41</v>
      </c>
      <c r="J8" s="18">
        <v>46028</v>
      </c>
      <c r="K8" s="17"/>
    </row>
    <row r="9" spans="1:14" s="3" customFormat="1" ht="15">
      <c r="A9" s="17">
        <v>7</v>
      </c>
      <c r="B9" s="17" t="s">
        <v>64</v>
      </c>
      <c r="C9" s="17" t="s">
        <v>65</v>
      </c>
      <c r="D9" s="17" t="s">
        <v>66</v>
      </c>
      <c r="E9" s="17" t="s">
        <v>67</v>
      </c>
      <c r="F9" s="17">
        <v>20500</v>
      </c>
      <c r="G9" s="17" t="s">
        <v>39</v>
      </c>
      <c r="H9" s="17" t="s">
        <v>68</v>
      </c>
      <c r="I9" s="31" t="s">
        <v>41</v>
      </c>
      <c r="J9" s="18">
        <v>46030</v>
      </c>
      <c r="K9" s="17" t="s">
        <v>69</v>
      </c>
    </row>
    <row r="10" spans="1:14" s="3" customFormat="1" ht="15">
      <c r="A10" s="17">
        <v>8</v>
      </c>
      <c r="B10" s="17" t="s">
        <v>70</v>
      </c>
      <c r="C10" s="17" t="s">
        <v>71</v>
      </c>
      <c r="D10" s="17" t="s">
        <v>72</v>
      </c>
      <c r="E10" s="17" t="s">
        <v>73</v>
      </c>
      <c r="F10" s="17">
        <v>3000</v>
      </c>
      <c r="G10" s="17" t="s">
        <v>74</v>
      </c>
      <c r="H10" s="17" t="s">
        <v>75</v>
      </c>
      <c r="I10" s="31" t="s">
        <v>41</v>
      </c>
      <c r="J10" s="18">
        <v>56993</v>
      </c>
      <c r="K10" s="17" t="s">
        <v>76</v>
      </c>
    </row>
    <row r="11" spans="1:14" s="3" customFormat="1" ht="15">
      <c r="A11" s="17">
        <v>9</v>
      </c>
      <c r="B11" s="17" t="s">
        <v>77</v>
      </c>
      <c r="C11" s="17" t="s">
        <v>78</v>
      </c>
      <c r="D11" s="17" t="s">
        <v>79</v>
      </c>
      <c r="E11" s="17" t="s">
        <v>50</v>
      </c>
      <c r="F11" s="17">
        <v>396</v>
      </c>
      <c r="G11" s="17" t="s">
        <v>80</v>
      </c>
      <c r="H11" s="17" t="s">
        <v>81</v>
      </c>
      <c r="I11" s="31" t="s">
        <v>41</v>
      </c>
      <c r="J11" s="18">
        <v>46037</v>
      </c>
      <c r="K11" s="17"/>
    </row>
    <row r="12" spans="1:14" s="3" customFormat="1" ht="15">
      <c r="A12" s="17">
        <v>10</v>
      </c>
      <c r="B12" s="17" t="s">
        <v>82</v>
      </c>
      <c r="C12" s="17" t="s">
        <v>48</v>
      </c>
      <c r="D12" s="17" t="s">
        <v>83</v>
      </c>
      <c r="E12" s="17" t="s">
        <v>67</v>
      </c>
      <c r="F12" s="17">
        <v>1200</v>
      </c>
      <c r="G12" s="17" t="s">
        <v>39</v>
      </c>
      <c r="H12" s="17" t="s">
        <v>84</v>
      </c>
      <c r="I12" s="31" t="s">
        <v>85</v>
      </c>
      <c r="J12" s="18">
        <v>46039</v>
      </c>
      <c r="K12" s="17"/>
    </row>
    <row r="13" spans="1:14" s="3" customFormat="1" ht="15">
      <c r="A13" s="17">
        <v>11</v>
      </c>
      <c r="B13" s="17" t="s">
        <v>57</v>
      </c>
      <c r="C13" s="17" t="s">
        <v>86</v>
      </c>
      <c r="D13" s="17" t="s">
        <v>87</v>
      </c>
      <c r="E13" s="17" t="s">
        <v>88</v>
      </c>
      <c r="F13" s="17">
        <v>2028</v>
      </c>
      <c r="G13" s="17" t="s">
        <v>39</v>
      </c>
      <c r="H13" s="17" t="s">
        <v>89</v>
      </c>
      <c r="I13" s="31" t="s">
        <v>41</v>
      </c>
      <c r="J13" s="18">
        <v>46043</v>
      </c>
      <c r="K13" s="17"/>
    </row>
    <row r="14" spans="1:14" s="3" customFormat="1" ht="15">
      <c r="A14" s="17">
        <v>12</v>
      </c>
      <c r="B14" s="17" t="s">
        <v>57</v>
      </c>
      <c r="C14" s="17" t="s">
        <v>90</v>
      </c>
      <c r="D14" s="17" t="s">
        <v>91</v>
      </c>
      <c r="E14" s="17" t="s">
        <v>88</v>
      </c>
      <c r="F14" s="17">
        <v>1397</v>
      </c>
      <c r="G14" s="17" t="s">
        <v>39</v>
      </c>
      <c r="H14" s="17" t="s">
        <v>89</v>
      </c>
      <c r="I14" s="31" t="s">
        <v>41</v>
      </c>
      <c r="J14" s="18">
        <v>46043</v>
      </c>
      <c r="K14" s="17"/>
    </row>
    <row r="15" spans="1:14" s="3" customFormat="1" ht="15">
      <c r="A15" s="17">
        <v>13</v>
      </c>
      <c r="B15" s="17" t="s">
        <v>57</v>
      </c>
      <c r="C15" s="17" t="s">
        <v>92</v>
      </c>
      <c r="D15" s="17" t="s">
        <v>93</v>
      </c>
      <c r="E15" s="17" t="s">
        <v>88</v>
      </c>
      <c r="F15" s="17">
        <v>650</v>
      </c>
      <c r="G15" s="17" t="s">
        <v>39</v>
      </c>
      <c r="H15" s="17" t="s">
        <v>89</v>
      </c>
      <c r="I15" s="31" t="s">
        <v>41</v>
      </c>
      <c r="J15" s="18">
        <v>46044</v>
      </c>
      <c r="K15" s="17"/>
    </row>
    <row r="16" spans="1:14" s="3" customFormat="1" ht="15">
      <c r="A16" s="17">
        <v>14</v>
      </c>
      <c r="B16" s="17" t="s">
        <v>57</v>
      </c>
      <c r="C16" s="17" t="s">
        <v>94</v>
      </c>
      <c r="D16" s="17" t="s">
        <v>95</v>
      </c>
      <c r="E16" s="17" t="s">
        <v>88</v>
      </c>
      <c r="F16" s="17">
        <v>6006</v>
      </c>
      <c r="G16" s="17" t="s">
        <v>39</v>
      </c>
      <c r="H16" s="17" t="s">
        <v>89</v>
      </c>
      <c r="I16" s="31" t="s">
        <v>41</v>
      </c>
      <c r="J16" s="18">
        <v>46044</v>
      </c>
      <c r="K16" s="17"/>
    </row>
    <row r="17" spans="1:11" s="1" customFormat="1">
      <c r="A17" s="9">
        <v>15</v>
      </c>
      <c r="B17" s="9" t="s">
        <v>35</v>
      </c>
      <c r="C17" s="9" t="s">
        <v>36</v>
      </c>
      <c r="D17" s="9" t="s">
        <v>37</v>
      </c>
      <c r="E17" s="9" t="s">
        <v>38</v>
      </c>
      <c r="F17" s="9">
        <v>1152</v>
      </c>
      <c r="G17" s="9" t="s">
        <v>39</v>
      </c>
      <c r="H17" s="9" t="s">
        <v>96</v>
      </c>
      <c r="I17" s="9" t="s">
        <v>41</v>
      </c>
      <c r="J17" s="11">
        <v>46055</v>
      </c>
      <c r="K17" s="9"/>
    </row>
    <row r="18" spans="1:11" s="1" customFormat="1" ht="30">
      <c r="A18" s="9">
        <v>16</v>
      </c>
      <c r="B18" s="9" t="s">
        <v>97</v>
      </c>
      <c r="C18" s="9" t="s">
        <v>98</v>
      </c>
      <c r="D18" s="9" t="s">
        <v>99</v>
      </c>
      <c r="E18" s="9" t="s">
        <v>67</v>
      </c>
      <c r="F18" s="9">
        <v>222</v>
      </c>
      <c r="G18" s="9" t="s">
        <v>39</v>
      </c>
      <c r="H18" s="33" t="s">
        <v>100</v>
      </c>
      <c r="I18" s="9" t="s">
        <v>41</v>
      </c>
      <c r="J18" s="11">
        <v>46065</v>
      </c>
      <c r="K18" s="16" t="s">
        <v>101</v>
      </c>
    </row>
    <row r="19" spans="1:11" s="1" customFormat="1">
      <c r="A19" s="9">
        <v>17</v>
      </c>
      <c r="B19" s="9" t="s">
        <v>102</v>
      </c>
      <c r="C19" s="9" t="s">
        <v>103</v>
      </c>
      <c r="D19" s="9" t="s">
        <v>104</v>
      </c>
      <c r="E19" s="9" t="s">
        <v>88</v>
      </c>
      <c r="F19" s="9">
        <v>2004</v>
      </c>
      <c r="G19" s="9" t="s">
        <v>39</v>
      </c>
      <c r="H19" s="9" t="s">
        <v>105</v>
      </c>
      <c r="I19" s="9" t="s">
        <v>41</v>
      </c>
      <c r="J19" s="11">
        <v>46076</v>
      </c>
      <c r="K19" s="9"/>
    </row>
    <row r="20" spans="1:11" s="1" customFormat="1">
      <c r="A20" s="9">
        <v>18</v>
      </c>
      <c r="B20" s="9" t="s">
        <v>106</v>
      </c>
      <c r="C20" s="9" t="s">
        <v>107</v>
      </c>
      <c r="D20" s="9" t="s">
        <v>108</v>
      </c>
      <c r="E20" s="9" t="s">
        <v>109</v>
      </c>
      <c r="F20" s="9">
        <v>57.41</v>
      </c>
      <c r="G20" s="9" t="s">
        <v>110</v>
      </c>
      <c r="H20" s="9" t="s">
        <v>111</v>
      </c>
      <c r="I20" s="9" t="s">
        <v>41</v>
      </c>
      <c r="J20" s="11">
        <v>46079</v>
      </c>
      <c r="K20" s="9"/>
    </row>
    <row r="21" spans="1:11" s="1" customFormat="1">
      <c r="A21" s="9">
        <v>19</v>
      </c>
      <c r="B21" s="9" t="s">
        <v>112</v>
      </c>
      <c r="C21" s="9" t="s">
        <v>113</v>
      </c>
      <c r="D21" s="9" t="s">
        <v>114</v>
      </c>
      <c r="E21" s="9" t="s">
        <v>115</v>
      </c>
      <c r="F21" s="9">
        <v>2600</v>
      </c>
      <c r="G21" s="9" t="s">
        <v>39</v>
      </c>
      <c r="H21" s="9" t="s">
        <v>116</v>
      </c>
      <c r="I21" s="9" t="s">
        <v>41</v>
      </c>
      <c r="J21" s="11">
        <v>46080</v>
      </c>
      <c r="K21" s="9" t="s">
        <v>117</v>
      </c>
    </row>
    <row r="22" spans="1:11" s="1" customFormat="1">
      <c r="A22" s="9">
        <v>20</v>
      </c>
      <c r="B22" s="9" t="s">
        <v>112</v>
      </c>
      <c r="C22" s="9" t="s">
        <v>113</v>
      </c>
      <c r="D22" s="9" t="s">
        <v>118</v>
      </c>
      <c r="E22" s="9" t="s">
        <v>115</v>
      </c>
      <c r="F22" s="9">
        <v>1600</v>
      </c>
      <c r="G22" s="9" t="s">
        <v>39</v>
      </c>
      <c r="H22" s="9" t="s">
        <v>116</v>
      </c>
      <c r="I22" s="9" t="s">
        <v>41</v>
      </c>
      <c r="J22" s="11">
        <v>46080</v>
      </c>
      <c r="K22" s="9" t="s">
        <v>119</v>
      </c>
    </row>
    <row r="23" spans="1:11" s="30" customFormat="1">
      <c r="A23" s="34">
        <v>21</v>
      </c>
      <c r="B23" s="34" t="s">
        <v>120</v>
      </c>
      <c r="C23" s="34" t="s">
        <v>58</v>
      </c>
      <c r="D23" s="34" t="s">
        <v>121</v>
      </c>
      <c r="E23" s="34" t="s">
        <v>122</v>
      </c>
      <c r="F23" s="34">
        <v>10</v>
      </c>
      <c r="G23" s="34" t="s">
        <v>123</v>
      </c>
      <c r="H23" s="34" t="s">
        <v>124</v>
      </c>
      <c r="I23" s="34" t="s">
        <v>41</v>
      </c>
      <c r="J23" s="35">
        <v>46083</v>
      </c>
      <c r="K23" s="34"/>
    </row>
    <row r="24" spans="1:11">
      <c r="A24" s="6">
        <v>22</v>
      </c>
      <c r="B24" s="6" t="s">
        <v>112</v>
      </c>
      <c r="C24" s="6" t="s">
        <v>113</v>
      </c>
      <c r="D24" s="6" t="s">
        <v>114</v>
      </c>
      <c r="E24" s="6" t="s">
        <v>115</v>
      </c>
      <c r="F24" s="6">
        <v>2600</v>
      </c>
      <c r="G24" s="6" t="s">
        <v>39</v>
      </c>
      <c r="H24" s="6" t="s">
        <v>125</v>
      </c>
      <c r="I24" s="6" t="s">
        <v>41</v>
      </c>
      <c r="J24" s="19">
        <v>46086</v>
      </c>
      <c r="K24" s="6" t="s">
        <v>126</v>
      </c>
    </row>
    <row r="25" spans="1:11" s="30" customFormat="1">
      <c r="A25" s="34">
        <v>23</v>
      </c>
      <c r="B25" s="34" t="s">
        <v>127</v>
      </c>
      <c r="C25" s="34" t="s">
        <v>107</v>
      </c>
      <c r="D25" s="34" t="s">
        <v>128</v>
      </c>
      <c r="E25" s="34" t="s">
        <v>67</v>
      </c>
      <c r="F25" s="34">
        <v>1500</v>
      </c>
      <c r="G25" s="34" t="s">
        <v>39</v>
      </c>
      <c r="H25" s="34" t="s">
        <v>129</v>
      </c>
      <c r="I25" s="34" t="s">
        <v>41</v>
      </c>
      <c r="J25" s="35">
        <v>46087</v>
      </c>
      <c r="K25" s="34"/>
    </row>
    <row r="26" spans="1:11" s="30" customFormat="1">
      <c r="A26" s="34">
        <v>24</v>
      </c>
      <c r="B26" s="34" t="s">
        <v>130</v>
      </c>
      <c r="C26" s="34" t="s">
        <v>131</v>
      </c>
      <c r="D26" s="34" t="s">
        <v>132</v>
      </c>
      <c r="E26" s="34" t="s">
        <v>133</v>
      </c>
      <c r="F26" s="34">
        <v>2500</v>
      </c>
      <c r="G26" s="34" t="s">
        <v>80</v>
      </c>
      <c r="H26" s="34" t="s">
        <v>134</v>
      </c>
      <c r="I26" s="34" t="s">
        <v>41</v>
      </c>
      <c r="J26" s="35">
        <v>45727</v>
      </c>
      <c r="K26" s="34"/>
    </row>
    <row r="27" spans="1:11" s="30" customFormat="1">
      <c r="A27" s="34">
        <v>25</v>
      </c>
      <c r="B27" s="34" t="s">
        <v>43</v>
      </c>
      <c r="C27" s="34" t="s">
        <v>36</v>
      </c>
      <c r="D27" s="34" t="s">
        <v>135</v>
      </c>
      <c r="E27" s="34" t="s">
        <v>136</v>
      </c>
      <c r="F27" s="34">
        <v>40292</v>
      </c>
      <c r="G27" s="34" t="s">
        <v>137</v>
      </c>
      <c r="H27" s="34" t="s">
        <v>138</v>
      </c>
      <c r="I27" s="34" t="s">
        <v>41</v>
      </c>
      <c r="J27" s="35">
        <v>46092</v>
      </c>
      <c r="K27" s="34" t="s">
        <v>139</v>
      </c>
    </row>
    <row r="28" spans="1:11">
      <c r="A28" s="6">
        <v>26</v>
      </c>
      <c r="B28" s="6" t="s">
        <v>47</v>
      </c>
      <c r="C28" s="6" t="s">
        <v>48</v>
      </c>
      <c r="D28" s="6" t="s">
        <v>140</v>
      </c>
      <c r="E28" s="6" t="s">
        <v>141</v>
      </c>
      <c r="F28" s="6">
        <v>1040</v>
      </c>
      <c r="G28" s="6" t="s">
        <v>74</v>
      </c>
      <c r="H28" s="6" t="s">
        <v>142</v>
      </c>
      <c r="I28" s="6" t="s">
        <v>46</v>
      </c>
      <c r="J28" s="19">
        <v>46095</v>
      </c>
      <c r="K28" s="6" t="s">
        <v>143</v>
      </c>
    </row>
    <row r="29" spans="1:11" s="30" customFormat="1">
      <c r="A29" s="34">
        <v>27</v>
      </c>
      <c r="B29" s="34" t="s">
        <v>144</v>
      </c>
      <c r="C29" s="34" t="s">
        <v>145</v>
      </c>
      <c r="D29" s="34" t="s">
        <v>146</v>
      </c>
      <c r="E29" s="34" t="s">
        <v>50</v>
      </c>
      <c r="F29" s="34">
        <v>10000</v>
      </c>
      <c r="G29" s="34" t="s">
        <v>55</v>
      </c>
      <c r="H29" s="34" t="s">
        <v>147</v>
      </c>
      <c r="I29" s="34" t="s">
        <v>41</v>
      </c>
      <c r="J29" s="35">
        <v>46101</v>
      </c>
      <c r="K29" s="34"/>
    </row>
    <row r="30" spans="1:11">
      <c r="A30" s="6">
        <v>28</v>
      </c>
      <c r="B30" s="6" t="s">
        <v>57</v>
      </c>
      <c r="C30" s="6" t="s">
        <v>58</v>
      </c>
      <c r="D30" s="4" t="s">
        <v>148</v>
      </c>
      <c r="E30" s="6" t="s">
        <v>149</v>
      </c>
      <c r="F30" s="6">
        <v>2738</v>
      </c>
      <c r="G30" s="6" t="s">
        <v>39</v>
      </c>
      <c r="H30" s="6" t="s">
        <v>150</v>
      </c>
      <c r="I30" s="6" t="s">
        <v>41</v>
      </c>
      <c r="J30" s="19">
        <v>46103</v>
      </c>
      <c r="K30" s="6" t="s">
        <v>151</v>
      </c>
    </row>
    <row r="31" spans="1:11" s="30" customFormat="1">
      <c r="A31" s="34">
        <v>29</v>
      </c>
      <c r="B31" s="34" t="s">
        <v>152</v>
      </c>
      <c r="C31" s="34" t="s">
        <v>153</v>
      </c>
      <c r="D31" s="34" t="s">
        <v>132</v>
      </c>
      <c r="E31" s="34" t="s">
        <v>154</v>
      </c>
      <c r="F31" s="34">
        <v>1000</v>
      </c>
      <c r="G31" s="34" t="s">
        <v>80</v>
      </c>
      <c r="H31" s="34" t="s">
        <v>155</v>
      </c>
      <c r="I31" s="34" t="s">
        <v>41</v>
      </c>
      <c r="J31" s="35">
        <v>46108</v>
      </c>
      <c r="K31" s="34"/>
    </row>
    <row r="32" spans="1:11" s="30" customFormat="1">
      <c r="A32" s="34">
        <v>30</v>
      </c>
      <c r="B32" s="34" t="s">
        <v>47</v>
      </c>
      <c r="C32" s="34" t="s">
        <v>156</v>
      </c>
      <c r="D32" s="34" t="s">
        <v>157</v>
      </c>
      <c r="E32" s="34" t="s">
        <v>50</v>
      </c>
      <c r="F32" s="34">
        <v>3000</v>
      </c>
      <c r="G32" s="34" t="s">
        <v>55</v>
      </c>
      <c r="H32" s="34" t="s">
        <v>147</v>
      </c>
      <c r="I32" s="34" t="s">
        <v>41</v>
      </c>
      <c r="J32" s="35">
        <v>46111</v>
      </c>
      <c r="K32" s="34"/>
    </row>
    <row r="33" spans="1:11">
      <c r="A33" s="6">
        <v>31</v>
      </c>
      <c r="B33" s="6" t="s">
        <v>102</v>
      </c>
      <c r="C33" s="6" t="s">
        <v>131</v>
      </c>
      <c r="D33" s="6" t="s">
        <v>158</v>
      </c>
      <c r="E33" s="6" t="s">
        <v>159</v>
      </c>
      <c r="F33" s="6">
        <v>1900</v>
      </c>
      <c r="G33" s="6" t="s">
        <v>39</v>
      </c>
      <c r="H33" s="6" t="s">
        <v>160</v>
      </c>
      <c r="I33" s="6" t="s">
        <v>161</v>
      </c>
      <c r="J33" s="36">
        <v>46113</v>
      </c>
      <c r="K33" s="24"/>
    </row>
    <row r="34" spans="1:11" ht="14" customHeight="1">
      <c r="A34" s="6">
        <v>32</v>
      </c>
      <c r="B34" s="24" t="s">
        <v>162</v>
      </c>
      <c r="C34" s="24" t="s">
        <v>58</v>
      </c>
      <c r="D34" s="24" t="s">
        <v>163</v>
      </c>
      <c r="E34" s="24" t="s">
        <v>50</v>
      </c>
      <c r="F34" s="24">
        <v>3000</v>
      </c>
      <c r="G34" s="24" t="s">
        <v>55</v>
      </c>
      <c r="H34" s="24" t="s">
        <v>164</v>
      </c>
      <c r="I34" s="25" t="s">
        <v>46</v>
      </c>
      <c r="J34" s="36">
        <v>46114</v>
      </c>
      <c r="K34" s="24" t="s">
        <v>165</v>
      </c>
    </row>
    <row r="35" spans="1:11" s="3" customFormat="1" ht="14" customHeight="1">
      <c r="A35" s="17">
        <v>33</v>
      </c>
      <c r="B35" s="17" t="s">
        <v>47</v>
      </c>
      <c r="C35" s="27" t="s">
        <v>156</v>
      </c>
      <c r="D35" s="17" t="s">
        <v>166</v>
      </c>
      <c r="E35" s="17" t="s">
        <v>50</v>
      </c>
      <c r="F35" s="17">
        <v>30000</v>
      </c>
      <c r="G35" s="27" t="s">
        <v>55</v>
      </c>
      <c r="H35" s="27" t="s">
        <v>167</v>
      </c>
      <c r="I35" s="28" t="s">
        <v>41</v>
      </c>
      <c r="J35" s="18">
        <v>46121</v>
      </c>
      <c r="K35" s="17"/>
    </row>
    <row r="36" spans="1:11" ht="32" customHeight="1">
      <c r="A36" s="6">
        <v>34</v>
      </c>
      <c r="B36" s="6" t="s">
        <v>168</v>
      </c>
      <c r="C36" s="24" t="s">
        <v>169</v>
      </c>
      <c r="D36" s="6" t="s">
        <v>170</v>
      </c>
      <c r="E36" s="6" t="s">
        <v>171</v>
      </c>
      <c r="F36" s="6"/>
      <c r="G36" s="24"/>
      <c r="H36" s="24"/>
      <c r="I36" s="37" t="s">
        <v>172</v>
      </c>
      <c r="J36" s="19">
        <v>46121</v>
      </c>
      <c r="K36" s="6" t="s">
        <v>173</v>
      </c>
    </row>
    <row r="37" spans="1:11" ht="14" customHeight="1">
      <c r="A37" s="6">
        <v>35</v>
      </c>
      <c r="B37" s="6" t="s">
        <v>174</v>
      </c>
      <c r="C37" s="24" t="s">
        <v>175</v>
      </c>
      <c r="D37" s="6" t="s">
        <v>176</v>
      </c>
      <c r="E37" s="6" t="s">
        <v>177</v>
      </c>
      <c r="F37" s="6">
        <v>3072</v>
      </c>
      <c r="G37" s="24" t="s">
        <v>80</v>
      </c>
      <c r="H37" s="24" t="s">
        <v>178</v>
      </c>
      <c r="I37" s="25" t="s">
        <v>46</v>
      </c>
      <c r="J37" s="19">
        <v>46121</v>
      </c>
      <c r="K37" s="6"/>
    </row>
    <row r="38" spans="1:11" s="3" customFormat="1" ht="14" customHeight="1">
      <c r="A38" s="17">
        <v>36</v>
      </c>
      <c r="B38" s="17" t="s">
        <v>168</v>
      </c>
      <c r="C38" s="27" t="s">
        <v>179</v>
      </c>
      <c r="D38" s="17" t="s">
        <v>180</v>
      </c>
      <c r="E38" s="17" t="s">
        <v>67</v>
      </c>
      <c r="F38" s="17">
        <v>9984</v>
      </c>
      <c r="G38" s="27" t="s">
        <v>39</v>
      </c>
      <c r="H38" s="27" t="s">
        <v>181</v>
      </c>
      <c r="I38" s="28" t="s">
        <v>41</v>
      </c>
      <c r="J38" s="18">
        <v>46121</v>
      </c>
      <c r="K38" s="31" t="s">
        <v>182</v>
      </c>
    </row>
    <row r="39" spans="1:11" ht="14" customHeight="1">
      <c r="A39" s="6"/>
      <c r="B39" s="6" t="s">
        <v>183</v>
      </c>
      <c r="C39" s="24" t="s">
        <v>184</v>
      </c>
      <c r="D39" s="6" t="s">
        <v>185</v>
      </c>
      <c r="E39" s="6" t="s">
        <v>186</v>
      </c>
      <c r="F39" s="6">
        <v>6600</v>
      </c>
      <c r="G39" s="24" t="s">
        <v>80</v>
      </c>
      <c r="H39" s="24" t="s">
        <v>187</v>
      </c>
      <c r="I39" s="37" t="s">
        <v>172</v>
      </c>
      <c r="J39" s="19">
        <v>46129</v>
      </c>
      <c r="K39" s="15"/>
    </row>
    <row r="40" spans="1:11" s="3" customFormat="1" ht="14" customHeight="1">
      <c r="A40" s="17"/>
      <c r="B40" s="17" t="s">
        <v>188</v>
      </c>
      <c r="C40" s="17" t="s">
        <v>113</v>
      </c>
      <c r="D40" s="17" t="s">
        <v>108</v>
      </c>
      <c r="E40" s="17" t="s">
        <v>50</v>
      </c>
      <c r="F40" s="17">
        <v>54</v>
      </c>
      <c r="G40" s="17" t="s">
        <v>110</v>
      </c>
      <c r="H40" s="17" t="s">
        <v>189</v>
      </c>
      <c r="I40" s="38" t="s">
        <v>41</v>
      </c>
      <c r="J40" s="18">
        <v>46133</v>
      </c>
      <c r="K40" s="31"/>
    </row>
    <row r="41" spans="1:11" s="3" customFormat="1" ht="14" customHeight="1">
      <c r="A41" s="17">
        <v>37</v>
      </c>
      <c r="B41" s="17" t="s">
        <v>47</v>
      </c>
      <c r="C41" s="17" t="s">
        <v>53</v>
      </c>
      <c r="D41" s="17" t="s">
        <v>62</v>
      </c>
      <c r="E41" s="17" t="s">
        <v>50</v>
      </c>
      <c r="F41" s="17">
        <v>50000</v>
      </c>
      <c r="G41" s="17" t="s">
        <v>55</v>
      </c>
      <c r="H41" s="17" t="s">
        <v>63</v>
      </c>
      <c r="I41" s="31" t="s">
        <v>41</v>
      </c>
      <c r="J41" s="18">
        <v>46136</v>
      </c>
      <c r="K41" s="17"/>
    </row>
    <row r="42" spans="1:11" s="3" customFormat="1" ht="14" customHeight="1">
      <c r="A42" s="17">
        <v>38</v>
      </c>
      <c r="B42" s="17" t="s">
        <v>190</v>
      </c>
      <c r="C42" s="17" t="s">
        <v>175</v>
      </c>
      <c r="D42" s="17" t="s">
        <v>191</v>
      </c>
      <c r="E42" s="17" t="s">
        <v>192</v>
      </c>
      <c r="F42" s="17">
        <v>1000</v>
      </c>
      <c r="G42" s="17" t="s">
        <v>193</v>
      </c>
      <c r="H42" s="17" t="s">
        <v>194</v>
      </c>
      <c r="I42" s="31" t="s">
        <v>41</v>
      </c>
      <c r="J42" s="18">
        <v>46139</v>
      </c>
      <c r="K42" s="17"/>
    </row>
    <row r="43" spans="1:11" s="3" customFormat="1" ht="14" customHeight="1">
      <c r="A43" s="17">
        <v>39</v>
      </c>
      <c r="B43" s="17" t="s">
        <v>97</v>
      </c>
      <c r="C43" s="17" t="s">
        <v>195</v>
      </c>
      <c r="D43" s="17" t="s">
        <v>196</v>
      </c>
      <c r="E43" s="17" t="s">
        <v>67</v>
      </c>
      <c r="F43" s="17">
        <v>8342</v>
      </c>
      <c r="G43" s="17" t="s">
        <v>39</v>
      </c>
      <c r="H43" s="17" t="s">
        <v>197</v>
      </c>
      <c r="I43" s="31" t="s">
        <v>41</v>
      </c>
      <c r="J43" s="18">
        <v>46140</v>
      </c>
      <c r="K43" s="17"/>
    </row>
    <row r="44" spans="1:11" s="3" customFormat="1" ht="14" customHeight="1">
      <c r="A44" s="17">
        <v>40</v>
      </c>
      <c r="B44" s="17" t="s">
        <v>102</v>
      </c>
      <c r="C44" s="17" t="s">
        <v>184</v>
      </c>
      <c r="D44" s="17" t="s">
        <v>198</v>
      </c>
      <c r="E44" s="17" t="s">
        <v>67</v>
      </c>
      <c r="F44" s="17">
        <v>14879</v>
      </c>
      <c r="G44" s="17" t="s">
        <v>39</v>
      </c>
      <c r="H44" s="17" t="s">
        <v>40</v>
      </c>
      <c r="I44" s="31" t="s">
        <v>41</v>
      </c>
      <c r="J44" s="18">
        <v>46145</v>
      </c>
      <c r="K44" s="17"/>
    </row>
    <row r="45" spans="1:11" ht="14" customHeight="1">
      <c r="A45" s="6">
        <v>41</v>
      </c>
      <c r="B45" s="6"/>
      <c r="C45" s="6"/>
      <c r="D45" s="6"/>
      <c r="E45" s="6"/>
      <c r="F45" s="6"/>
      <c r="G45" s="6"/>
      <c r="H45" s="6"/>
      <c r="I45" s="6"/>
      <c r="J45" s="19"/>
      <c r="K45" s="6"/>
    </row>
    <row r="46" spans="1:11" ht="14" customHeight="1">
      <c r="A46" s="6">
        <v>42</v>
      </c>
      <c r="B46" s="6"/>
      <c r="C46" s="6"/>
      <c r="E46" s="6"/>
      <c r="F46" s="6"/>
      <c r="G46" s="6"/>
      <c r="H46" s="6"/>
      <c r="I46" s="6"/>
      <c r="J46" s="19"/>
      <c r="K46" s="6"/>
    </row>
    <row r="47" spans="1:11" ht="14" customHeight="1">
      <c r="A47" s="6">
        <v>43</v>
      </c>
      <c r="B47" s="6"/>
      <c r="C47" s="6"/>
      <c r="D47" s="6"/>
      <c r="E47" s="6"/>
      <c r="F47" s="6"/>
      <c r="G47" s="6"/>
      <c r="H47" s="6"/>
      <c r="I47" s="6"/>
      <c r="J47" s="19"/>
      <c r="K47" s="6"/>
    </row>
    <row r="48" spans="1:11" ht="14" customHeight="1">
      <c r="A48" s="6">
        <v>44</v>
      </c>
      <c r="B48" s="6"/>
      <c r="C48" s="6"/>
      <c r="D48" s="6"/>
      <c r="E48" s="6"/>
      <c r="F48" s="6"/>
      <c r="G48" s="6"/>
      <c r="H48" s="6"/>
      <c r="I48" s="6"/>
      <c r="J48" s="19"/>
      <c r="K48" s="6"/>
    </row>
    <row r="49" spans="1:11" ht="14" customHeight="1">
      <c r="A49" s="6">
        <v>45</v>
      </c>
      <c r="B49" s="6"/>
      <c r="C49" s="6"/>
      <c r="D49" s="6"/>
      <c r="E49" s="6"/>
      <c r="F49" s="6"/>
      <c r="G49" s="6"/>
      <c r="H49" s="6"/>
      <c r="I49" s="6"/>
      <c r="J49" s="19"/>
      <c r="K49" s="6"/>
    </row>
    <row r="50" spans="1:11" ht="14" customHeight="1">
      <c r="A50" s="6">
        <v>46</v>
      </c>
      <c r="B50" s="6"/>
      <c r="C50" s="6"/>
      <c r="D50" s="6"/>
      <c r="E50" s="6"/>
      <c r="F50" s="6"/>
      <c r="G50" s="6"/>
      <c r="H50" s="6"/>
      <c r="I50" s="6"/>
      <c r="J50" s="19"/>
      <c r="K50" s="6"/>
    </row>
    <row r="51" spans="1:11" ht="14" customHeight="1">
      <c r="A51" s="6">
        <v>47</v>
      </c>
      <c r="B51" s="6"/>
      <c r="C51" s="6"/>
      <c r="D51" s="6"/>
      <c r="E51" s="6"/>
      <c r="F51" s="6"/>
      <c r="G51" s="6"/>
      <c r="H51" s="6"/>
      <c r="I51" s="6"/>
      <c r="J51" s="19"/>
      <c r="K51" s="6"/>
    </row>
    <row r="52" spans="1:11" ht="14" customHeight="1">
      <c r="A52" s="6">
        <v>48</v>
      </c>
      <c r="B52" s="6"/>
      <c r="C52" s="6"/>
      <c r="D52" s="6"/>
      <c r="E52" s="6"/>
      <c r="F52" s="6"/>
      <c r="G52" s="6"/>
      <c r="H52" s="6"/>
      <c r="I52" s="6"/>
      <c r="J52" s="19"/>
      <c r="K52" s="6"/>
    </row>
    <row r="53" spans="1:11" ht="14" customHeight="1">
      <c r="A53" s="6">
        <v>49</v>
      </c>
      <c r="B53" s="6"/>
      <c r="C53" s="6"/>
      <c r="D53" s="6"/>
      <c r="E53" s="6"/>
      <c r="F53" s="6"/>
      <c r="G53" s="6"/>
      <c r="H53" s="6"/>
      <c r="I53" s="6"/>
      <c r="J53" s="19"/>
      <c r="K53" s="6"/>
    </row>
    <row r="54" spans="1:11" ht="14" customHeight="1">
      <c r="A54" s="6">
        <v>50</v>
      </c>
      <c r="B54" s="6"/>
      <c r="C54" s="6"/>
      <c r="D54" s="6"/>
      <c r="E54" s="6"/>
      <c r="F54" s="6"/>
      <c r="G54" s="6"/>
      <c r="H54" s="6"/>
      <c r="I54" s="6"/>
      <c r="J54" s="19"/>
      <c r="K54" s="6"/>
    </row>
    <row r="55" spans="1:11" ht="14" customHeight="1">
      <c r="A55" s="6">
        <v>51</v>
      </c>
      <c r="B55" s="6"/>
      <c r="C55" s="6"/>
      <c r="D55" s="6"/>
      <c r="E55" s="6"/>
      <c r="F55" s="6"/>
      <c r="G55" s="6"/>
      <c r="H55" s="6"/>
      <c r="I55" s="6"/>
      <c r="J55" s="19"/>
      <c r="K55" s="6"/>
    </row>
    <row r="56" spans="1:11" ht="14" customHeight="1">
      <c r="A56" s="6">
        <v>52</v>
      </c>
      <c r="B56" s="6"/>
      <c r="C56" s="6"/>
      <c r="D56" s="6"/>
      <c r="E56" s="6"/>
      <c r="F56" s="6"/>
      <c r="G56" s="6"/>
      <c r="H56" s="6"/>
      <c r="I56" s="6"/>
      <c r="J56" s="19"/>
      <c r="K56" s="6"/>
    </row>
    <row r="57" spans="1:11">
      <c r="A57" s="6"/>
      <c r="B57" s="6"/>
      <c r="C57" s="6"/>
      <c r="E57" s="6"/>
      <c r="F57" s="6"/>
      <c r="G57" s="15"/>
      <c r="H57" s="15"/>
      <c r="I57" s="15"/>
      <c r="J57" s="14"/>
      <c r="K57" s="6"/>
    </row>
    <row r="58" spans="1:11">
      <c r="A58" s="6"/>
      <c r="B58" s="6"/>
      <c r="C58" s="6"/>
      <c r="D58" s="6"/>
      <c r="E58" s="6"/>
      <c r="F58" s="6"/>
      <c r="G58" s="15"/>
      <c r="H58" s="15"/>
      <c r="I58" s="15"/>
      <c r="J58" s="14"/>
      <c r="K58" s="6"/>
    </row>
    <row r="59" spans="1:11">
      <c r="A59" s="6"/>
      <c r="B59" s="6"/>
      <c r="D59" s="6"/>
      <c r="E59" s="6"/>
      <c r="F59" s="6"/>
      <c r="G59" s="15"/>
      <c r="H59" s="15"/>
      <c r="I59" s="15"/>
      <c r="J59" s="14"/>
      <c r="K59" s="6"/>
    </row>
    <row r="60" spans="1:11">
      <c r="A60" s="6"/>
      <c r="B60" s="6"/>
      <c r="C60" s="6"/>
      <c r="D60" s="6"/>
      <c r="E60" s="6"/>
      <c r="F60" s="6"/>
      <c r="G60" s="15"/>
      <c r="H60" s="15"/>
      <c r="I60" s="15"/>
      <c r="J60" s="14"/>
      <c r="K60" s="6"/>
    </row>
    <row r="61" spans="1:11">
      <c r="A61" s="6"/>
      <c r="B61" s="6"/>
      <c r="C61" s="6"/>
      <c r="E61" s="6"/>
      <c r="F61" s="6"/>
      <c r="G61" s="15"/>
      <c r="H61" s="15"/>
      <c r="I61" s="15"/>
      <c r="J61" s="14"/>
      <c r="K61" s="6"/>
    </row>
    <row r="62" spans="1:11">
      <c r="A62" s="6"/>
      <c r="B62" s="6"/>
      <c r="C62" s="6"/>
      <c r="D62" s="6"/>
      <c r="E62" s="6"/>
      <c r="F62" s="6"/>
      <c r="G62" s="15"/>
      <c r="H62" s="15"/>
      <c r="I62" s="15"/>
      <c r="J62" s="14"/>
      <c r="K62" s="6"/>
    </row>
    <row r="63" spans="1:11">
      <c r="A63" s="6"/>
      <c r="B63" s="6"/>
      <c r="C63" s="6"/>
      <c r="D63" s="6"/>
      <c r="E63" s="6"/>
      <c r="F63" s="6"/>
      <c r="G63" s="39"/>
      <c r="H63" s="57"/>
      <c r="I63" s="40"/>
      <c r="J63" s="41"/>
      <c r="K63" s="59"/>
    </row>
    <row r="64" spans="1:11">
      <c r="A64" s="6"/>
      <c r="B64" s="6"/>
      <c r="C64" s="6"/>
      <c r="D64" s="6"/>
      <c r="E64" s="6"/>
      <c r="F64" s="6"/>
      <c r="G64" s="42"/>
      <c r="H64" s="58"/>
      <c r="I64" s="40"/>
      <c r="J64" s="41"/>
      <c r="K64" s="60"/>
    </row>
    <row r="65" spans="1:11">
      <c r="A65" s="6"/>
      <c r="B65" s="6"/>
      <c r="C65" s="6"/>
      <c r="D65" s="6"/>
      <c r="E65" s="6"/>
      <c r="F65" s="6"/>
      <c r="G65" s="15"/>
      <c r="H65" s="15"/>
      <c r="I65" s="15"/>
      <c r="J65" s="19"/>
      <c r="K65" s="6"/>
    </row>
    <row r="66" spans="1:11">
      <c r="A66" s="6"/>
      <c r="B66" s="6"/>
      <c r="C66" s="6"/>
      <c r="D66" s="6"/>
      <c r="E66" s="6"/>
      <c r="F66" s="6"/>
      <c r="G66" s="15"/>
      <c r="H66" s="15"/>
      <c r="I66" s="15"/>
      <c r="J66" s="19"/>
      <c r="K66" s="6"/>
    </row>
    <row r="67" spans="1:11">
      <c r="A67" s="6"/>
      <c r="B67" s="6"/>
      <c r="C67" s="6"/>
      <c r="D67" s="6"/>
      <c r="E67" s="6"/>
      <c r="F67" s="6"/>
      <c r="G67" s="15"/>
      <c r="H67" s="15"/>
      <c r="I67" s="15"/>
      <c r="J67" s="19"/>
      <c r="K67" s="23"/>
    </row>
    <row r="68" spans="1:11">
      <c r="A68" s="6"/>
      <c r="B68" s="6"/>
      <c r="C68" s="6"/>
      <c r="D68" s="6"/>
      <c r="E68" s="6"/>
      <c r="F68" s="6"/>
      <c r="G68" s="15"/>
      <c r="H68" s="15"/>
      <c r="I68" s="15"/>
      <c r="J68" s="19"/>
      <c r="K68" s="23"/>
    </row>
    <row r="69" spans="1:11">
      <c r="A69" s="6"/>
      <c r="B69" s="6"/>
      <c r="C69" s="6"/>
      <c r="D69" s="6"/>
      <c r="E69" s="15"/>
      <c r="F69" s="6"/>
      <c r="G69" s="15"/>
      <c r="H69" s="15"/>
      <c r="I69" s="15"/>
      <c r="J69" s="19"/>
      <c r="K69" s="6"/>
    </row>
    <row r="70" spans="1:11">
      <c r="A70" s="6"/>
      <c r="B70" s="6"/>
      <c r="C70" s="6"/>
      <c r="D70" s="6"/>
      <c r="E70" s="6"/>
      <c r="F70" s="6"/>
      <c r="G70" s="15"/>
      <c r="H70" s="15"/>
      <c r="I70" s="15"/>
      <c r="J70" s="19"/>
      <c r="K70" s="6"/>
    </row>
    <row r="71" spans="1:11">
      <c r="A71" s="6"/>
      <c r="B71" s="6"/>
      <c r="C71" s="6"/>
      <c r="D71" s="6"/>
      <c r="E71" s="6"/>
      <c r="F71" s="6"/>
      <c r="G71" s="15"/>
      <c r="H71" s="15"/>
      <c r="I71" s="15"/>
      <c r="J71" s="19"/>
      <c r="K71" s="6"/>
    </row>
    <row r="72" spans="1:11">
      <c r="A72" s="6"/>
      <c r="B72" s="6"/>
      <c r="C72" s="6"/>
      <c r="D72" s="15"/>
      <c r="E72" s="43"/>
      <c r="F72" s="6"/>
      <c r="G72" s="15"/>
      <c r="H72" s="15"/>
      <c r="I72" s="15"/>
      <c r="J72" s="19"/>
      <c r="K72" s="6"/>
    </row>
    <row r="73" spans="1:11">
      <c r="A73" s="6"/>
      <c r="B73" s="6"/>
      <c r="C73" s="6"/>
      <c r="D73" s="6"/>
      <c r="E73" s="6"/>
      <c r="F73" s="6"/>
      <c r="G73" s="15"/>
      <c r="H73" s="15"/>
      <c r="I73" s="15"/>
      <c r="J73" s="19"/>
      <c r="K73" s="6"/>
    </row>
    <row r="74" spans="1:11">
      <c r="A74" s="6"/>
      <c r="B74" s="6"/>
      <c r="C74" s="6"/>
      <c r="D74" s="6"/>
      <c r="E74" s="6"/>
      <c r="F74" s="6"/>
      <c r="G74" s="15"/>
      <c r="H74" s="15"/>
      <c r="I74" s="15"/>
      <c r="J74" s="19"/>
      <c r="K74" s="6"/>
    </row>
    <row r="75" spans="1:11">
      <c r="A75" s="6"/>
      <c r="B75" s="6"/>
      <c r="C75" s="6"/>
      <c r="D75" s="6"/>
      <c r="E75" s="6"/>
      <c r="F75" s="6"/>
      <c r="G75" s="6"/>
      <c r="H75" s="6"/>
      <c r="I75" s="6"/>
      <c r="J75" s="19"/>
      <c r="K75" s="6"/>
    </row>
    <row r="76" spans="1:11">
      <c r="A76" s="6"/>
      <c r="B76" s="6"/>
      <c r="C76" s="6"/>
      <c r="D76" s="6"/>
      <c r="E76" s="6"/>
      <c r="F76" s="6"/>
      <c r="G76" s="15"/>
      <c r="H76" s="15"/>
      <c r="I76" s="15"/>
      <c r="J76" s="19"/>
      <c r="K76" s="6"/>
    </row>
    <row r="77" spans="1:11">
      <c r="A77" s="6"/>
      <c r="B77" s="6"/>
      <c r="C77" s="6"/>
      <c r="D77" s="6"/>
      <c r="E77" s="6"/>
      <c r="F77" s="6"/>
      <c r="G77" s="15"/>
      <c r="H77" s="15"/>
      <c r="I77" s="15"/>
      <c r="J77" s="19"/>
      <c r="K77" s="6"/>
    </row>
    <row r="78" spans="1:11">
      <c r="A78" s="6"/>
      <c r="B78" s="6"/>
      <c r="C78" s="6"/>
      <c r="D78" s="6"/>
      <c r="E78" s="6"/>
      <c r="F78" s="6"/>
      <c r="G78" s="6"/>
      <c r="H78" s="6"/>
      <c r="I78" s="6"/>
      <c r="J78" s="19"/>
      <c r="K78" s="6"/>
    </row>
    <row r="79" spans="1:11">
      <c r="A79" s="6"/>
      <c r="B79" s="6"/>
      <c r="C79" s="6"/>
      <c r="D79" s="6"/>
      <c r="E79" s="6"/>
      <c r="F79" s="6"/>
      <c r="G79" s="6"/>
      <c r="H79" s="6"/>
      <c r="I79" s="6"/>
      <c r="J79" s="19"/>
      <c r="K79" s="6"/>
    </row>
    <row r="80" spans="1:11">
      <c r="A80" s="6"/>
      <c r="B80" s="6"/>
      <c r="C80" s="6"/>
      <c r="D80" s="6"/>
      <c r="E80" s="6"/>
      <c r="F80" s="6"/>
      <c r="G80" s="6"/>
      <c r="H80" s="6"/>
      <c r="I80" s="6"/>
      <c r="J80" s="19"/>
      <c r="K80" s="6"/>
    </row>
    <row r="81" spans="1:11">
      <c r="A81" s="6"/>
      <c r="B81" s="6"/>
      <c r="C81" s="6"/>
      <c r="D81" s="6"/>
      <c r="E81" s="6"/>
      <c r="F81" s="6"/>
      <c r="G81" s="6"/>
      <c r="H81" s="6"/>
      <c r="I81" s="6"/>
      <c r="J81" s="19"/>
      <c r="K81" s="6"/>
    </row>
    <row r="82" spans="1:11">
      <c r="A82" s="6"/>
      <c r="B82" s="6"/>
      <c r="C82" s="6"/>
      <c r="D82" s="6"/>
      <c r="E82" s="6"/>
      <c r="F82" s="6"/>
      <c r="G82" s="6"/>
      <c r="H82" s="6"/>
      <c r="I82" s="6"/>
      <c r="J82" s="19"/>
      <c r="K82" s="6"/>
    </row>
    <row r="83" spans="1:11">
      <c r="A83" s="6"/>
      <c r="B83" s="6"/>
      <c r="C83" s="6"/>
      <c r="D83" s="6"/>
      <c r="E83" s="6"/>
      <c r="F83" s="6"/>
      <c r="G83" s="6"/>
      <c r="H83" s="6"/>
      <c r="I83" s="6"/>
      <c r="J83" s="19"/>
      <c r="K83" s="6"/>
    </row>
    <row r="84" spans="1:11">
      <c r="A84" s="6"/>
      <c r="B84" s="6"/>
      <c r="C84" s="6"/>
      <c r="D84" s="6"/>
      <c r="E84" s="6"/>
      <c r="F84" s="6"/>
      <c r="G84" s="6"/>
      <c r="H84" s="6"/>
      <c r="I84" s="6"/>
      <c r="J84" s="19"/>
      <c r="K84" s="6"/>
    </row>
    <row r="85" spans="1:11">
      <c r="A85" s="6"/>
      <c r="B85" s="6"/>
      <c r="C85" s="6"/>
      <c r="D85" s="6"/>
      <c r="E85" s="6"/>
      <c r="F85" s="6"/>
      <c r="G85" s="6"/>
      <c r="H85" s="6"/>
      <c r="I85" s="6"/>
      <c r="J85" s="19"/>
      <c r="K85" s="6"/>
    </row>
    <row r="86" spans="1:11">
      <c r="A86" s="6"/>
      <c r="B86" s="6"/>
      <c r="C86" s="6"/>
      <c r="D86" s="6"/>
      <c r="E86" s="6"/>
      <c r="F86" s="6"/>
      <c r="G86" s="6"/>
      <c r="H86" s="6"/>
      <c r="I86" s="6"/>
      <c r="J86" s="19"/>
      <c r="K86" s="6"/>
    </row>
    <row r="87" spans="1:11">
      <c r="A87" s="6"/>
      <c r="B87" s="6"/>
      <c r="C87" s="6"/>
      <c r="D87" s="6"/>
      <c r="E87" s="6"/>
      <c r="F87" s="6"/>
      <c r="G87" s="6"/>
      <c r="H87" s="6"/>
      <c r="I87" s="6"/>
      <c r="J87" s="19"/>
      <c r="K87" s="6"/>
    </row>
    <row r="88" spans="1:11">
      <c r="A88" s="6"/>
      <c r="B88" s="6"/>
      <c r="C88" s="6"/>
      <c r="D88" s="6"/>
      <c r="E88" s="6"/>
      <c r="F88" s="6"/>
      <c r="G88" s="6"/>
      <c r="H88" s="6"/>
      <c r="I88" s="6"/>
      <c r="J88" s="19"/>
      <c r="K88" s="6"/>
    </row>
    <row r="89" spans="1:1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spans="1:1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spans="1:11">
      <c r="A91" s="6"/>
      <c r="B91" s="6"/>
      <c r="C91" s="6"/>
      <c r="D91" s="6"/>
      <c r="E91" s="6"/>
      <c r="F91" s="6"/>
      <c r="G91" s="6"/>
      <c r="H91" s="6"/>
      <c r="I91" s="6"/>
      <c r="J91" s="19"/>
      <c r="K91" s="6"/>
    </row>
    <row r="92" spans="1:11">
      <c r="A92" s="6"/>
      <c r="B92" s="6"/>
      <c r="C92" s="6"/>
      <c r="D92" s="6"/>
      <c r="E92" s="6"/>
      <c r="F92" s="6"/>
      <c r="G92" s="6"/>
      <c r="H92" s="6"/>
      <c r="I92" s="6"/>
      <c r="J92" s="19"/>
      <c r="K92" s="6"/>
    </row>
    <row r="93" spans="1:11">
      <c r="A93" s="6"/>
      <c r="B93" s="6"/>
      <c r="C93" s="6"/>
      <c r="D93" s="6"/>
      <c r="E93" s="6"/>
      <c r="F93" s="6"/>
      <c r="G93" s="6"/>
      <c r="H93" s="6"/>
      <c r="I93" s="6"/>
      <c r="J93" s="19"/>
      <c r="K93" s="6"/>
    </row>
    <row r="94" spans="1:11">
      <c r="A94" s="6"/>
      <c r="B94" s="6"/>
      <c r="C94" s="6"/>
      <c r="D94" s="6"/>
      <c r="E94" s="6"/>
      <c r="F94" s="6"/>
      <c r="G94" s="6"/>
      <c r="H94" s="6"/>
      <c r="I94" s="6"/>
      <c r="J94" s="19"/>
      <c r="K94" s="6"/>
    </row>
    <row r="95" spans="1:11">
      <c r="A95" s="6"/>
      <c r="B95" s="6"/>
      <c r="C95" s="6"/>
      <c r="D95" s="6"/>
      <c r="E95" s="6"/>
      <c r="F95" s="6"/>
      <c r="G95" s="6"/>
      <c r="H95" s="6"/>
      <c r="I95" s="6"/>
      <c r="J95" s="19"/>
      <c r="K95" s="6"/>
    </row>
    <row r="96" spans="1:11">
      <c r="A96" s="6"/>
      <c r="B96" s="6"/>
      <c r="C96" s="6"/>
      <c r="D96" s="6"/>
      <c r="E96" s="6"/>
      <c r="F96" s="6"/>
      <c r="G96" s="6"/>
      <c r="H96" s="6"/>
      <c r="I96" s="6"/>
      <c r="J96" s="19"/>
      <c r="K96" s="6"/>
    </row>
    <row r="97" spans="1:11">
      <c r="A97" s="6"/>
      <c r="B97" s="6"/>
      <c r="C97" s="6"/>
      <c r="D97" s="6"/>
      <c r="E97" s="6"/>
      <c r="F97" s="6"/>
      <c r="G97" s="6"/>
      <c r="H97" s="6"/>
      <c r="I97" s="6"/>
      <c r="J97" s="19"/>
      <c r="K97" s="6"/>
    </row>
    <row r="98" spans="1:1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</sheetData>
  <autoFilter ref="A2:N56" xr:uid="{00000000-0009-0000-0000-000001000000}"/>
  <mergeCells count="3">
    <mergeCell ref="A1:K1"/>
    <mergeCell ref="H63:H64"/>
    <mergeCell ref="K63:K64"/>
  </mergeCells>
  <phoneticPr fontId="10" type="noConversion"/>
  <pageMargins left="0.47222222222222199" right="0.39305555555555599" top="0.62986111111111098" bottom="0.35416666666666702" header="0.23611111111111099" footer="0.118055555555556"/>
  <pageSetup paperSize="9"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6"/>
  <sheetViews>
    <sheetView zoomScale="90" zoomScaleNormal="90" workbookViewId="0">
      <selection activeCell="M13" sqref="M13"/>
    </sheetView>
  </sheetViews>
  <sheetFormatPr baseColWidth="10" defaultColWidth="9" defaultRowHeight="14"/>
  <cols>
    <col min="1" max="1" width="6.5" style="4" customWidth="1"/>
    <col min="2" max="3" width="12.6640625" style="4" customWidth="1"/>
    <col min="4" max="4" width="18" style="4" customWidth="1"/>
    <col min="5" max="5" width="16.5" style="4" customWidth="1"/>
    <col min="6" max="6" width="11.6640625" style="4" customWidth="1"/>
    <col min="7" max="7" width="4.6640625" style="4" customWidth="1"/>
    <col min="8" max="8" width="41.1640625" style="4" customWidth="1"/>
    <col min="9" max="9" width="9" style="5" customWidth="1"/>
    <col min="10" max="10" width="11.1640625" style="4" customWidth="1"/>
    <col min="11" max="11" width="28" style="4" customWidth="1"/>
    <col min="12" max="16384" width="9" style="2"/>
  </cols>
  <sheetData>
    <row r="1" spans="1:12">
      <c r="A1" s="51" t="s">
        <v>199</v>
      </c>
      <c r="B1" s="51"/>
      <c r="C1" s="51"/>
      <c r="D1" s="51"/>
      <c r="E1" s="51"/>
      <c r="F1" s="51"/>
      <c r="G1" s="51"/>
      <c r="H1" s="51"/>
      <c r="I1" s="52"/>
      <c r="J1" s="51"/>
      <c r="K1" s="51"/>
    </row>
    <row r="2" spans="1:12">
      <c r="A2" s="6" t="s">
        <v>24</v>
      </c>
      <c r="B2" s="6" t="s">
        <v>25</v>
      </c>
      <c r="C2" s="6" t="s">
        <v>26</v>
      </c>
      <c r="D2" s="6" t="s">
        <v>27</v>
      </c>
      <c r="E2" s="6" t="s">
        <v>28</v>
      </c>
      <c r="F2" s="6" t="s">
        <v>29</v>
      </c>
      <c r="G2" s="6" t="s">
        <v>30</v>
      </c>
      <c r="H2" s="6" t="s">
        <v>31</v>
      </c>
      <c r="I2" s="7" t="s">
        <v>32</v>
      </c>
      <c r="J2" s="6" t="s">
        <v>33</v>
      </c>
      <c r="K2" s="6" t="s">
        <v>34</v>
      </c>
      <c r="L2" s="8" t="s">
        <v>42</v>
      </c>
    </row>
    <row r="3" spans="1:12" s="1" customFormat="1">
      <c r="A3" s="9">
        <v>1</v>
      </c>
      <c r="B3" s="9" t="s">
        <v>200</v>
      </c>
      <c r="C3" s="9" t="s">
        <v>36</v>
      </c>
      <c r="D3" s="9" t="s">
        <v>201</v>
      </c>
      <c r="E3" s="9"/>
      <c r="F3" s="9">
        <v>404</v>
      </c>
      <c r="G3" s="9" t="s">
        <v>202</v>
      </c>
      <c r="H3" s="9" t="s">
        <v>203</v>
      </c>
      <c r="I3" s="10" t="s">
        <v>41</v>
      </c>
      <c r="J3" s="11">
        <v>46024</v>
      </c>
      <c r="K3" s="9"/>
      <c r="L3" s="12"/>
    </row>
    <row r="4" spans="1:12" s="1" customFormat="1">
      <c r="A4" s="9">
        <v>2</v>
      </c>
      <c r="B4" s="9" t="s">
        <v>204</v>
      </c>
      <c r="C4" s="9" t="s">
        <v>65</v>
      </c>
      <c r="D4" s="9" t="s">
        <v>205</v>
      </c>
      <c r="E4" s="9" t="s">
        <v>206</v>
      </c>
      <c r="F4" s="9">
        <v>150.6</v>
      </c>
      <c r="G4" s="9" t="s">
        <v>80</v>
      </c>
      <c r="H4" s="9" t="s">
        <v>207</v>
      </c>
      <c r="I4" s="10" t="s">
        <v>41</v>
      </c>
      <c r="J4" s="13">
        <v>46034</v>
      </c>
      <c r="K4" s="9"/>
    </row>
    <row r="5" spans="1:12">
      <c r="A5" s="6">
        <v>3</v>
      </c>
      <c r="B5" s="6" t="s">
        <v>204</v>
      </c>
      <c r="C5" s="6" t="s">
        <v>65</v>
      </c>
      <c r="D5" s="6" t="s">
        <v>208</v>
      </c>
      <c r="E5" s="6" t="s">
        <v>50</v>
      </c>
      <c r="F5" s="6">
        <v>149.9</v>
      </c>
      <c r="G5" s="6" t="s">
        <v>80</v>
      </c>
      <c r="H5" s="6" t="s">
        <v>209</v>
      </c>
      <c r="I5" s="7" t="s">
        <v>41</v>
      </c>
      <c r="J5" s="14">
        <v>46040</v>
      </c>
      <c r="K5" s="6" t="s">
        <v>46</v>
      </c>
    </row>
    <row r="6" spans="1:12" ht="15">
      <c r="A6" s="6">
        <v>4</v>
      </c>
      <c r="B6" s="6" t="s">
        <v>210</v>
      </c>
      <c r="C6" s="6" t="s">
        <v>211</v>
      </c>
      <c r="D6" s="6" t="s">
        <v>212</v>
      </c>
      <c r="E6" s="15" t="s">
        <v>213</v>
      </c>
      <c r="F6" s="6">
        <v>178</v>
      </c>
      <c r="G6" s="6" t="s">
        <v>80</v>
      </c>
      <c r="H6" s="6" t="s">
        <v>214</v>
      </c>
      <c r="I6" s="7" t="s">
        <v>41</v>
      </c>
      <c r="J6" s="14">
        <v>46041</v>
      </c>
      <c r="K6" s="6" t="s">
        <v>46</v>
      </c>
    </row>
    <row r="7" spans="1:12">
      <c r="A7" s="6">
        <v>5</v>
      </c>
      <c r="B7" s="6" t="s">
        <v>210</v>
      </c>
      <c r="C7" s="6" t="s">
        <v>211</v>
      </c>
      <c r="D7" s="6" t="s">
        <v>212</v>
      </c>
      <c r="E7" s="6" t="s">
        <v>215</v>
      </c>
      <c r="F7" s="6">
        <v>478</v>
      </c>
      <c r="G7" s="6" t="s">
        <v>80</v>
      </c>
      <c r="H7" s="6" t="s">
        <v>214</v>
      </c>
      <c r="I7" s="7" t="s">
        <v>41</v>
      </c>
      <c r="J7" s="14">
        <v>46041</v>
      </c>
      <c r="K7" s="6" t="s">
        <v>46</v>
      </c>
    </row>
    <row r="8" spans="1:12" s="1" customFormat="1">
      <c r="A8" s="9">
        <v>6</v>
      </c>
      <c r="B8" s="9" t="s">
        <v>204</v>
      </c>
      <c r="C8" s="9" t="s">
        <v>65</v>
      </c>
      <c r="D8" s="9" t="s">
        <v>205</v>
      </c>
      <c r="E8" s="9" t="s">
        <v>206</v>
      </c>
      <c r="F8" s="9">
        <v>150.6</v>
      </c>
      <c r="G8" s="9" t="s">
        <v>80</v>
      </c>
      <c r="H8" s="9" t="s">
        <v>207</v>
      </c>
      <c r="I8" s="10" t="s">
        <v>41</v>
      </c>
      <c r="J8" s="13">
        <v>46034</v>
      </c>
      <c r="K8" s="16"/>
    </row>
    <row r="9" spans="1:12" s="1" customFormat="1">
      <c r="A9" s="9">
        <v>7</v>
      </c>
      <c r="B9" s="9" t="s">
        <v>216</v>
      </c>
      <c r="C9" s="9" t="s">
        <v>211</v>
      </c>
      <c r="D9" s="9" t="s">
        <v>217</v>
      </c>
      <c r="E9" s="9" t="s">
        <v>218</v>
      </c>
      <c r="F9" s="9">
        <v>370.7</v>
      </c>
      <c r="G9" s="9" t="s">
        <v>110</v>
      </c>
      <c r="H9" s="9" t="s">
        <v>219</v>
      </c>
      <c r="I9" s="10" t="s">
        <v>41</v>
      </c>
      <c r="J9" s="13">
        <v>46035</v>
      </c>
      <c r="K9" s="9"/>
    </row>
    <row r="10" spans="1:12" s="1" customFormat="1">
      <c r="A10" s="9">
        <v>8</v>
      </c>
      <c r="B10" s="9" t="s">
        <v>220</v>
      </c>
      <c r="C10" s="9" t="s">
        <v>221</v>
      </c>
      <c r="D10" s="9" t="s">
        <v>222</v>
      </c>
      <c r="E10" s="9" t="s">
        <v>154</v>
      </c>
      <c r="F10" s="9">
        <v>815</v>
      </c>
      <c r="G10" s="9" t="s">
        <v>80</v>
      </c>
      <c r="H10" s="9" t="s">
        <v>223</v>
      </c>
      <c r="I10" s="10" t="s">
        <v>41</v>
      </c>
      <c r="J10" s="13">
        <v>46047</v>
      </c>
      <c r="K10" s="9" t="s">
        <v>224</v>
      </c>
    </row>
    <row r="11" spans="1:12" s="1" customFormat="1">
      <c r="A11" s="9">
        <v>9</v>
      </c>
      <c r="B11" s="9" t="s">
        <v>220</v>
      </c>
      <c r="C11" s="9" t="s">
        <v>221</v>
      </c>
      <c r="D11" s="9" t="s">
        <v>225</v>
      </c>
      <c r="E11" s="9" t="s">
        <v>50</v>
      </c>
      <c r="F11" s="9">
        <v>168</v>
      </c>
      <c r="G11" s="9" t="s">
        <v>80</v>
      </c>
      <c r="H11" s="9" t="s">
        <v>226</v>
      </c>
      <c r="I11" s="10" t="s">
        <v>41</v>
      </c>
      <c r="J11" s="13">
        <v>46047</v>
      </c>
      <c r="K11" s="9"/>
    </row>
    <row r="12" spans="1:12" s="1" customFormat="1">
      <c r="A12" s="9">
        <v>10</v>
      </c>
      <c r="B12" s="9" t="s">
        <v>204</v>
      </c>
      <c r="C12" s="9" t="s">
        <v>65</v>
      </c>
      <c r="D12" s="9" t="s">
        <v>205</v>
      </c>
      <c r="E12" s="9" t="s">
        <v>206</v>
      </c>
      <c r="F12" s="9">
        <v>626.4</v>
      </c>
      <c r="G12" s="9" t="s">
        <v>80</v>
      </c>
      <c r="H12" s="9" t="s">
        <v>227</v>
      </c>
      <c r="I12" s="10" t="s">
        <v>41</v>
      </c>
      <c r="J12" s="13">
        <v>46050</v>
      </c>
      <c r="K12" s="16"/>
    </row>
    <row r="13" spans="1:12" s="3" customFormat="1">
      <c r="A13" s="17">
        <v>11</v>
      </c>
      <c r="B13" s="17" t="s">
        <v>204</v>
      </c>
      <c r="C13" s="17" t="s">
        <v>65</v>
      </c>
      <c r="D13" s="17" t="s">
        <v>205</v>
      </c>
      <c r="E13" s="17" t="s">
        <v>206</v>
      </c>
      <c r="F13" s="17">
        <v>64.900000000000006</v>
      </c>
      <c r="G13" s="17" t="s">
        <v>80</v>
      </c>
      <c r="H13" s="17" t="s">
        <v>228</v>
      </c>
      <c r="I13" s="10" t="s">
        <v>41</v>
      </c>
      <c r="J13" s="18">
        <v>46055</v>
      </c>
      <c r="K13" s="17" t="s">
        <v>229</v>
      </c>
    </row>
    <row r="14" spans="1:12" s="3" customFormat="1">
      <c r="A14" s="17">
        <v>21</v>
      </c>
      <c r="B14" s="17" t="s">
        <v>204</v>
      </c>
      <c r="C14" s="17" t="s">
        <v>65</v>
      </c>
      <c r="D14" s="17" t="s">
        <v>205</v>
      </c>
      <c r="E14" s="17" t="s">
        <v>206</v>
      </c>
      <c r="F14" s="17">
        <v>37.700000000000003</v>
      </c>
      <c r="G14" s="17" t="s">
        <v>80</v>
      </c>
      <c r="H14" s="17" t="s">
        <v>230</v>
      </c>
      <c r="I14" s="10" t="s">
        <v>41</v>
      </c>
      <c r="J14" s="18">
        <v>46055</v>
      </c>
      <c r="K14" s="17" t="s">
        <v>46</v>
      </c>
    </row>
    <row r="15" spans="1:12" s="3" customFormat="1">
      <c r="A15" s="17">
        <v>12</v>
      </c>
      <c r="B15" s="17" t="s">
        <v>231</v>
      </c>
      <c r="C15" s="17" t="s">
        <v>232</v>
      </c>
      <c r="D15" s="17" t="s">
        <v>233</v>
      </c>
      <c r="E15" s="17" t="s">
        <v>50</v>
      </c>
      <c r="F15" s="17">
        <v>147</v>
      </c>
      <c r="G15" s="17" t="s">
        <v>80</v>
      </c>
      <c r="H15" s="17" t="s">
        <v>234</v>
      </c>
      <c r="I15" s="17"/>
      <c r="J15" s="18">
        <v>46083</v>
      </c>
      <c r="K15" s="17"/>
    </row>
    <row r="16" spans="1:12" s="3" customFormat="1">
      <c r="A16" s="17">
        <v>13</v>
      </c>
      <c r="B16" s="17" t="s">
        <v>235</v>
      </c>
      <c r="C16" s="17" t="s">
        <v>236</v>
      </c>
      <c r="D16" s="17" t="s">
        <v>237</v>
      </c>
      <c r="E16" s="17" t="s">
        <v>50</v>
      </c>
      <c r="F16" s="17">
        <v>105</v>
      </c>
      <c r="G16" s="17" t="s">
        <v>80</v>
      </c>
      <c r="H16" s="17" t="s">
        <v>238</v>
      </c>
      <c r="I16" s="17" t="s">
        <v>41</v>
      </c>
      <c r="J16" s="18">
        <v>46093</v>
      </c>
      <c r="K16" s="17"/>
    </row>
    <row r="17" spans="1:11" s="3" customFormat="1">
      <c r="A17" s="17">
        <v>14</v>
      </c>
      <c r="B17" s="17" t="s">
        <v>239</v>
      </c>
      <c r="C17" s="17" t="s">
        <v>221</v>
      </c>
      <c r="D17" s="17">
        <v>30936</v>
      </c>
      <c r="E17" s="17" t="s">
        <v>240</v>
      </c>
      <c r="F17" s="17">
        <v>268</v>
      </c>
      <c r="G17" s="17" t="s">
        <v>80</v>
      </c>
      <c r="H17" s="17" t="s">
        <v>241</v>
      </c>
      <c r="I17" s="17" t="s">
        <v>46</v>
      </c>
      <c r="J17" s="18">
        <v>46093</v>
      </c>
      <c r="K17" s="17" t="s">
        <v>242</v>
      </c>
    </row>
    <row r="18" spans="1:11" s="3" customFormat="1">
      <c r="A18" s="17">
        <v>15</v>
      </c>
      <c r="B18" s="17" t="s">
        <v>239</v>
      </c>
      <c r="C18" s="17" t="s">
        <v>221</v>
      </c>
      <c r="D18" s="17">
        <v>30936</v>
      </c>
      <c r="E18" s="17" t="s">
        <v>243</v>
      </c>
      <c r="F18" s="17">
        <v>250</v>
      </c>
      <c r="G18" s="17" t="s">
        <v>80</v>
      </c>
      <c r="H18" s="17" t="s">
        <v>241</v>
      </c>
      <c r="I18" s="17" t="s">
        <v>41</v>
      </c>
      <c r="J18" s="18">
        <v>46093</v>
      </c>
      <c r="K18" s="17"/>
    </row>
    <row r="19" spans="1:11" ht="30">
      <c r="A19" s="6">
        <v>16</v>
      </c>
      <c r="B19" s="15" t="s">
        <v>244</v>
      </c>
      <c r="C19" s="6" t="s">
        <v>245</v>
      </c>
      <c r="D19" s="6" t="s">
        <v>246</v>
      </c>
      <c r="E19" s="6" t="s">
        <v>50</v>
      </c>
      <c r="F19" s="6">
        <v>148</v>
      </c>
      <c r="G19" s="6" t="s">
        <v>80</v>
      </c>
      <c r="H19" s="4" t="s">
        <v>247</v>
      </c>
      <c r="I19" s="6"/>
      <c r="J19" s="19">
        <v>46099</v>
      </c>
      <c r="K19" s="6" t="s">
        <v>248</v>
      </c>
    </row>
    <row r="20" spans="1:11">
      <c r="A20" s="6">
        <v>17</v>
      </c>
      <c r="B20" s="6" t="s">
        <v>249</v>
      </c>
      <c r="C20" s="6" t="s">
        <v>107</v>
      </c>
      <c r="D20" s="6" t="s">
        <v>250</v>
      </c>
      <c r="E20" s="6" t="s">
        <v>251</v>
      </c>
      <c r="F20" s="6">
        <v>486</v>
      </c>
      <c r="G20" s="6" t="s">
        <v>80</v>
      </c>
      <c r="H20" s="6" t="s">
        <v>252</v>
      </c>
      <c r="I20" s="6" t="s">
        <v>229</v>
      </c>
      <c r="J20" s="19">
        <v>46099</v>
      </c>
      <c r="K20" s="6"/>
    </row>
    <row r="21" spans="1:11">
      <c r="A21" s="6">
        <v>18</v>
      </c>
      <c r="B21" s="6" t="s">
        <v>249</v>
      </c>
      <c r="C21" s="6" t="s">
        <v>107</v>
      </c>
      <c r="D21" s="6" t="s">
        <v>250</v>
      </c>
      <c r="E21" s="6" t="s">
        <v>253</v>
      </c>
      <c r="F21" s="6">
        <v>75</v>
      </c>
      <c r="G21" s="6" t="s">
        <v>80</v>
      </c>
      <c r="H21" s="6" t="s">
        <v>254</v>
      </c>
      <c r="I21" s="6" t="s">
        <v>229</v>
      </c>
      <c r="J21" s="19">
        <v>46099</v>
      </c>
      <c r="K21" s="6"/>
    </row>
    <row r="22" spans="1:11">
      <c r="A22" s="6">
        <v>19</v>
      </c>
      <c r="B22" s="6" t="s">
        <v>255</v>
      </c>
      <c r="C22" s="6" t="s">
        <v>256</v>
      </c>
      <c r="D22" s="6" t="s">
        <v>257</v>
      </c>
      <c r="E22" s="6" t="s">
        <v>50</v>
      </c>
      <c r="F22" s="6">
        <v>737.3</v>
      </c>
      <c r="G22" s="6" t="s">
        <v>258</v>
      </c>
      <c r="H22" s="6" t="s">
        <v>259</v>
      </c>
      <c r="I22" s="6" t="s">
        <v>260</v>
      </c>
      <c r="J22" s="19">
        <v>46100</v>
      </c>
      <c r="K22" s="20" t="s">
        <v>261</v>
      </c>
    </row>
    <row r="23" spans="1:11" s="3" customFormat="1">
      <c r="A23" s="17">
        <v>20</v>
      </c>
      <c r="B23" s="17" t="s">
        <v>255</v>
      </c>
      <c r="C23" s="17" t="s">
        <v>256</v>
      </c>
      <c r="D23" s="17" t="s">
        <v>262</v>
      </c>
      <c r="E23" s="17" t="s">
        <v>263</v>
      </c>
      <c r="F23" s="17">
        <v>23.6</v>
      </c>
      <c r="G23" s="17" t="s">
        <v>258</v>
      </c>
      <c r="H23" s="17" t="s">
        <v>223</v>
      </c>
      <c r="I23" s="21" t="s">
        <v>41</v>
      </c>
      <c r="J23" s="18">
        <v>46101</v>
      </c>
      <c r="K23" s="17"/>
    </row>
    <row r="24" spans="1:11">
      <c r="A24" s="6">
        <v>22</v>
      </c>
      <c r="B24" s="6" t="s">
        <v>264</v>
      </c>
      <c r="C24" s="6" t="s">
        <v>156</v>
      </c>
      <c r="D24" s="6" t="s">
        <v>265</v>
      </c>
      <c r="E24" s="6" t="s">
        <v>266</v>
      </c>
      <c r="F24" s="6">
        <v>92</v>
      </c>
      <c r="G24" s="6" t="s">
        <v>202</v>
      </c>
      <c r="H24" s="6" t="s">
        <v>267</v>
      </c>
      <c r="I24" s="22" t="s">
        <v>172</v>
      </c>
      <c r="J24" s="19">
        <v>46102</v>
      </c>
      <c r="K24" s="6"/>
    </row>
    <row r="25" spans="1:11">
      <c r="A25" s="6">
        <v>23</v>
      </c>
      <c r="B25" s="6" t="s">
        <v>268</v>
      </c>
      <c r="C25" s="6" t="s">
        <v>245</v>
      </c>
      <c r="D25" s="6" t="s">
        <v>269</v>
      </c>
      <c r="E25" s="6" t="s">
        <v>50</v>
      </c>
      <c r="F25" s="6">
        <v>163</v>
      </c>
      <c r="G25" s="6" t="s">
        <v>80</v>
      </c>
      <c r="H25" s="6" t="s">
        <v>270</v>
      </c>
      <c r="I25" s="6" t="s">
        <v>46</v>
      </c>
      <c r="J25" s="19">
        <v>46104</v>
      </c>
      <c r="K25" s="6"/>
    </row>
    <row r="26" spans="1:11">
      <c r="A26" s="6">
        <v>24</v>
      </c>
      <c r="B26" s="6" t="s">
        <v>268</v>
      </c>
      <c r="C26" s="6" t="s">
        <v>245</v>
      </c>
      <c r="D26" s="6" t="s">
        <v>271</v>
      </c>
      <c r="E26" s="6" t="s">
        <v>272</v>
      </c>
      <c r="F26" s="6">
        <v>55</v>
      </c>
      <c r="G26" s="6" t="s">
        <v>80</v>
      </c>
      <c r="H26" s="23" t="s">
        <v>273</v>
      </c>
      <c r="I26" s="6" t="s">
        <v>46</v>
      </c>
      <c r="J26" s="19">
        <v>46104</v>
      </c>
      <c r="K26" s="6"/>
    </row>
    <row r="27" spans="1:11">
      <c r="A27" s="6">
        <v>25</v>
      </c>
      <c r="B27" s="6" t="s">
        <v>268</v>
      </c>
      <c r="C27" s="6" t="s">
        <v>245</v>
      </c>
      <c r="D27" s="6" t="s">
        <v>274</v>
      </c>
      <c r="E27" s="6" t="s">
        <v>275</v>
      </c>
      <c r="F27" s="6">
        <v>63</v>
      </c>
      <c r="G27" s="6" t="s">
        <v>80</v>
      </c>
      <c r="H27" s="23" t="s">
        <v>273</v>
      </c>
      <c r="I27" s="6" t="s">
        <v>46</v>
      </c>
      <c r="J27" s="19">
        <v>46104</v>
      </c>
      <c r="K27" s="6"/>
    </row>
    <row r="28" spans="1:11">
      <c r="A28" s="6">
        <v>26</v>
      </c>
      <c r="B28" s="24" t="s">
        <v>276</v>
      </c>
      <c r="C28" s="24" t="s">
        <v>36</v>
      </c>
      <c r="D28" s="6">
        <v>2639947</v>
      </c>
      <c r="E28" s="6" t="s">
        <v>50</v>
      </c>
      <c r="F28" s="6" t="s">
        <v>277</v>
      </c>
      <c r="G28" s="6" t="s">
        <v>80</v>
      </c>
      <c r="H28" s="24" t="s">
        <v>278</v>
      </c>
      <c r="I28" s="6" t="s">
        <v>46</v>
      </c>
      <c r="J28" s="19">
        <v>46109</v>
      </c>
      <c r="K28" s="6"/>
    </row>
    <row r="29" spans="1:11">
      <c r="A29" s="6">
        <v>27</v>
      </c>
      <c r="B29" s="6" t="s">
        <v>279</v>
      </c>
      <c r="C29" s="24" t="s">
        <v>232</v>
      </c>
      <c r="D29" s="6" t="s">
        <v>280</v>
      </c>
      <c r="E29" s="6" t="s">
        <v>50</v>
      </c>
      <c r="F29" s="6">
        <v>442</v>
      </c>
      <c r="G29" s="24" t="s">
        <v>80</v>
      </c>
      <c r="H29" s="24" t="s">
        <v>209</v>
      </c>
      <c r="I29" s="25" t="s">
        <v>41</v>
      </c>
      <c r="J29" s="19">
        <v>46111</v>
      </c>
      <c r="K29" s="6" t="s">
        <v>281</v>
      </c>
    </row>
    <row r="30" spans="1:11" s="3" customFormat="1">
      <c r="A30" s="17">
        <v>28</v>
      </c>
      <c r="B30" s="26" t="s">
        <v>220</v>
      </c>
      <c r="C30" s="26" t="s">
        <v>221</v>
      </c>
      <c r="D30" s="26" t="s">
        <v>222</v>
      </c>
      <c r="E30" s="26" t="s">
        <v>154</v>
      </c>
      <c r="F30" s="17">
        <v>248</v>
      </c>
      <c r="G30" s="26" t="s">
        <v>80</v>
      </c>
      <c r="H30" s="27" t="s">
        <v>282</v>
      </c>
      <c r="I30" s="28" t="s">
        <v>41</v>
      </c>
      <c r="J30" s="18">
        <v>46118</v>
      </c>
      <c r="K30" s="26"/>
    </row>
    <row r="31" spans="1:11">
      <c r="A31" s="6">
        <v>29</v>
      </c>
      <c r="B31" s="23" t="s">
        <v>276</v>
      </c>
      <c r="C31" s="23" t="s">
        <v>283</v>
      </c>
      <c r="D31" s="23">
        <v>2639947</v>
      </c>
      <c r="E31" s="23" t="s">
        <v>50</v>
      </c>
      <c r="F31" s="6">
        <v>3919</v>
      </c>
      <c r="G31" s="23" t="s">
        <v>202</v>
      </c>
      <c r="H31" s="23" t="s">
        <v>284</v>
      </c>
      <c r="I31" s="23" t="s">
        <v>46</v>
      </c>
      <c r="J31" s="19">
        <v>46118</v>
      </c>
      <c r="K31" s="23"/>
    </row>
    <row r="32" spans="1:11">
      <c r="A32" s="6">
        <v>30</v>
      </c>
      <c r="B32" s="23" t="s">
        <v>204</v>
      </c>
      <c r="C32" s="23" t="s">
        <v>285</v>
      </c>
      <c r="D32" s="23" t="s">
        <v>286</v>
      </c>
      <c r="E32" s="23" t="s">
        <v>287</v>
      </c>
      <c r="F32" s="6">
        <v>275.3</v>
      </c>
      <c r="G32" s="23" t="s">
        <v>80</v>
      </c>
      <c r="H32" s="23" t="s">
        <v>288</v>
      </c>
      <c r="I32" s="23" t="s">
        <v>46</v>
      </c>
      <c r="J32" s="19">
        <v>46119</v>
      </c>
      <c r="K32" s="23"/>
    </row>
    <row r="33" spans="1:11" s="3" customFormat="1">
      <c r="A33" s="17">
        <v>31</v>
      </c>
      <c r="B33" s="26" t="s">
        <v>204</v>
      </c>
      <c r="C33" s="26" t="s">
        <v>65</v>
      </c>
      <c r="D33" s="26" t="s">
        <v>205</v>
      </c>
      <c r="E33" s="26" t="s">
        <v>289</v>
      </c>
      <c r="F33" s="17">
        <v>149.69999999999999</v>
      </c>
      <c r="G33" s="26" t="s">
        <v>80</v>
      </c>
      <c r="H33" s="26" t="s">
        <v>290</v>
      </c>
      <c r="I33" s="26" t="s">
        <v>46</v>
      </c>
      <c r="J33" s="18">
        <v>46125</v>
      </c>
      <c r="K33" s="26"/>
    </row>
    <row r="34" spans="1:11" s="3" customFormat="1">
      <c r="A34" s="17">
        <v>32</v>
      </c>
      <c r="B34" s="26" t="s">
        <v>291</v>
      </c>
      <c r="C34" s="26" t="s">
        <v>292</v>
      </c>
      <c r="D34" s="26" t="s">
        <v>293</v>
      </c>
      <c r="E34" s="26" t="s">
        <v>294</v>
      </c>
      <c r="F34" s="17">
        <v>5611</v>
      </c>
      <c r="G34" s="26" t="s">
        <v>80</v>
      </c>
      <c r="H34" s="26" t="s">
        <v>295</v>
      </c>
      <c r="I34" s="26" t="s">
        <v>41</v>
      </c>
      <c r="J34" s="18">
        <v>46125</v>
      </c>
      <c r="K34" s="26" t="s">
        <v>296</v>
      </c>
    </row>
    <row r="35" spans="1:11">
      <c r="A35" s="6">
        <v>33</v>
      </c>
      <c r="B35" s="6" t="s">
        <v>200</v>
      </c>
      <c r="C35" s="23" t="s">
        <v>283</v>
      </c>
      <c r="D35" s="6">
        <v>2683898</v>
      </c>
      <c r="E35" s="6" t="s">
        <v>297</v>
      </c>
      <c r="F35" s="6">
        <v>747</v>
      </c>
      <c r="G35" s="23" t="s">
        <v>202</v>
      </c>
      <c r="H35" s="6" t="s">
        <v>298</v>
      </c>
      <c r="I35" s="23" t="s">
        <v>46</v>
      </c>
      <c r="J35" s="19">
        <v>46126</v>
      </c>
      <c r="K35" s="6" t="s">
        <v>299</v>
      </c>
    </row>
    <row r="36" spans="1:11" s="3" customFormat="1">
      <c r="A36" s="17">
        <v>34</v>
      </c>
      <c r="B36" s="17" t="s">
        <v>300</v>
      </c>
      <c r="C36" s="17" t="s">
        <v>195</v>
      </c>
      <c r="D36" s="17" t="s">
        <v>301</v>
      </c>
      <c r="E36" s="17" t="s">
        <v>154</v>
      </c>
      <c r="F36" s="17">
        <v>920.25</v>
      </c>
      <c r="G36" s="17" t="s">
        <v>302</v>
      </c>
      <c r="H36" s="17" t="s">
        <v>303</v>
      </c>
      <c r="I36" s="21" t="s">
        <v>41</v>
      </c>
      <c r="J36" s="18">
        <v>46127</v>
      </c>
      <c r="K36" s="17"/>
    </row>
    <row r="37" spans="1:11">
      <c r="A37" s="6">
        <v>35</v>
      </c>
      <c r="B37" s="6" t="s">
        <v>300</v>
      </c>
      <c r="C37" s="6" t="s">
        <v>156</v>
      </c>
      <c r="D37" s="6" t="s">
        <v>304</v>
      </c>
      <c r="E37" s="6" t="s">
        <v>305</v>
      </c>
      <c r="F37" s="6">
        <v>284</v>
      </c>
      <c r="G37" s="6" t="s">
        <v>302</v>
      </c>
      <c r="H37" s="6" t="s">
        <v>306</v>
      </c>
      <c r="I37" s="23" t="s">
        <v>46</v>
      </c>
      <c r="J37" s="19">
        <v>46127</v>
      </c>
      <c r="K37" s="6"/>
    </row>
    <row r="38" spans="1:11" s="3" customFormat="1">
      <c r="A38" s="17">
        <v>36</v>
      </c>
      <c r="B38" s="17" t="s">
        <v>220</v>
      </c>
      <c r="C38" s="17" t="s">
        <v>307</v>
      </c>
      <c r="D38" s="17" t="s">
        <v>308</v>
      </c>
      <c r="E38" s="17" t="s">
        <v>309</v>
      </c>
      <c r="F38" s="17">
        <v>203</v>
      </c>
      <c r="G38" s="17" t="s">
        <v>80</v>
      </c>
      <c r="H38" s="17" t="s">
        <v>310</v>
      </c>
      <c r="I38" s="21" t="s">
        <v>41</v>
      </c>
      <c r="J38" s="18">
        <v>46128</v>
      </c>
      <c r="K38" s="17"/>
    </row>
    <row r="39" spans="1:11">
      <c r="A39" s="6">
        <v>37</v>
      </c>
      <c r="B39" s="6" t="s">
        <v>220</v>
      </c>
      <c r="C39" s="6" t="s">
        <v>307</v>
      </c>
      <c r="D39" s="6" t="s">
        <v>311</v>
      </c>
      <c r="E39" s="6" t="s">
        <v>312</v>
      </c>
      <c r="F39" s="6">
        <v>70</v>
      </c>
      <c r="G39" s="24" t="s">
        <v>80</v>
      </c>
      <c r="H39" s="24" t="s">
        <v>124</v>
      </c>
      <c r="I39" s="23" t="s">
        <v>46</v>
      </c>
      <c r="J39" s="19">
        <v>46128</v>
      </c>
      <c r="K39" s="6"/>
    </row>
    <row r="40" spans="1:11" s="3" customFormat="1">
      <c r="A40" s="17">
        <v>38</v>
      </c>
      <c r="B40" s="17" t="s">
        <v>200</v>
      </c>
      <c r="C40" s="26" t="s">
        <v>283</v>
      </c>
      <c r="D40" s="17">
        <v>4689531</v>
      </c>
      <c r="E40" s="17" t="s">
        <v>313</v>
      </c>
      <c r="F40" s="17">
        <v>2691</v>
      </c>
      <c r="G40" s="27" t="s">
        <v>202</v>
      </c>
      <c r="H40" s="27" t="s">
        <v>314</v>
      </c>
      <c r="I40" s="26" t="s">
        <v>46</v>
      </c>
      <c r="J40" s="18">
        <v>46129</v>
      </c>
      <c r="K40" s="17"/>
    </row>
    <row r="41" spans="1:11">
      <c r="A41" s="6">
        <v>39</v>
      </c>
      <c r="B41" s="24" t="s">
        <v>315</v>
      </c>
      <c r="C41" s="24" t="s">
        <v>316</v>
      </c>
      <c r="D41" s="6" t="s">
        <v>317</v>
      </c>
      <c r="E41" s="6" t="s">
        <v>50</v>
      </c>
      <c r="F41" s="6">
        <v>9064</v>
      </c>
      <c r="G41" s="24" t="s">
        <v>80</v>
      </c>
      <c r="H41" s="24" t="s">
        <v>318</v>
      </c>
      <c r="I41" s="23" t="s">
        <v>46</v>
      </c>
      <c r="J41" s="19">
        <v>46132</v>
      </c>
      <c r="K41" s="6" t="s">
        <v>264</v>
      </c>
    </row>
    <row r="42" spans="1:11" s="3" customFormat="1">
      <c r="A42" s="17">
        <v>40</v>
      </c>
      <c r="B42" s="26" t="s">
        <v>291</v>
      </c>
      <c r="C42" s="26" t="s">
        <v>292</v>
      </c>
      <c r="D42" s="26" t="s">
        <v>293</v>
      </c>
      <c r="E42" s="26" t="s">
        <v>294</v>
      </c>
      <c r="F42" s="17">
        <v>4298.5</v>
      </c>
      <c r="G42" s="26" t="s">
        <v>80</v>
      </c>
      <c r="H42" s="26" t="s">
        <v>319</v>
      </c>
      <c r="I42" s="26" t="s">
        <v>46</v>
      </c>
      <c r="J42" s="18">
        <v>46132</v>
      </c>
      <c r="K42" s="26"/>
    </row>
    <row r="43" spans="1:11">
      <c r="A43" s="6"/>
      <c r="B43" s="24"/>
      <c r="C43" s="24"/>
      <c r="D43" s="6"/>
      <c r="E43" s="6"/>
      <c r="F43" s="6"/>
      <c r="G43" s="24"/>
      <c r="H43" s="24"/>
      <c r="I43" s="25"/>
      <c r="J43" s="19"/>
      <c r="K43" s="6"/>
    </row>
    <row r="44" spans="1:11">
      <c r="A44" s="6"/>
      <c r="B44" s="24"/>
      <c r="C44" s="24"/>
      <c r="D44" s="6"/>
      <c r="E44" s="6"/>
      <c r="F44" s="6"/>
      <c r="G44" s="24"/>
      <c r="H44" s="24"/>
      <c r="I44" s="25"/>
      <c r="J44" s="19"/>
      <c r="K44" s="6"/>
    </row>
    <row r="45" spans="1:11">
      <c r="A45" s="6"/>
      <c r="B45" s="6"/>
      <c r="C45" s="6"/>
      <c r="D45" s="6"/>
      <c r="E45" s="6"/>
      <c r="F45" s="6"/>
      <c r="G45" s="6"/>
      <c r="H45" s="6"/>
      <c r="I45" s="7"/>
      <c r="J45" s="19"/>
      <c r="K45" s="6"/>
    </row>
    <row r="46" spans="1:11">
      <c r="A46" s="6"/>
      <c r="B46" s="6"/>
      <c r="C46" s="6"/>
      <c r="D46" s="6"/>
      <c r="E46" s="6"/>
      <c r="F46" s="6"/>
      <c r="G46" s="6"/>
      <c r="H46" s="6"/>
      <c r="I46" s="7"/>
      <c r="J46" s="19"/>
      <c r="K46" s="6"/>
    </row>
    <row r="47" spans="1:11">
      <c r="A47" s="6"/>
      <c r="B47" s="6"/>
      <c r="C47" s="6"/>
      <c r="D47" s="6"/>
      <c r="E47" s="6"/>
      <c r="F47" s="6"/>
      <c r="G47" s="6"/>
      <c r="H47" s="6"/>
      <c r="I47" s="7"/>
      <c r="J47" s="19"/>
      <c r="K47" s="6"/>
    </row>
    <row r="48" spans="1:11">
      <c r="A48" s="6"/>
      <c r="B48" s="6"/>
      <c r="C48" s="6"/>
      <c r="D48" s="6"/>
      <c r="E48" s="6"/>
      <c r="F48" s="6"/>
      <c r="G48" s="6"/>
      <c r="H48" s="6"/>
      <c r="I48" s="7"/>
      <c r="J48" s="19"/>
      <c r="K48" s="6"/>
    </row>
    <row r="49" spans="1:11">
      <c r="A49" s="6"/>
      <c r="B49" s="6"/>
      <c r="C49" s="6"/>
      <c r="D49" s="6"/>
      <c r="E49" s="6"/>
      <c r="F49" s="6"/>
      <c r="G49" s="6"/>
      <c r="H49" s="6"/>
      <c r="I49" s="7"/>
      <c r="J49" s="19"/>
      <c r="K49" s="6"/>
    </row>
    <row r="50" spans="1:11">
      <c r="A50" s="6"/>
      <c r="B50" s="6"/>
      <c r="C50" s="6"/>
      <c r="D50" s="6"/>
      <c r="E50" s="6"/>
      <c r="F50" s="6"/>
      <c r="G50" s="6"/>
      <c r="H50" s="6"/>
      <c r="I50" s="7"/>
      <c r="J50" s="19"/>
      <c r="K50" s="6"/>
    </row>
    <row r="51" spans="1:11">
      <c r="A51" s="6"/>
      <c r="B51" s="6"/>
      <c r="C51" s="6"/>
      <c r="D51" s="6"/>
      <c r="E51" s="6"/>
      <c r="F51" s="6"/>
      <c r="G51" s="6"/>
      <c r="H51" s="6"/>
      <c r="I51" s="7"/>
      <c r="J51" s="19"/>
      <c r="K51" s="6"/>
    </row>
    <row r="52" spans="1:11">
      <c r="A52" s="6"/>
      <c r="B52" s="6"/>
      <c r="C52" s="6"/>
      <c r="D52" s="6"/>
      <c r="E52" s="6"/>
      <c r="F52" s="6"/>
      <c r="G52" s="6"/>
      <c r="H52" s="6"/>
      <c r="I52" s="7"/>
      <c r="J52" s="19"/>
      <c r="K52" s="6"/>
    </row>
    <row r="53" spans="1:11">
      <c r="A53" s="6"/>
      <c r="B53" s="6"/>
      <c r="C53" s="6"/>
      <c r="D53" s="6"/>
      <c r="E53" s="6"/>
      <c r="F53" s="6"/>
      <c r="G53" s="6"/>
      <c r="H53" s="6"/>
      <c r="I53" s="7"/>
      <c r="J53" s="19"/>
      <c r="K53" s="6"/>
    </row>
    <row r="54" spans="1:11">
      <c r="A54" s="6"/>
      <c r="B54" s="6"/>
      <c r="C54" s="6"/>
      <c r="D54" s="6"/>
      <c r="E54" s="6"/>
      <c r="F54" s="6"/>
      <c r="G54" s="6"/>
      <c r="H54" s="6"/>
      <c r="I54" s="7"/>
      <c r="J54" s="19"/>
      <c r="K54" s="6"/>
    </row>
    <row r="55" spans="1:11">
      <c r="A55" s="6"/>
      <c r="B55" s="6"/>
      <c r="C55" s="6"/>
      <c r="D55" s="6"/>
      <c r="E55" s="6"/>
      <c r="F55" s="6"/>
      <c r="G55" s="6"/>
      <c r="H55" s="6"/>
      <c r="I55" s="7"/>
      <c r="J55" s="19"/>
      <c r="K55" s="6"/>
    </row>
    <row r="56" spans="1:11">
      <c r="A56" s="6"/>
      <c r="B56" s="6"/>
      <c r="C56" s="6"/>
      <c r="D56" s="6"/>
      <c r="E56" s="6"/>
      <c r="F56" s="6"/>
      <c r="G56" s="6"/>
      <c r="H56" s="6"/>
      <c r="I56" s="7"/>
      <c r="J56" s="19"/>
      <c r="K56" s="6"/>
    </row>
    <row r="57" spans="1:11">
      <c r="A57" s="6"/>
      <c r="B57" s="6"/>
      <c r="C57" s="6"/>
      <c r="D57" s="6"/>
      <c r="E57" s="6"/>
      <c r="F57" s="6"/>
      <c r="G57" s="6"/>
      <c r="H57" s="6"/>
      <c r="I57" s="7"/>
      <c r="J57" s="19"/>
      <c r="K57" s="6"/>
    </row>
    <row r="58" spans="1:11">
      <c r="A58" s="6"/>
      <c r="B58" s="6"/>
      <c r="C58" s="6"/>
      <c r="D58" s="6"/>
      <c r="E58" s="6"/>
      <c r="F58" s="6"/>
      <c r="G58" s="6"/>
      <c r="H58" s="6"/>
      <c r="I58" s="7"/>
      <c r="J58" s="19"/>
      <c r="K58" s="6"/>
    </row>
    <row r="59" spans="1:11">
      <c r="A59" s="6"/>
      <c r="B59" s="6"/>
      <c r="C59" s="6"/>
      <c r="D59" s="6"/>
      <c r="E59" s="6"/>
      <c r="F59" s="6"/>
      <c r="G59" s="6"/>
      <c r="H59" s="6"/>
      <c r="I59" s="7"/>
      <c r="J59" s="19"/>
      <c r="K59" s="6"/>
    </row>
    <row r="60" spans="1:11">
      <c r="A60" s="6"/>
      <c r="B60" s="6"/>
      <c r="C60" s="6"/>
      <c r="D60" s="6"/>
      <c r="E60" s="6"/>
      <c r="F60" s="6"/>
      <c r="G60" s="6"/>
      <c r="H60" s="6"/>
      <c r="I60" s="7"/>
      <c r="J60" s="19"/>
      <c r="K60" s="6"/>
    </row>
    <row r="61" spans="1:11">
      <c r="A61" s="6"/>
      <c r="B61" s="6"/>
      <c r="C61" s="6"/>
      <c r="D61" s="6"/>
      <c r="E61" s="6"/>
      <c r="F61" s="6"/>
      <c r="G61" s="6"/>
      <c r="H61" s="6"/>
      <c r="I61" s="7"/>
      <c r="J61" s="19"/>
      <c r="K61" s="6"/>
    </row>
    <row r="62" spans="1:11">
      <c r="A62" s="6"/>
      <c r="B62" s="6"/>
      <c r="C62" s="6"/>
      <c r="D62" s="6"/>
      <c r="E62" s="6"/>
      <c r="F62" s="6"/>
      <c r="G62" s="6"/>
      <c r="H62" s="6"/>
      <c r="I62" s="7"/>
      <c r="J62" s="19"/>
      <c r="K62" s="6"/>
    </row>
    <row r="63" spans="1:11">
      <c r="A63" s="6"/>
      <c r="B63" s="6"/>
      <c r="C63" s="6"/>
      <c r="D63" s="6"/>
      <c r="E63" s="6"/>
      <c r="F63" s="6"/>
      <c r="G63" s="6"/>
      <c r="H63" s="6"/>
      <c r="I63" s="7"/>
      <c r="J63" s="19"/>
      <c r="K63" s="6"/>
    </row>
    <row r="64" spans="1:11">
      <c r="A64" s="6"/>
      <c r="B64" s="6"/>
      <c r="C64" s="6"/>
      <c r="D64" s="6"/>
      <c r="E64" s="6"/>
      <c r="F64" s="6"/>
      <c r="G64" s="6"/>
      <c r="H64" s="15"/>
      <c r="I64" s="29"/>
      <c r="J64" s="19"/>
      <c r="K64" s="6"/>
    </row>
    <row r="65" spans="1:11">
      <c r="A65" s="6"/>
      <c r="B65" s="6"/>
      <c r="C65" s="6"/>
      <c r="D65" s="6"/>
      <c r="E65" s="6"/>
      <c r="F65" s="6"/>
      <c r="G65" s="6"/>
      <c r="H65" s="6"/>
      <c r="I65" s="7"/>
      <c r="J65" s="19"/>
      <c r="K65" s="6"/>
    </row>
    <row r="66" spans="1:11">
      <c r="A66" s="6"/>
      <c r="B66" s="6"/>
      <c r="C66" s="6"/>
      <c r="D66" s="6"/>
      <c r="E66" s="6"/>
      <c r="F66" s="6"/>
      <c r="G66" s="6"/>
      <c r="H66" s="6"/>
      <c r="I66" s="7"/>
      <c r="J66" s="19"/>
      <c r="K66" s="6"/>
    </row>
    <row r="67" spans="1:11">
      <c r="A67" s="6"/>
      <c r="B67" s="6"/>
      <c r="C67" s="6"/>
      <c r="D67" s="6"/>
      <c r="E67" s="6"/>
      <c r="F67" s="6"/>
      <c r="G67" s="6"/>
      <c r="H67" s="6"/>
      <c r="I67" s="7"/>
      <c r="J67" s="19"/>
      <c r="K67" s="15"/>
    </row>
    <row r="68" spans="1:11">
      <c r="A68" s="6"/>
      <c r="B68" s="6"/>
      <c r="C68" s="6"/>
      <c r="D68" s="6"/>
      <c r="E68" s="6"/>
      <c r="F68" s="6"/>
      <c r="G68" s="6"/>
      <c r="H68" s="6"/>
      <c r="I68" s="7"/>
      <c r="J68" s="19"/>
      <c r="K68" s="6"/>
    </row>
    <row r="69" spans="1:11">
      <c r="A69" s="6"/>
      <c r="B69" s="6"/>
      <c r="C69" s="6"/>
      <c r="D69" s="6"/>
      <c r="E69" s="6"/>
      <c r="F69" s="6"/>
      <c r="G69" s="6"/>
      <c r="H69" s="6"/>
      <c r="I69" s="7"/>
      <c r="J69" s="19"/>
      <c r="K69" s="6"/>
    </row>
    <row r="70" spans="1:11">
      <c r="A70" s="6"/>
      <c r="B70" s="6"/>
      <c r="C70" s="6"/>
      <c r="D70" s="6"/>
      <c r="E70" s="6"/>
      <c r="F70" s="6"/>
      <c r="G70" s="6"/>
      <c r="H70" s="6"/>
      <c r="I70" s="7"/>
      <c r="J70" s="19"/>
      <c r="K70" s="6"/>
    </row>
    <row r="71" spans="1:11">
      <c r="A71" s="6"/>
      <c r="B71" s="6"/>
      <c r="C71" s="6"/>
      <c r="D71" s="6"/>
      <c r="E71" s="6"/>
      <c r="F71" s="6"/>
      <c r="G71" s="6"/>
      <c r="H71" s="6"/>
      <c r="I71" s="7"/>
      <c r="J71" s="19"/>
      <c r="K71" s="6"/>
    </row>
    <row r="72" spans="1:11">
      <c r="A72" s="6"/>
      <c r="B72" s="6"/>
      <c r="C72" s="6"/>
      <c r="D72" s="6"/>
      <c r="E72" s="6"/>
      <c r="F72" s="6"/>
      <c r="G72" s="6"/>
      <c r="H72" s="6"/>
      <c r="I72" s="7"/>
      <c r="J72" s="19"/>
      <c r="K72" s="6"/>
    </row>
    <row r="73" spans="1:11">
      <c r="A73" s="6"/>
      <c r="B73" s="6"/>
      <c r="C73" s="6"/>
      <c r="D73" s="6"/>
      <c r="E73" s="6"/>
      <c r="F73" s="6"/>
      <c r="G73" s="6"/>
      <c r="H73" s="6"/>
      <c r="I73" s="7"/>
      <c r="J73" s="19"/>
      <c r="K73" s="6"/>
    </row>
    <row r="74" spans="1:11">
      <c r="A74" s="6"/>
      <c r="B74" s="6"/>
      <c r="C74" s="6"/>
      <c r="D74" s="6"/>
      <c r="E74" s="6"/>
      <c r="F74" s="6"/>
      <c r="G74" s="6"/>
      <c r="H74" s="6"/>
      <c r="I74" s="7"/>
      <c r="J74" s="19"/>
      <c r="K74" s="6"/>
    </row>
    <row r="75" spans="1:11">
      <c r="A75" s="6"/>
      <c r="B75" s="6"/>
      <c r="C75" s="6"/>
      <c r="D75" s="6"/>
      <c r="E75" s="6"/>
      <c r="F75" s="6"/>
      <c r="G75" s="6"/>
      <c r="H75" s="6"/>
      <c r="I75" s="7"/>
      <c r="J75" s="19"/>
      <c r="K75" s="6"/>
    </row>
    <row r="76" spans="1:11">
      <c r="A76" s="6"/>
      <c r="B76" s="6"/>
      <c r="C76" s="6"/>
      <c r="D76" s="6"/>
      <c r="E76" s="6"/>
      <c r="F76" s="6"/>
      <c r="G76" s="6"/>
      <c r="H76" s="6"/>
      <c r="I76" s="7"/>
      <c r="J76" s="19"/>
      <c r="K76" s="6"/>
    </row>
    <row r="77" spans="1:11">
      <c r="A77" s="6"/>
      <c r="B77" s="6"/>
      <c r="C77" s="6"/>
      <c r="D77" s="6"/>
      <c r="E77" s="6"/>
      <c r="F77" s="6"/>
      <c r="G77" s="6"/>
      <c r="H77" s="6"/>
      <c r="I77" s="7"/>
      <c r="J77" s="19"/>
      <c r="K77" s="6"/>
    </row>
    <row r="78" spans="1:11">
      <c r="A78" s="6"/>
      <c r="B78" s="6"/>
      <c r="C78" s="6"/>
      <c r="D78" s="6"/>
      <c r="E78" s="6"/>
      <c r="F78" s="6"/>
      <c r="G78" s="6"/>
      <c r="H78" s="6"/>
      <c r="I78" s="7"/>
      <c r="J78" s="6"/>
      <c r="K78" s="6"/>
    </row>
    <row r="79" spans="1:11">
      <c r="A79" s="6"/>
      <c r="B79" s="6"/>
      <c r="C79" s="6"/>
      <c r="D79" s="6"/>
      <c r="E79" s="6"/>
      <c r="F79" s="6"/>
      <c r="G79" s="6"/>
      <c r="H79" s="6"/>
      <c r="I79" s="7"/>
      <c r="J79" s="6"/>
      <c r="K79" s="6"/>
    </row>
    <row r="80" spans="1:11">
      <c r="A80" s="6"/>
      <c r="B80" s="6"/>
      <c r="C80" s="6"/>
      <c r="D80" s="6"/>
      <c r="E80" s="6"/>
      <c r="F80" s="6"/>
      <c r="G80" s="6"/>
      <c r="H80" s="6"/>
      <c r="I80" s="7"/>
      <c r="J80" s="6"/>
      <c r="K80" s="6"/>
    </row>
    <row r="81" spans="1:11">
      <c r="A81" s="6"/>
      <c r="B81" s="6"/>
      <c r="C81" s="6"/>
      <c r="D81" s="6"/>
      <c r="E81" s="6"/>
      <c r="F81" s="6"/>
      <c r="G81" s="6"/>
      <c r="H81" s="6"/>
      <c r="I81" s="7"/>
      <c r="J81" s="6"/>
      <c r="K81" s="6"/>
    </row>
    <row r="82" spans="1:11">
      <c r="A82" s="6"/>
      <c r="B82" s="6"/>
      <c r="C82" s="6"/>
      <c r="D82" s="6"/>
      <c r="E82" s="6"/>
      <c r="F82" s="6"/>
      <c r="G82" s="6"/>
      <c r="H82" s="6"/>
      <c r="I82" s="7"/>
      <c r="J82" s="6"/>
      <c r="K82" s="6"/>
    </row>
    <row r="83" spans="1:11">
      <c r="A83" s="6"/>
      <c r="B83" s="6"/>
      <c r="C83" s="6"/>
      <c r="D83" s="6"/>
      <c r="E83" s="6"/>
      <c r="F83" s="6"/>
      <c r="G83" s="6"/>
      <c r="H83" s="6"/>
      <c r="I83" s="7"/>
      <c r="J83" s="6"/>
      <c r="K83" s="6"/>
    </row>
    <row r="84" spans="1:11">
      <c r="A84" s="6"/>
      <c r="B84" s="6"/>
      <c r="C84" s="6"/>
      <c r="D84" s="6"/>
      <c r="E84" s="6"/>
      <c r="F84" s="6"/>
      <c r="G84" s="6"/>
      <c r="H84" s="6"/>
      <c r="I84" s="7"/>
      <c r="J84" s="6"/>
      <c r="K84" s="6"/>
    </row>
    <row r="85" spans="1:11">
      <c r="A85" s="6"/>
      <c r="B85" s="6"/>
      <c r="C85" s="6"/>
      <c r="D85" s="6"/>
      <c r="E85" s="6"/>
      <c r="F85" s="6"/>
      <c r="G85" s="6"/>
      <c r="H85" s="6"/>
      <c r="I85" s="7"/>
      <c r="J85" s="6"/>
      <c r="K85" s="6"/>
    </row>
    <row r="86" spans="1:11">
      <c r="A86" s="6"/>
      <c r="B86" s="6"/>
      <c r="C86" s="6"/>
      <c r="D86" s="6"/>
      <c r="E86" s="6"/>
      <c r="F86" s="6"/>
      <c r="G86" s="6"/>
      <c r="H86" s="6"/>
      <c r="I86" s="7"/>
      <c r="J86" s="6"/>
      <c r="K86" s="6"/>
    </row>
  </sheetData>
  <autoFilter ref="A2:L75" xr:uid="{00000000-0009-0000-0000-000002000000}"/>
  <mergeCells count="1">
    <mergeCell ref="A1:K1"/>
  </mergeCells>
  <phoneticPr fontId="10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</vt:lpstr>
      <vt:lpstr>辅料不良明细记录</vt:lpstr>
      <vt:lpstr>主料不良明细记录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a45149</cp:lastModifiedBy>
  <dcterms:created xsi:type="dcterms:W3CDTF">2020-09-03T02:26:00Z</dcterms:created>
  <dcterms:modified xsi:type="dcterms:W3CDTF">2026-05-22T06:09:39Z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D1DA74A80539482CA3A40CEAC40181F6_13</vt:lpwstr>
  </property>
  <property fmtid="{D5CDD505-2E9C-101B-9397-08002B2CF9AE}" pid="4" name="CalculationRule">
    <vt:i4>0</vt:i4>
  </property>
</Properties>
</file>